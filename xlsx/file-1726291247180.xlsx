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CB98BF97-530F-498F-9DBD-8067BCA579D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 Sheet2" sheetId="5" r:id="rId2"/>
    <sheet name="Sheet3" sheetId="2" r:id="rId3"/>
    <sheet name="Sheet4" sheetId="3" r:id="rId4"/>
  </sheets>
  <definedNames>
    <definedName name="_xlnm._FilterDatabase" localSheetId="1" hidden="1">' Sheet2'!$A$4:$J$799</definedName>
    <definedName name="_xlnm._FilterDatabase" localSheetId="2" hidden="1">Sheet3!$A$4:$N$802</definedName>
    <definedName name="_xlnm._FilterDatabase" localSheetId="3" hidden="1">Sheet4!$A$4:$N$382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5" l="1"/>
  <c r="I479" i="5" l="1"/>
  <c r="I472" i="5"/>
  <c r="I470" i="5"/>
  <c r="I206" i="5" l="1"/>
  <c r="N749" i="5" l="1"/>
  <c r="N436" i="5"/>
  <c r="N731" i="5" s="1"/>
</calcChain>
</file>

<file path=xl/sharedStrings.xml><?xml version="1.0" encoding="utf-8"?>
<sst xmlns="http://schemas.openxmlformats.org/spreadsheetml/2006/main" count="13052" uniqueCount="4645">
  <si>
    <t>VISHAL ENTERPRISE</t>
  </si>
  <si>
    <t>REQUIRED FACTORY OPERATED SUPPLIES</t>
  </si>
  <si>
    <t>DATE:-28-06-2017</t>
  </si>
  <si>
    <t>REV-04</t>
  </si>
  <si>
    <t>GROUP ID</t>
  </si>
  <si>
    <t>Material Description</t>
  </si>
  <si>
    <t>Category</t>
  </si>
  <si>
    <t>Item Code</t>
  </si>
  <si>
    <t>Material Code</t>
  </si>
  <si>
    <t>UOM</t>
  </si>
  <si>
    <t>Remarks</t>
  </si>
  <si>
    <t>CUTTING WHEEL</t>
  </si>
  <si>
    <t>C</t>
  </si>
  <si>
    <t>CUTTING WHEEL CS 2.5"</t>
  </si>
  <si>
    <t>001</t>
  </si>
  <si>
    <t>VEFS-01-001</t>
  </si>
  <si>
    <t>Nos</t>
  </si>
  <si>
    <t>ok</t>
  </si>
  <si>
    <t>AG 4 Cutting Wheel CS - 100 x 3 x 16 MM</t>
  </si>
  <si>
    <t>002</t>
  </si>
  <si>
    <t>VEFS-01-002</t>
  </si>
  <si>
    <t>AG 5 Cutting wheel CS - 125 x 3 x 22.23MM</t>
  </si>
  <si>
    <t>003</t>
  </si>
  <si>
    <t>VEFS-01-003</t>
  </si>
  <si>
    <t>AG 7 Cutting wheel CS - 180 x 3 x 22.23MM</t>
  </si>
  <si>
    <t>004</t>
  </si>
  <si>
    <t>VEFS-01-004</t>
  </si>
  <si>
    <t>AG 9 Cutting wheel CS - 230 x 3 x 22.23MM</t>
  </si>
  <si>
    <t>005</t>
  </si>
  <si>
    <t>VEFS-01-005</t>
  </si>
  <si>
    <t>AG 14 Cutting wheel CS - 355 X 2.8 X 25.40 MM</t>
  </si>
  <si>
    <t>006</t>
  </si>
  <si>
    <t>VEFS-01-006</t>
  </si>
  <si>
    <t>AG 4 Cutting Wheel SS - 100 x 3 x 16 MM</t>
  </si>
  <si>
    <t>007</t>
  </si>
  <si>
    <t>VEFS-01-007</t>
  </si>
  <si>
    <t>AG5 Cutting wheel SS - 125 x 3 x 22.23MM</t>
  </si>
  <si>
    <t>008</t>
  </si>
  <si>
    <t>VEFS-01-008</t>
  </si>
  <si>
    <t>AG 7 Cutting wheel SS - 180 x 3 x 22.23MM</t>
  </si>
  <si>
    <t>009</t>
  </si>
  <si>
    <t>VEFS-01-009</t>
  </si>
  <si>
    <t>AG 9 Cutting wheel SS - 230 x 3 x 22.23MM</t>
  </si>
  <si>
    <t>010</t>
  </si>
  <si>
    <t>VEFS-01-010</t>
  </si>
  <si>
    <t>AG 14 Cutting wheel SS - 230 x 3 x 22.23MM</t>
  </si>
  <si>
    <t>011</t>
  </si>
  <si>
    <t>VEFS-01-011</t>
  </si>
  <si>
    <t>GRINDING WHEEL</t>
  </si>
  <si>
    <t>AG 4 Grinding Wheel CS - 100 X 4 X 16MM</t>
  </si>
  <si>
    <t>VEFS-02-001</t>
  </si>
  <si>
    <t>AG5 Grinding wheel CS - 125 x 6 x 22.23MM</t>
  </si>
  <si>
    <t>VEFS-02-002</t>
  </si>
  <si>
    <t>AG 7 Grinding Wheel CS - 180 x 7 x 22.23MM</t>
  </si>
  <si>
    <t>VEFS-02-003</t>
  </si>
  <si>
    <t>AG 9 Grinding Wheel CS - 230 x 7 x 22.23MM</t>
  </si>
  <si>
    <t>VEFS-02-004</t>
  </si>
  <si>
    <t>AG 4 Grinding Wheel SS - 100 X 4 X 16MM</t>
  </si>
  <si>
    <t>VEFS-02-005</t>
  </si>
  <si>
    <t>AG5 Grinding wheel SS - 125 x 6 x 22.23MM</t>
  </si>
  <si>
    <t>VEFS-02-006</t>
  </si>
  <si>
    <t>AG 7 Grinding Wheel SS - 180 x 7 x 22.23MM</t>
  </si>
  <si>
    <t>VEFS-02-007</t>
  </si>
  <si>
    <t>AG 9 Grinding Wheel SS - 230 x 7 x 22.23MM</t>
  </si>
  <si>
    <t>VEFS-02-008</t>
  </si>
  <si>
    <t>Mounted Stone Bit Cylindrical - Pink / Black Color</t>
  </si>
  <si>
    <t>VEFS-02-009</t>
  </si>
  <si>
    <t>ROTTERY CUTTER Metalic - B2 (Cylindrical)</t>
  </si>
  <si>
    <t>VEFS-02-010</t>
  </si>
  <si>
    <t>ROTTERY CUTTER Metalic - T3 (Conical)</t>
  </si>
  <si>
    <t>VEFS-02-011</t>
  </si>
  <si>
    <t>ROTTERY CUTTER H-8</t>
  </si>
  <si>
    <t>012</t>
  </si>
  <si>
    <t>VEFS-02-012</t>
  </si>
  <si>
    <t>SANDERING WHEEL</t>
  </si>
  <si>
    <t>013</t>
  </si>
  <si>
    <t>VEFS-02-013</t>
  </si>
  <si>
    <t>014</t>
  </si>
  <si>
    <t>VEFS-02-014</t>
  </si>
  <si>
    <t>EMERY Paper "0"</t>
  </si>
  <si>
    <t>015</t>
  </si>
  <si>
    <t>VEFS-02-015</t>
  </si>
  <si>
    <t>New Add</t>
  </si>
  <si>
    <t>Mounted Stone Bit Conical - Pink / Black Color</t>
  </si>
  <si>
    <t>016</t>
  </si>
  <si>
    <t>VEFS-02-016</t>
  </si>
  <si>
    <t>WELDING ELECTRODE</t>
  </si>
  <si>
    <t>ELECTRODE E 7018 X2.5 MM</t>
  </si>
  <si>
    <t>B</t>
  </si>
  <si>
    <t>VEFS-03-001</t>
  </si>
  <si>
    <t>KG</t>
  </si>
  <si>
    <t>ELECTRODE E 7018 X3.15 MM</t>
  </si>
  <si>
    <t>VEFS-03-002</t>
  </si>
  <si>
    <t>ELECTRODE E 7018 X 4 MM</t>
  </si>
  <si>
    <t>VEFS-03-003</t>
  </si>
  <si>
    <t>ELECTRODE E 6013 X2.5 MM</t>
  </si>
  <si>
    <t>VEFS-03-004</t>
  </si>
  <si>
    <t>ELECTRODE E 6013 X3.15 MM</t>
  </si>
  <si>
    <t>VEFS-03-005</t>
  </si>
  <si>
    <t>ELECTRODE E 6013 X 4 MM</t>
  </si>
  <si>
    <t>VEFS-03-006</t>
  </si>
  <si>
    <t>ELECTRODE E 308 X2.5 MM</t>
  </si>
  <si>
    <t>VEFS-03-007</t>
  </si>
  <si>
    <t>ELECTRODE E 308 X3.15 MM</t>
  </si>
  <si>
    <t>VEFS-03-008</t>
  </si>
  <si>
    <t>ELECTRODE E 308 X 4 MM</t>
  </si>
  <si>
    <t>VEFS-03-009</t>
  </si>
  <si>
    <t>ELECTRODE E 309 X2.5 MM</t>
  </si>
  <si>
    <t>VEFS-03-010</t>
  </si>
  <si>
    <t>ELECTRODE E 309 X3.15 MM</t>
  </si>
  <si>
    <t>VEFS-03-011</t>
  </si>
  <si>
    <t>ELECTRODE E 309 X 4 MM</t>
  </si>
  <si>
    <t>VEFS-03-012</t>
  </si>
  <si>
    <t>ELECTRODE E 316 X2.5 MM</t>
  </si>
  <si>
    <t>VEFS-03-013</t>
  </si>
  <si>
    <t>ELECTRODE E 316 X3.15 MM</t>
  </si>
  <si>
    <t>VEFS-03-014</t>
  </si>
  <si>
    <t>ELECTRODE E 316 X 4 MM</t>
  </si>
  <si>
    <t>VEFS-03-015</t>
  </si>
  <si>
    <t>sp. Electrode entry</t>
  </si>
  <si>
    <t>ELECTRODE E 9018B3X 3.15 MM</t>
  </si>
  <si>
    <t>VEFS-03-016</t>
  </si>
  <si>
    <t>ELECTRODE E 9018B3 X 4 MM</t>
  </si>
  <si>
    <t>017</t>
  </si>
  <si>
    <t>VEFS-03-017</t>
  </si>
  <si>
    <t>FILLER WIRE</t>
  </si>
  <si>
    <t>FILLER WIRE ER 70S2 X 2.5 MM</t>
  </si>
  <si>
    <t>VEFS-04-001</t>
  </si>
  <si>
    <t>FILLER WIRE ER 308 L X 1.6 MM</t>
  </si>
  <si>
    <t>VEFS-04-002</t>
  </si>
  <si>
    <t>FILLER WIRE ER 308 L X 2.5 MM</t>
  </si>
  <si>
    <t>VEFS-04-003</t>
  </si>
  <si>
    <t>FILLER WIRE ER 309 L X 1.6 MM</t>
  </si>
  <si>
    <t>VEFS-04-004</t>
  </si>
  <si>
    <t>FILLER WIRE ER 309 L X 2.5 MM</t>
  </si>
  <si>
    <t>VEFS-04-005</t>
  </si>
  <si>
    <t>FILLER WIRE ER316 L  X 1.6 MM</t>
  </si>
  <si>
    <t>VEFS-04-006</t>
  </si>
  <si>
    <t>FILLER WIRE ER316 L  X 2.5 MM</t>
  </si>
  <si>
    <t>VEFS-04-007</t>
  </si>
  <si>
    <t>FILLER WIRE ER 316 L X 2.5 MM (NON PURCHING)</t>
  </si>
  <si>
    <t>VEFS-04-008</t>
  </si>
  <si>
    <t>FILLER WIRE ER 308 L X 2.5 MM (NON PURCHING)</t>
  </si>
  <si>
    <t>VEFS-04-009</t>
  </si>
  <si>
    <t>FILLER WIRE ER 80SB2 X 2.5 MM</t>
  </si>
  <si>
    <t>VEFS-04-010</t>
  </si>
  <si>
    <t>FILLER WIRE ER 90SB3 X 2.5 MM</t>
  </si>
  <si>
    <t>VEFS-04-011</t>
  </si>
  <si>
    <t>sp. Fillerwire</t>
  </si>
  <si>
    <t>FILLER WIRE ER 90SB9 X 2.5 MM</t>
  </si>
  <si>
    <t>VEFS-04-012</t>
  </si>
  <si>
    <t>GAS</t>
  </si>
  <si>
    <t>ARGON CYLINDER</t>
  </si>
  <si>
    <t>VEFS-05-001</t>
  </si>
  <si>
    <t>CO2 CYLINDER</t>
  </si>
  <si>
    <t>VEFS-05-002</t>
  </si>
  <si>
    <t>D/A CYLINDER</t>
  </si>
  <si>
    <t>VEFS-05-003</t>
  </si>
  <si>
    <t>LPG CYLINDER</t>
  </si>
  <si>
    <t>VEFS-05-004</t>
  </si>
  <si>
    <t>NITROGEN CYLINDER</t>
  </si>
  <si>
    <t>VEFS-05-005</t>
  </si>
  <si>
    <t>OXYGEN CYLINDER</t>
  </si>
  <si>
    <t>VEFS-05-006</t>
  </si>
  <si>
    <t>Grade -1 Argon(High Purity Argon)</t>
  </si>
  <si>
    <t>VEFS-05-007</t>
  </si>
  <si>
    <t>FUEL &amp; LUB</t>
  </si>
  <si>
    <t>BREAK OIL</t>
  </si>
  <si>
    <t>VEFS-06-001</t>
  </si>
  <si>
    <t>Ltr</t>
  </si>
  <si>
    <t xml:space="preserve">COMPRESSOR OIL </t>
  </si>
  <si>
    <t>VEFS-06-002</t>
  </si>
  <si>
    <t>CUTTING OIL</t>
  </si>
  <si>
    <t>VEFS-06-003</t>
  </si>
  <si>
    <t>DIESEL</t>
  </si>
  <si>
    <t>VEFS-06-004</t>
  </si>
  <si>
    <t>ENGINE OIL 15W / 40</t>
  </si>
  <si>
    <t>VEFS-06-005</t>
  </si>
  <si>
    <t>ENGINE OIL-DG</t>
  </si>
  <si>
    <t>VEFS-06-006</t>
  </si>
  <si>
    <t>GEAR OIL 140</t>
  </si>
  <si>
    <t>VEFS-06-007</t>
  </si>
  <si>
    <t>GEAR OIL 90</t>
  </si>
  <si>
    <t>VEFS-06-008</t>
  </si>
  <si>
    <t>GREASE (BEARING)</t>
  </si>
  <si>
    <t>VEFS-06-009</t>
  </si>
  <si>
    <t>GREASE (CHASIS GREASE)</t>
  </si>
  <si>
    <t>VEFS-06-010</t>
  </si>
  <si>
    <t>HYDRAULIC OIL 68</t>
  </si>
  <si>
    <t>VEFS-06-011</t>
  </si>
  <si>
    <t>TRANSMISSION OIL</t>
  </si>
  <si>
    <t>VEFS-06-012</t>
  </si>
  <si>
    <t>GAS CUTTING ACCESSORIES</t>
  </si>
  <si>
    <t>CLEANING PIN FOR CUTTING NOZZLE</t>
  </si>
  <si>
    <t>CUTTING NOZZLE A 1/16 FOR PUG / Two Pipe</t>
  </si>
  <si>
    <t>CUTTING NOZZLE A 1/16 FOR TORCH / Three Pipe</t>
  </si>
  <si>
    <t>CUTTING NOZZLE A 1/32 FOR PUG / Two Pipe</t>
  </si>
  <si>
    <t>CUTTING NOZZLE A 1/32 FOR TORCH / Three Pipe</t>
  </si>
  <si>
    <t>CUTTING NOZZLE A 3/64 FOR PUG / Two Pipe</t>
  </si>
  <si>
    <t>CUTTING NOZZLE A 3/64 FOR TORCH / Three Pipe</t>
  </si>
  <si>
    <t>CUTTING NOZZLE A 5/64 FOR PUG / Two Pipe</t>
  </si>
  <si>
    <t>CUTTING NOZZLE A 5/64 FOR TORCH / Three Pipe</t>
  </si>
  <si>
    <t>CUTTING NOZZLE B 1/16 FOR PUG</t>
  </si>
  <si>
    <t>pending</t>
  </si>
  <si>
    <t>CUTTING NOZZLE B 1/16 FOR TORCH</t>
  </si>
  <si>
    <t>CUTTING NOZZLE B 1/32 FOR PUG</t>
  </si>
  <si>
    <t>CUTTING NOZZLE B 1/32 FOR TORCH</t>
  </si>
  <si>
    <t>CUTTING NOZZLE B 7/64 FOR PUG</t>
  </si>
  <si>
    <t>CUTTING NOZZLE B 7/64 FOR TORCH</t>
  </si>
  <si>
    <t>CYLINDER NUT D/A</t>
  </si>
  <si>
    <t>CYLINDER NUT OXYGEN</t>
  </si>
  <si>
    <t>GAS REFUSED FOR M/MC</t>
  </si>
  <si>
    <t>018</t>
  </si>
  <si>
    <t>HEAD NUTT FOR CUTTING TORCH</t>
  </si>
  <si>
    <t>019</t>
  </si>
  <si>
    <t xml:space="preserve">HEATING TORCH  </t>
  </si>
  <si>
    <t>020</t>
  </si>
  <si>
    <t>HOSE CLAMP 1/2" SS</t>
  </si>
  <si>
    <t>021</t>
  </si>
  <si>
    <t>HOSE CONNECTOR 8 MM</t>
  </si>
  <si>
    <t>022</t>
  </si>
  <si>
    <t>LIGHTER STONE</t>
  </si>
  <si>
    <t>023</t>
  </si>
  <si>
    <t>M.S CUPLING 3/8"</t>
  </si>
  <si>
    <t>024</t>
  </si>
  <si>
    <t>NOZZLE 1/2"</t>
  </si>
  <si>
    <t>025</t>
  </si>
  <si>
    <t>NOZZLE CAP FOR MIG MACHINE</t>
  </si>
  <si>
    <t>026</t>
  </si>
  <si>
    <t>NUT &amp; NIPPLE FOR D/A</t>
  </si>
  <si>
    <t>027</t>
  </si>
  <si>
    <t>NUT &amp; NIPPLE FOR OXYGEN</t>
  </si>
  <si>
    <t>028</t>
  </si>
  <si>
    <t>SPARK LIGHTER</t>
  </si>
  <si>
    <t>029</t>
  </si>
  <si>
    <t>VALVE PIN FOR OXYGEN REGULATOR</t>
  </si>
  <si>
    <t>030</t>
  </si>
  <si>
    <t>Heating torch Burner</t>
  </si>
  <si>
    <t>031</t>
  </si>
  <si>
    <t>Brazzing Torch</t>
  </si>
  <si>
    <t>032</t>
  </si>
  <si>
    <t>FITUP ACCESSORIES</t>
  </si>
  <si>
    <t>FISHING WIRE</t>
  </si>
  <si>
    <t>VEFS-08-001</t>
  </si>
  <si>
    <t xml:space="preserve">LINE THREAD (LINE DORRI WHITE) - Thick </t>
  </si>
  <si>
    <t>VEFS-08-002</t>
  </si>
  <si>
    <t>Mtr</t>
  </si>
  <si>
    <t>MARKING CHALK</t>
  </si>
  <si>
    <t>VEFS-08-003</t>
  </si>
  <si>
    <t>MARKING PENCIL</t>
  </si>
  <si>
    <t>VEFS-08-004</t>
  </si>
  <si>
    <t>MEASUREMENT TAPE 3 MTR</t>
  </si>
  <si>
    <t>VEFS-08-005</t>
  </si>
  <si>
    <t>MEASUREMENT TAPE 5 MTR</t>
  </si>
  <si>
    <t>VEFS-08-006</t>
  </si>
  <si>
    <t>MEASUREMENT TAPE 15 MTR</t>
  </si>
  <si>
    <t>VEFS-08-007</t>
  </si>
  <si>
    <t>MEASUREMENT TAPE 30 MTR</t>
  </si>
  <si>
    <t>VEFS-08-008</t>
  </si>
  <si>
    <t xml:space="preserve">PIANO WIRE </t>
  </si>
  <si>
    <t>VEFS-08-009</t>
  </si>
  <si>
    <t>LINE THREAD (LINE DORRI WHITE) - Thin</t>
  </si>
  <si>
    <t>VEFS-08-010</t>
  </si>
  <si>
    <t>Binding Wire</t>
  </si>
  <si>
    <t>VEFS-08-011</t>
  </si>
  <si>
    <t>Water Level Tube-3/8"</t>
  </si>
  <si>
    <t>VEFS-08-012</t>
  </si>
  <si>
    <t>Roll</t>
  </si>
  <si>
    <t xml:space="preserve">Plumb BOB - Brass 300 </t>
  </si>
  <si>
    <t>VEFS-08-013</t>
  </si>
  <si>
    <t>GRINDING/DRILLING ACCESSORIES</t>
  </si>
  <si>
    <t>ARMATURE FOR AG 4</t>
  </si>
  <si>
    <t>VEFS-09-001</t>
  </si>
  <si>
    <t>DCA / Makita</t>
  </si>
  <si>
    <t>VEFS-09-002</t>
  </si>
  <si>
    <t xml:space="preserve">ARMATURE FOR AG 7 </t>
  </si>
  <si>
    <t>VEFS-09-003</t>
  </si>
  <si>
    <t>ARMATURE FOR AG 9</t>
  </si>
  <si>
    <t>VEFS-09-004</t>
  </si>
  <si>
    <t>ARMATURE FOR PIPE CUTTING MACHINES</t>
  </si>
  <si>
    <t>VEFS-09-005</t>
  </si>
  <si>
    <t>ARMATURE FOR DIE GRINDER (FF2)</t>
  </si>
  <si>
    <t>VEFS-09-006</t>
  </si>
  <si>
    <t>FIELD COIL FOR AG 4</t>
  </si>
  <si>
    <t>VEFS-09-007</t>
  </si>
  <si>
    <t>FIELD COIL FOR AG 5</t>
  </si>
  <si>
    <t>VEFS-09-008</t>
  </si>
  <si>
    <t>FILED COIL FOR AG 7</t>
  </si>
  <si>
    <t>VEFS-09-009</t>
  </si>
  <si>
    <t>FILED COIL FOR AG 9</t>
  </si>
  <si>
    <t>VEFS-09-010</t>
  </si>
  <si>
    <t>FILED COIL FOR 14" Pipe CUTTING M/C</t>
  </si>
  <si>
    <t>VEFS-09-011</t>
  </si>
  <si>
    <t>BEARING 6000</t>
  </si>
  <si>
    <t>VEFS-09-012</t>
  </si>
  <si>
    <t>BEARING 6001</t>
  </si>
  <si>
    <t>VEFS-09-013</t>
  </si>
  <si>
    <t>BEARING 608</t>
  </si>
  <si>
    <t>VEFS-09-014</t>
  </si>
  <si>
    <t>BEARING 6201</t>
  </si>
  <si>
    <t>VEFS-09-015</t>
  </si>
  <si>
    <t>BEARING 626</t>
  </si>
  <si>
    <t>VEFS-09-016</t>
  </si>
  <si>
    <t>BEARING 628</t>
  </si>
  <si>
    <t>VEFS-09-017</t>
  </si>
  <si>
    <t>CARBON BRUSH FOR 14"  PIPE CUTTING M/C</t>
  </si>
  <si>
    <t>VEFS-09-018</t>
  </si>
  <si>
    <t>VEFS-09-019</t>
  </si>
  <si>
    <t>VEFS-09-020</t>
  </si>
  <si>
    <t>CARBON BRUSH FOR AG9</t>
  </si>
  <si>
    <t>VEFS-09-021</t>
  </si>
  <si>
    <t>CARBON BRUSH FOR BUFFING MACHINE</t>
  </si>
  <si>
    <t>VEFS-09-022</t>
  </si>
  <si>
    <t>CARBON BRUSH FOR FF2 DIE GRINDER M/C</t>
  </si>
  <si>
    <t>VEFS-09-023</t>
  </si>
  <si>
    <t>CARBON BRUSH FOR DRILLING MACHINE</t>
  </si>
  <si>
    <t>VEFS-09-024</t>
  </si>
  <si>
    <t>CARBON BRUSH FOR Flexible Shaft FF2 MACHINE</t>
  </si>
  <si>
    <t>VEFS-09-025</t>
  </si>
  <si>
    <t>CARBON BRUSH FOR FF2 NUTRON</t>
  </si>
  <si>
    <t>VEFS-09-026</t>
  </si>
  <si>
    <t>CARBON BRUSH FOR PISTOL TYPE DRILL M/C</t>
  </si>
  <si>
    <t>VEFS-09-027</t>
  </si>
  <si>
    <t>COLLET FOR FF2 M/C</t>
  </si>
  <si>
    <t>VEFS-09-028</t>
  </si>
  <si>
    <t>COLLET WITH NUT FOR FF2 M/C</t>
  </si>
  <si>
    <t>VEFS-09-029</t>
  </si>
  <si>
    <t>FLEXIBLE SHAFT ASSEMBLY FOR FF2 M/C</t>
  </si>
  <si>
    <t>VEFS-09-030</t>
  </si>
  <si>
    <t>HEAD SCREW FOR AG 5" G/ MACHINE</t>
  </si>
  <si>
    <t>VEFS-09-031</t>
  </si>
  <si>
    <t>NEEDIE BEARING FOR DRILL MACHINE</t>
  </si>
  <si>
    <t>VEFS-09-032</t>
  </si>
  <si>
    <t>OIL SEAL FOR DRILL M/C</t>
  </si>
  <si>
    <t>033</t>
  </si>
  <si>
    <t>VEFS-09-033</t>
  </si>
  <si>
    <t>ARMATURE FOR Flexible Shaft FF2 Grinder</t>
  </si>
  <si>
    <t>034</t>
  </si>
  <si>
    <t>VEFS-09-034</t>
  </si>
  <si>
    <t>Bearing 629</t>
  </si>
  <si>
    <t>035</t>
  </si>
  <si>
    <t>VEFS-09-035</t>
  </si>
  <si>
    <t>Bearing 6200</t>
  </si>
  <si>
    <t>036</t>
  </si>
  <si>
    <t>VEFS-09-036</t>
  </si>
  <si>
    <t>037</t>
  </si>
  <si>
    <t>VEFS-09-037</t>
  </si>
  <si>
    <t>Bearing 6301</t>
  </si>
  <si>
    <t>038</t>
  </si>
  <si>
    <t>VEFS-09-038</t>
  </si>
  <si>
    <t>CARBON BRUSH FOR AG4</t>
  </si>
  <si>
    <t>039</t>
  </si>
  <si>
    <t>VEFS-09-039</t>
  </si>
  <si>
    <t>WELDING ACCESSORIES</t>
  </si>
  <si>
    <t>ANTI SPATTER SPRAY 500 ML</t>
  </si>
  <si>
    <t>VEFS-10-001</t>
  </si>
  <si>
    <t>ARGON LONG CAP GC-200</t>
  </si>
  <si>
    <t>VEFS-10-002</t>
  </si>
  <si>
    <t>ARGON SHORT CAP GC-200</t>
  </si>
  <si>
    <t>VEFS-10-003</t>
  </si>
  <si>
    <t>BRASS NUT</t>
  </si>
  <si>
    <t>VEFS-10-004</t>
  </si>
  <si>
    <t>CABLE CONNECTOR 120 MM ALLU</t>
  </si>
  <si>
    <t>VEFS-10-005</t>
  </si>
  <si>
    <t>CABLE CONNECTOR 120 MM COPPER</t>
  </si>
  <si>
    <t>VEFS-10-006</t>
  </si>
  <si>
    <t>CABLE CONNECTOR 70 MM ALLU</t>
  </si>
  <si>
    <t>VEFS-10-007</t>
  </si>
  <si>
    <t>CABLE CONNECTOR 70 MM COPPER</t>
  </si>
  <si>
    <t>VEFS-10-008</t>
  </si>
  <si>
    <t>CABLE CONNECTOR 95 MM ALLU</t>
  </si>
  <si>
    <t>VEFS-10-009</t>
  </si>
  <si>
    <t>CABLE CONNECTOR 95 MM COPPER</t>
  </si>
  <si>
    <t>VEFS-10-010</t>
  </si>
  <si>
    <t>Al Cable Lug - 16 Sq.mm</t>
  </si>
  <si>
    <t>VEFS-10-011</t>
  </si>
  <si>
    <t>Al Cable Lug - 50 Sq.mm</t>
  </si>
  <si>
    <t>VEFS-10-012</t>
  </si>
  <si>
    <t>CABLE LUG (COPPER ) 16 Sq.mm</t>
  </si>
  <si>
    <t>VEFS-10-013</t>
  </si>
  <si>
    <t>Al Cable Lug - 120 Sq.mm</t>
  </si>
  <si>
    <t>VEFS-10-014</t>
  </si>
  <si>
    <t>Copper Cable Lug - 120 Sq.mm</t>
  </si>
  <si>
    <t>VEFS-10-015</t>
  </si>
  <si>
    <t>Al Cable Lug - 70 Sq.mm</t>
  </si>
  <si>
    <t>VEFS-10-016</t>
  </si>
  <si>
    <t>CABLE LUG 70 MM COPPER</t>
  </si>
  <si>
    <t>VEFS-10-017</t>
  </si>
  <si>
    <t>Al Cable Lug - 95 Sq.mm</t>
  </si>
  <si>
    <t>VEFS-10-018</t>
  </si>
  <si>
    <t>CABLE LUG 95 MM COPPER</t>
  </si>
  <si>
    <t>VEFS-10-019</t>
  </si>
  <si>
    <t>CABLE LUG COPPER 25 MM</t>
  </si>
  <si>
    <t>VEFS-10-020</t>
  </si>
  <si>
    <t>CERAMIC NOZZLE 2412</t>
  </si>
  <si>
    <t>VEFS-10-021</t>
  </si>
  <si>
    <t>CERAMIC NOZZLE 2413</t>
  </si>
  <si>
    <t>VEFS-10-022</t>
  </si>
  <si>
    <t>CERAMIC NOZZLE 3621</t>
  </si>
  <si>
    <t>VEFS-10-023</t>
  </si>
  <si>
    <t>CO2 CYLINDER NUT</t>
  </si>
  <si>
    <t>VEFS-10-024</t>
  </si>
  <si>
    <t>VEFS-10-025</t>
  </si>
  <si>
    <t>COLLET 2.4 FOR ARGON TORCH</t>
  </si>
  <si>
    <t>VEFS-10-026</t>
  </si>
  <si>
    <t>VEFS-10-027</t>
  </si>
  <si>
    <t>CONTACT TIP HOLDER 1.20 MM</t>
  </si>
  <si>
    <t>VEFS-10-028</t>
  </si>
  <si>
    <t>COPPER LUG 16 MM RING TYPE</t>
  </si>
  <si>
    <t>VEFS-10-029</t>
  </si>
  <si>
    <t>COPPER LUG FOR ARGON TORCH</t>
  </si>
  <si>
    <t>VEFS-10-030</t>
  </si>
  <si>
    <t>EARTHING HOLDER</t>
  </si>
  <si>
    <t>VEFS-10-031</t>
  </si>
  <si>
    <t>EXTENSION FOR SAW M/C</t>
  </si>
  <si>
    <t>VEFS-10-032</t>
  </si>
  <si>
    <t>GAS DIFFUSER FOR RECTIFIER</t>
  </si>
  <si>
    <t>VEFS-10-033</t>
  </si>
  <si>
    <t>NIPPLE FOR CO2 HEATER</t>
  </si>
  <si>
    <t>VEFS-10-034</t>
  </si>
  <si>
    <t>NOZZLE 2.5 MM FOR SAW WELDING M/C</t>
  </si>
  <si>
    <t>VEFS-10-035</t>
  </si>
  <si>
    <t>NOZZLE 3.2 MM FOR SAW WELDING M/C</t>
  </si>
  <si>
    <t>VEFS-10-036</t>
  </si>
  <si>
    <t>NOZZLE 4 MM FOR SAW WELDING M/C</t>
  </si>
  <si>
    <t>VEFS-10-037</t>
  </si>
  <si>
    <t>OUT PUT TERMINAL FOR WELDING M/C (D&amp;H MAKE)</t>
  </si>
  <si>
    <t>VEFS-10-038</t>
  </si>
  <si>
    <t>SAW NOZZLE 3.2MM</t>
  </si>
  <si>
    <t>VEFS-10-039</t>
  </si>
  <si>
    <t>SAW NOZZLE 4.0MM</t>
  </si>
  <si>
    <t>040</t>
  </si>
  <si>
    <t>VEFS-10-040</t>
  </si>
  <si>
    <t>SWITCH FOR MIG TORCH</t>
  </si>
  <si>
    <t>041</t>
  </si>
  <si>
    <t>VEFS-10-041</t>
  </si>
  <si>
    <t>THERMO CHALK 100'C</t>
  </si>
  <si>
    <t>042</t>
  </si>
  <si>
    <t>VEFS-10-042</t>
  </si>
  <si>
    <t>THERMO CHALK 120'C</t>
  </si>
  <si>
    <t>043</t>
  </si>
  <si>
    <t>VEFS-10-043</t>
  </si>
  <si>
    <t>THERMO CHALK 125'C</t>
  </si>
  <si>
    <t>044</t>
  </si>
  <si>
    <t>VEFS-10-044</t>
  </si>
  <si>
    <t>THERMO CHALK 130'C</t>
  </si>
  <si>
    <t>045</t>
  </si>
  <si>
    <t>VEFS-10-045</t>
  </si>
  <si>
    <t>THERMO CHALK 150'C</t>
  </si>
  <si>
    <t>046</t>
  </si>
  <si>
    <t>VEFS-10-046</t>
  </si>
  <si>
    <t>THERMO CHALK 160'C</t>
  </si>
  <si>
    <t>047</t>
  </si>
  <si>
    <t>VEFS-10-047</t>
  </si>
  <si>
    <t>THERMO CHALK 175'C</t>
  </si>
  <si>
    <t>048</t>
  </si>
  <si>
    <t>VEFS-10-048</t>
  </si>
  <si>
    <t>THERMO CHALK 180'C</t>
  </si>
  <si>
    <t>049</t>
  </si>
  <si>
    <t>VEFS-10-049</t>
  </si>
  <si>
    <t>THERMO CHALK 200'C</t>
  </si>
  <si>
    <t>050</t>
  </si>
  <si>
    <t>VEFS-10-050</t>
  </si>
  <si>
    <t>THERMO CHALK 250'C</t>
  </si>
  <si>
    <t>051</t>
  </si>
  <si>
    <t>VEFS-10-051</t>
  </si>
  <si>
    <t>THERMO CHALK 275'C</t>
  </si>
  <si>
    <t>052</t>
  </si>
  <si>
    <t>VEFS-10-052</t>
  </si>
  <si>
    <t>THERMO CHALK 300'C</t>
  </si>
  <si>
    <t>053</t>
  </si>
  <si>
    <t>VEFS-10-053</t>
  </si>
  <si>
    <t>THERMO CHALK 301'C</t>
  </si>
  <si>
    <t>054</t>
  </si>
  <si>
    <t>VEFS-10-054</t>
  </si>
  <si>
    <t>THERMO CHALK 310'C</t>
  </si>
  <si>
    <t>055</t>
  </si>
  <si>
    <t>VEFS-10-055</t>
  </si>
  <si>
    <t>THERMO CHALK 315'C</t>
  </si>
  <si>
    <t>056</t>
  </si>
  <si>
    <t>VEFS-10-056</t>
  </si>
  <si>
    <t>THERMO CHALK 325'C</t>
  </si>
  <si>
    <t>057</t>
  </si>
  <si>
    <t>VEFS-10-057</t>
  </si>
  <si>
    <t>THERMO CHALK 350'C</t>
  </si>
  <si>
    <t>058</t>
  </si>
  <si>
    <t>VEFS-10-058</t>
  </si>
  <si>
    <t>THERMO CHALK 375'C</t>
  </si>
  <si>
    <t>059</t>
  </si>
  <si>
    <t>VEFS-10-059</t>
  </si>
  <si>
    <t>THERMO CHALK 380'C</t>
  </si>
  <si>
    <t>060</t>
  </si>
  <si>
    <t>VEFS-10-060</t>
  </si>
  <si>
    <t>THERMO CHALK 400'C</t>
  </si>
  <si>
    <t>061</t>
  </si>
  <si>
    <t>VEFS-10-061</t>
  </si>
  <si>
    <t>THERMO CHALK 50'C</t>
  </si>
  <si>
    <t>062</t>
  </si>
  <si>
    <t>VEFS-10-062</t>
  </si>
  <si>
    <t>THERMO CHALK 75'C</t>
  </si>
  <si>
    <t>063</t>
  </si>
  <si>
    <t>VEFS-10-063</t>
  </si>
  <si>
    <t>THERMO CHALK 80'C</t>
  </si>
  <si>
    <t>064</t>
  </si>
  <si>
    <t>VEFS-10-064</t>
  </si>
  <si>
    <t>THERMO CHALK 90'C</t>
  </si>
  <si>
    <t>065</t>
  </si>
  <si>
    <t>VEFS-10-065</t>
  </si>
  <si>
    <t>WELDING BLACK GLASS 11 DIN</t>
  </si>
  <si>
    <t>066</t>
  </si>
  <si>
    <t>VEFS-10-066</t>
  </si>
  <si>
    <t>WELDING BLACK GLASS 12 DIN</t>
  </si>
  <si>
    <t>067</t>
  </si>
  <si>
    <t>VEFS-10-067</t>
  </si>
  <si>
    <t>WELDING BLACK GLASS 13 DIN</t>
  </si>
  <si>
    <t>068</t>
  </si>
  <si>
    <t>VEFS-10-068</t>
  </si>
  <si>
    <t>WELDING HOLDER</t>
  </si>
  <si>
    <t>069</t>
  </si>
  <si>
    <t>VEFS-10-069</t>
  </si>
  <si>
    <t>White Glass for Welder</t>
  </si>
  <si>
    <t>070</t>
  </si>
  <si>
    <t>VEFS-10-070</t>
  </si>
  <si>
    <t>WELDING WHITE GLASS 12 DIN</t>
  </si>
  <si>
    <t>071</t>
  </si>
  <si>
    <t>VEFS-10-071</t>
  </si>
  <si>
    <t>WELDING WHITE GLASS 13 DIN</t>
  </si>
  <si>
    <t>072</t>
  </si>
  <si>
    <t>VEFS-10-072</t>
  </si>
  <si>
    <t>WIRE BRUSH CS</t>
  </si>
  <si>
    <t>073</t>
  </si>
  <si>
    <t>VEFS-10-073</t>
  </si>
  <si>
    <t>WIRE BRUSH SS</t>
  </si>
  <si>
    <t>074</t>
  </si>
  <si>
    <t>VEFS-10-074</t>
  </si>
  <si>
    <t>C-CLAMP FOR EARTHING</t>
  </si>
  <si>
    <t>075</t>
  </si>
  <si>
    <t>VEFS-10-075</t>
  </si>
  <si>
    <t>TUNGSTON ROD - 2.4 mm</t>
  </si>
  <si>
    <t>076</t>
  </si>
  <si>
    <t>VEFS-10-076</t>
  </si>
  <si>
    <t xml:space="preserve">GAUGING ROD 9 MM </t>
  </si>
  <si>
    <t>077</t>
  </si>
  <si>
    <t>VEFS-10-077</t>
  </si>
  <si>
    <t>GAUGING TORCH</t>
  </si>
  <si>
    <t>078</t>
  </si>
  <si>
    <t>VEFS-10-078</t>
  </si>
  <si>
    <t>Collet 3.0 mm for Argon Torch</t>
  </si>
  <si>
    <t>079</t>
  </si>
  <si>
    <t>VEFS-10-079</t>
  </si>
  <si>
    <t>ARGON LONG CAP GC-300</t>
  </si>
  <si>
    <t>080</t>
  </si>
  <si>
    <t>VEFS-10-080</t>
  </si>
  <si>
    <t>ARGON SHORT CAP GC-300</t>
  </si>
  <si>
    <t>081</t>
  </si>
  <si>
    <t>VEFS-10-081</t>
  </si>
  <si>
    <t>TUNGSTON ROD - 3.0 mm</t>
  </si>
  <si>
    <t>082</t>
  </si>
  <si>
    <t>VEFS-10-082</t>
  </si>
  <si>
    <t xml:space="preserve">GAUGING ROD 8 MM </t>
  </si>
  <si>
    <t>083</t>
  </si>
  <si>
    <t>VEFS-10-083</t>
  </si>
  <si>
    <t>Al Cable Lug - 25 Sq.mm</t>
  </si>
  <si>
    <t>084</t>
  </si>
  <si>
    <t>VEFS-10-084</t>
  </si>
  <si>
    <t>Al Cable Lug - 35 Sq.mm</t>
  </si>
  <si>
    <t>085</t>
  </si>
  <si>
    <t>VEFS-10-085</t>
  </si>
  <si>
    <t>CABLE RING LOCK- 4.6 MM Copper</t>
  </si>
  <si>
    <t>086</t>
  </si>
  <si>
    <t>VEFS-10-086</t>
  </si>
  <si>
    <t>Copper cable Lug 10 Sq.mm</t>
  </si>
  <si>
    <t>087</t>
  </si>
  <si>
    <t>VEFS-10-087</t>
  </si>
  <si>
    <t>Copper cable Lug - 6 Sq.mm with 10mm Hole dia</t>
  </si>
  <si>
    <t>088</t>
  </si>
  <si>
    <t>VEFS-10-088</t>
  </si>
  <si>
    <t>Ceramic Nozzle 2411</t>
  </si>
  <si>
    <t>089</t>
  </si>
  <si>
    <t>VEFS-10-089</t>
  </si>
  <si>
    <t>GENERAL &amp; MISC</t>
  </si>
  <si>
    <t>ABRO TAPE / Purching Tape 1"</t>
  </si>
  <si>
    <t>VEFS-11-001</t>
  </si>
  <si>
    <t>ABRO TAPE / Purching Tape 2"</t>
  </si>
  <si>
    <t>VEFS-11-002</t>
  </si>
  <si>
    <t>BROWN PAPER</t>
  </si>
  <si>
    <t>VEFS-11-003</t>
  </si>
  <si>
    <t>BROWN CELLO TAPE 1"</t>
  </si>
  <si>
    <t>VEFS-11-004</t>
  </si>
  <si>
    <t>BROWN CELLO TAPE 2"</t>
  </si>
  <si>
    <t>VEFS-11-005</t>
  </si>
  <si>
    <t>COTTON CLOTH</t>
  </si>
  <si>
    <t>VEFS-11-006</t>
  </si>
  <si>
    <t>COTTON WASTE</t>
  </si>
  <si>
    <t>VEFS-11-007</t>
  </si>
  <si>
    <t>EMERY CLOTH R</t>
  </si>
  <si>
    <t>VEFS-11-008</t>
  </si>
  <si>
    <t>EMERY CLOTH S</t>
  </si>
  <si>
    <t>VEFS-11-009</t>
  </si>
  <si>
    <t>GUM HYGROLITE 25 KG</t>
  </si>
  <si>
    <t>VEFS-11-010</t>
  </si>
  <si>
    <t>HACKSAW BLADE 1"X12" HSS</t>
  </si>
  <si>
    <t>VEFS-11-011</t>
  </si>
  <si>
    <t>HACKSAW BLADE 1"X12" LSS</t>
  </si>
  <si>
    <t>VEFS-11-012</t>
  </si>
  <si>
    <t>HACKSAW BLADE 1"X14" HSS</t>
  </si>
  <si>
    <t>VEFS-11-013</t>
  </si>
  <si>
    <t>HACKSAW BLADE 1/2"X12" HSS</t>
  </si>
  <si>
    <t>VEFS-11-014</t>
  </si>
  <si>
    <t>HACKSAW BLADE 1/2"X12" LS</t>
  </si>
  <si>
    <t>VEFS-11-015</t>
  </si>
  <si>
    <t>HOSE FOR HAND BARREL PUMP</t>
  </si>
  <si>
    <t>VEFS-11-016</t>
  </si>
  <si>
    <t>VEFS-11-017</t>
  </si>
  <si>
    <t>PURCHING TAPE</t>
  </si>
  <si>
    <t>VEFS-11-018</t>
  </si>
  <si>
    <t>SOLUBABLE DAM PAPER</t>
  </si>
  <si>
    <t>VEFS-11-019</t>
  </si>
  <si>
    <t>SPRAY PUMP</t>
  </si>
  <si>
    <t>VEFS-11-020</t>
  </si>
  <si>
    <t>VEFS-11-021</t>
  </si>
  <si>
    <t>WATER PAPER</t>
  </si>
  <si>
    <t>VEFS-11-022</t>
  </si>
  <si>
    <t>YELLOW CHALK (10 PCS PER PKT)</t>
  </si>
  <si>
    <t>VEFS-11-023</t>
  </si>
  <si>
    <t>PVC Insulation Tape</t>
  </si>
  <si>
    <t>VEFS-11-024</t>
  </si>
  <si>
    <t>HACKSAW BLADE 11/2"X18" HSS</t>
  </si>
  <si>
    <t>VEFS-11-025</t>
  </si>
  <si>
    <t>GENERAL &amp; MISC TOOLS CONSUMABLE</t>
  </si>
  <si>
    <t>BRASS HOSE NIPPLE 1/2"</t>
  </si>
  <si>
    <t>VEFS-12-001</t>
  </si>
  <si>
    <t>BRASS HOSE NIPPLE 3/8"</t>
  </si>
  <si>
    <t>VEFS-12-002</t>
  </si>
  <si>
    <t>BRASS NOZZLE 1/2"</t>
  </si>
  <si>
    <t>VEFS-12-003</t>
  </si>
  <si>
    <t>HYDROLIC HEX NIPPLE 3/8"</t>
  </si>
  <si>
    <t>VEFS-12-004</t>
  </si>
  <si>
    <t>NAME PLATE 3''X1'' S.S. PLATE</t>
  </si>
  <si>
    <t>VEFS-12-005</t>
  </si>
  <si>
    <t>NAME PLATE 4''X2'' S.S. PLATE</t>
  </si>
  <si>
    <t>VEFS-12-006</t>
  </si>
  <si>
    <t>NUT</t>
  </si>
  <si>
    <t>VEFS-12-007</t>
  </si>
  <si>
    <t>PU FOAM SHEETS</t>
  </si>
  <si>
    <t>VEFS-12-008</t>
  </si>
  <si>
    <t>ROLLER BLINDS</t>
  </si>
  <si>
    <t>VEFS-12-009</t>
  </si>
  <si>
    <t>BENCH VICE</t>
  </si>
  <si>
    <t>VEFS-12-010</t>
  </si>
  <si>
    <t>ELECTRICAL CONSUMABLE</t>
  </si>
  <si>
    <t>7 PIN CONNECTOR FOR RECTIFIER M/C (IN ARC 400)</t>
  </si>
  <si>
    <t>VEFS-13-001</t>
  </si>
  <si>
    <t>AC STARTER</t>
  </si>
  <si>
    <t>VEFS-13-002</t>
  </si>
  <si>
    <t>ADAPTOR FOR PENDENT HOLDER</t>
  </si>
  <si>
    <t>VEFS-13-003</t>
  </si>
  <si>
    <t>AMP METER(D C) 1500AMP</t>
  </si>
  <si>
    <t>VEFS-13-004</t>
  </si>
  <si>
    <t>BATTERY 9V</t>
  </si>
  <si>
    <t>VEFS-13-005</t>
  </si>
  <si>
    <t>BATTERY CHARGING CLIP</t>
  </si>
  <si>
    <t>VEFS-13-006</t>
  </si>
  <si>
    <t>BULB 100 W 240 V - AC</t>
  </si>
  <si>
    <t>VEFS-13-007</t>
  </si>
  <si>
    <t>BULB 24V 60W - DC Pin Type</t>
  </si>
  <si>
    <t>VEFS-13-008</t>
  </si>
  <si>
    <t>BULB 24V 60W - DC Thread Type</t>
  </si>
  <si>
    <t>VEFS-13-009</t>
  </si>
  <si>
    <t>BULB 60 V</t>
  </si>
  <si>
    <t>VEFS-13-010</t>
  </si>
  <si>
    <t>C.C PATTY</t>
  </si>
  <si>
    <t>VEFS-13-011</t>
  </si>
  <si>
    <t>CABLE GLAND 19 MM</t>
  </si>
  <si>
    <t>VEFS-13-012</t>
  </si>
  <si>
    <t>CABLE GLAND 45 MM</t>
  </si>
  <si>
    <t>VEFS-13-013</t>
  </si>
  <si>
    <t>CABLE LUG (ALU) 16 MM</t>
  </si>
  <si>
    <t>VEFS-13-014</t>
  </si>
  <si>
    <t xml:space="preserve">Pending </t>
  </si>
  <si>
    <t>CABLE LUG (ALU) 25 MM</t>
  </si>
  <si>
    <t>VEFS-13-015</t>
  </si>
  <si>
    <t>CABLE LUG (ALU) 35 MM</t>
  </si>
  <si>
    <t>VEFS-13-016</t>
  </si>
  <si>
    <t>CABLE LUGS 16 MM COPPER (RING TYPE)</t>
  </si>
  <si>
    <t>VEFS-13-017</t>
  </si>
  <si>
    <t>CABLE LUGS COPPER 19 MM</t>
  </si>
  <si>
    <t>VEFS-13-018</t>
  </si>
  <si>
    <t>CASING CAPING PARTS</t>
  </si>
  <si>
    <t>VEFS-13-019</t>
  </si>
  <si>
    <t>CFL BULB 05 WATT</t>
  </si>
  <si>
    <t>VEFS-13-020</t>
  </si>
  <si>
    <t>CFL BULB 10 WATT</t>
  </si>
  <si>
    <t>VEFS-13-021</t>
  </si>
  <si>
    <t>CFL BULB 11 WATT</t>
  </si>
  <si>
    <t>VEFS-13-022</t>
  </si>
  <si>
    <t>CFL BULB 15 W</t>
  </si>
  <si>
    <t>VEFS-13-023</t>
  </si>
  <si>
    <t>CFL BULB 23 WATT</t>
  </si>
  <si>
    <t>VEFS-13-024</t>
  </si>
  <si>
    <t>CFL BULB 9 W</t>
  </si>
  <si>
    <t>VEFS-13-025</t>
  </si>
  <si>
    <t>ELECTRIC Pendent HOLDER</t>
  </si>
  <si>
    <t>VEFS-13-026</t>
  </si>
  <si>
    <t>ELECTRICAL  SOCKET 6 AMP</t>
  </si>
  <si>
    <t>VEFS-13-027</t>
  </si>
  <si>
    <t>ELECTRICAL CABLE GLAND 12 MM</t>
  </si>
  <si>
    <t>VEFS-13-028</t>
  </si>
  <si>
    <t>ELECTRICAL CABLE GLAND 15 MM</t>
  </si>
  <si>
    <t>VEFS-13-029</t>
  </si>
  <si>
    <t>ELECTRICAL PLUG 10 AMP</t>
  </si>
  <si>
    <t>VEFS-13-030</t>
  </si>
  <si>
    <t>16A 3 Pin PVC Plug / Top - Male(220V)</t>
  </si>
  <si>
    <t>VEFS-13-031</t>
  </si>
  <si>
    <t>16A 3 Pin PVC Socket - Female(220V)</t>
  </si>
  <si>
    <t>VEFS-13-032</t>
  </si>
  <si>
    <t>32A 5 Pin PVC Plug / Top- Male(440V)</t>
  </si>
  <si>
    <t>VEFS-13-033</t>
  </si>
  <si>
    <t>32A 5 Pin PVC Socket Female(440V)</t>
  </si>
  <si>
    <t>VEFS-13-034</t>
  </si>
  <si>
    <t>ELECTRICAL SWITCH 06 AMP</t>
  </si>
  <si>
    <t>VEFS-13-035</t>
  </si>
  <si>
    <t>ELECTRICAL SWITCH 10 AMP</t>
  </si>
  <si>
    <t>VEFS-13-036</t>
  </si>
  <si>
    <t>ELECTRICAL SWITCH 15 AMP</t>
  </si>
  <si>
    <t>VEFS-13-037</t>
  </si>
  <si>
    <t>FAN HOOK</t>
  </si>
  <si>
    <t>VEFS-13-038</t>
  </si>
  <si>
    <t>FUSE FOR MAIN SWITCH 125 AMP</t>
  </si>
  <si>
    <t>VEFS-13-039</t>
  </si>
  <si>
    <t>GLASS FUES 02 AMP</t>
  </si>
  <si>
    <t>VEFS-13-040</t>
  </si>
  <si>
    <t>GLASS FUES 05 AMP</t>
  </si>
  <si>
    <t>VEFS-13-041</t>
  </si>
  <si>
    <t>GLASS FUES 06 AMP</t>
  </si>
  <si>
    <t>VEFS-13-042</t>
  </si>
  <si>
    <t>GLASS FUES 08 AMP</t>
  </si>
  <si>
    <t>VEFS-13-043</t>
  </si>
  <si>
    <t>GLASS FUES 10 AMP</t>
  </si>
  <si>
    <t>VEFS-13-044</t>
  </si>
  <si>
    <t>GLASS FUES 15 AMP</t>
  </si>
  <si>
    <t>VEFS-13-045</t>
  </si>
  <si>
    <t>HALOGEN TUBE 500 W</t>
  </si>
  <si>
    <t>VEFS-13-046</t>
  </si>
  <si>
    <t>HALOGEN TUBE1000 W</t>
  </si>
  <si>
    <t>VEFS-13-047</t>
  </si>
  <si>
    <t>VEFS-13-048</t>
  </si>
  <si>
    <t>Cotton Insulation Tape</t>
  </si>
  <si>
    <t>VEFS-13-049</t>
  </si>
  <si>
    <t>METAL CLAD PLUG 10 AMP 2 POLE</t>
  </si>
  <si>
    <t>VEFS-13-050</t>
  </si>
  <si>
    <t>METAL CLAD PLUG 20 AMP 2 POLE (220 V)</t>
  </si>
  <si>
    <t>VEFS-13-051</t>
  </si>
  <si>
    <t>METAL CLAD PLUG 20 AMP 3 POLE (415 V)</t>
  </si>
  <si>
    <t>VEFS-13-052</t>
  </si>
  <si>
    <t>METAL CLAD PLUG 30 AMP 3 POLE</t>
  </si>
  <si>
    <t>VEFS-13-053</t>
  </si>
  <si>
    <t>METAL CLAD PLUG 32 AMP 5 POLE</t>
  </si>
  <si>
    <t>VEFS-13-054</t>
  </si>
  <si>
    <t>METAL CLAD SOCKET 10 AMP 2 POLE</t>
  </si>
  <si>
    <t>VEFS-13-055</t>
  </si>
  <si>
    <t>METAL CLAD SOCKET 20 AMP 2 POLE</t>
  </si>
  <si>
    <t>VEFS-13-056</t>
  </si>
  <si>
    <t>METAL CLAD SOCKET 20 AMP 3 POLE</t>
  </si>
  <si>
    <t>VEFS-13-057</t>
  </si>
  <si>
    <t>METAL CLAD SOCKET 30 AMP 3 POLE</t>
  </si>
  <si>
    <t>VEFS-13-058</t>
  </si>
  <si>
    <t>NAIL CLIP 8 MM</t>
  </si>
  <si>
    <t>VEFS-13-059</t>
  </si>
  <si>
    <t>OUT PUT TERMINAL FOR RECTIFIER M/C (IN ARC 400)</t>
  </si>
  <si>
    <t>PANNEL LIGHT 18 W</t>
  </si>
  <si>
    <t>VEFS-13-061</t>
  </si>
  <si>
    <t>PATTY JUNCTION</t>
  </si>
  <si>
    <t>VEFS-13-062</t>
  </si>
  <si>
    <t>PENDENT HOLDER</t>
  </si>
  <si>
    <t>VEFS-13-063</t>
  </si>
  <si>
    <t>POTENTIO METER 2 K</t>
  </si>
  <si>
    <t>VEFS-13-064</t>
  </si>
  <si>
    <t>POTENTIO METER 5 K</t>
  </si>
  <si>
    <t>VEFS-13-065</t>
  </si>
  <si>
    <t>PVC PIPE 16 MM (FLEXIBLE)</t>
  </si>
  <si>
    <t>VEFS-13-066</t>
  </si>
  <si>
    <t>SOLDERING IRON</t>
  </si>
  <si>
    <t>VEFS-13-067</t>
  </si>
  <si>
    <t xml:space="preserve">SOLDERING PASTE </t>
  </si>
  <si>
    <t>VEFS-13-068</t>
  </si>
  <si>
    <t xml:space="preserve">SOLDERING WIRE </t>
  </si>
  <si>
    <t>VEFS-13-069</t>
  </si>
  <si>
    <t>STARTER FOR TUBE LIGHT</t>
  </si>
  <si>
    <t>VEFS-13-070</t>
  </si>
  <si>
    <t>STEP REGULATOR</t>
  </si>
  <si>
    <t>VEFS-13-071</t>
  </si>
  <si>
    <t>TUBE LIGHT (ROD)</t>
  </si>
  <si>
    <t>VEFS-13-072</t>
  </si>
  <si>
    <t>TUBE LIGHT 11 W</t>
  </si>
  <si>
    <t>VEFS-13-073</t>
  </si>
  <si>
    <t>TUBE LIGHT 28 W</t>
  </si>
  <si>
    <t>VEFS-13-074</t>
  </si>
  <si>
    <t>TUBE LIGHT 36 WATT</t>
  </si>
  <si>
    <t>VEFS-13-075</t>
  </si>
  <si>
    <t>POTENTIO METER 1 K</t>
  </si>
  <si>
    <t>VEFS-13-076</t>
  </si>
  <si>
    <t>PAINTING  CONSUMABLE ITEMS</t>
  </si>
  <si>
    <t>PAINT (Orange / Yellow / Green Color / Blue / Gray)</t>
  </si>
  <si>
    <t>VEFS-14-001</t>
  </si>
  <si>
    <t>ltr</t>
  </si>
  <si>
    <t>PANTING BRUSH 1"</t>
  </si>
  <si>
    <t>VEFS-14-002</t>
  </si>
  <si>
    <t>PANTING BRUSH 2"</t>
  </si>
  <si>
    <t>VEFS-14-003</t>
  </si>
  <si>
    <t>PANTING BRUSH 3."</t>
  </si>
  <si>
    <t>VEFS-14-004</t>
  </si>
  <si>
    <t>PANTING BRUSH 4."</t>
  </si>
  <si>
    <t>VEFS-14-005</t>
  </si>
  <si>
    <t>PRIMER</t>
  </si>
  <si>
    <t>VEFS-14-006</t>
  </si>
  <si>
    <t>THINNER</t>
  </si>
  <si>
    <t>VEFS-14-007</t>
  </si>
  <si>
    <t>WRITING BRUSH</t>
  </si>
  <si>
    <t>VEFS-14-008</t>
  </si>
  <si>
    <t>YELLOW PAINT</t>
  </si>
  <si>
    <t>VEFS-14-009</t>
  </si>
  <si>
    <t>STATIONARY</t>
  </si>
  <si>
    <t>BINDER CLIP Small</t>
  </si>
  <si>
    <t>VEFS-15-001</t>
  </si>
  <si>
    <t>BINDER CLIP Medium</t>
  </si>
  <si>
    <t>VEFS-15-002</t>
  </si>
  <si>
    <t>BINDER CLIP Large / Big size</t>
  </si>
  <si>
    <t>VEFS-15-003</t>
  </si>
  <si>
    <t>BINDER CLIP 41MM</t>
  </si>
  <si>
    <t>VEFS-15-004</t>
  </si>
  <si>
    <t>BINDER CLIP 51 MM</t>
  </si>
  <si>
    <t>VEFS-15-005</t>
  </si>
  <si>
    <t>BIO DATA BOOK</t>
  </si>
  <si>
    <t>VEFS-15-006</t>
  </si>
  <si>
    <t>BOARD MARKER</t>
  </si>
  <si>
    <t>VEFS-15-007</t>
  </si>
  <si>
    <t>BOX FILE (A4 SIZE)</t>
  </si>
  <si>
    <t>VEFS-15-008</t>
  </si>
  <si>
    <t>BUTTON FOLDER (PLASTIC)</t>
  </si>
  <si>
    <t>VEFS-15-009</t>
  </si>
  <si>
    <t>CALCULATOR (12 DIGIT)</t>
  </si>
  <si>
    <t>VEFS-15-010</t>
  </si>
  <si>
    <t>CARBON PAPER</t>
  </si>
  <si>
    <t>VEFS-15-011</t>
  </si>
  <si>
    <t>CELLO TAPE Thin</t>
  </si>
  <si>
    <t>VEFS-15-012</t>
  </si>
  <si>
    <t xml:space="preserve">CLOTH COVER A3 SIZE </t>
  </si>
  <si>
    <t>VEFS-15-013</t>
  </si>
  <si>
    <t xml:space="preserve">CLOTH COVER A4 SIZE </t>
  </si>
  <si>
    <t>VEFS-15-014</t>
  </si>
  <si>
    <t>DAILY WORKING REPORT SHEET</t>
  </si>
  <si>
    <t>VEFS-15-015</t>
  </si>
  <si>
    <t>DEBIT VOUCHER</t>
  </si>
  <si>
    <t>VEFS-15-016</t>
  </si>
  <si>
    <t>DELIVERY CHALLAN BOOK</t>
  </si>
  <si>
    <t>VEFS-15-017</t>
  </si>
  <si>
    <t>DRIVERS DAILY DUTY LOG SHEET</t>
  </si>
  <si>
    <t>VEFS-15-018</t>
  </si>
  <si>
    <t>EMPLOYMENT CARD</t>
  </si>
  <si>
    <t>VEFS-15-019</t>
  </si>
  <si>
    <t>ENVELOPE (PLAIN) 7 X 4</t>
  </si>
  <si>
    <t>VEFS-15-020</t>
  </si>
  <si>
    <t>ENVELOPE (PLAIN) 9 X 4</t>
  </si>
  <si>
    <t>VEFS-15-021</t>
  </si>
  <si>
    <t>ERASER</t>
  </si>
  <si>
    <t>VEFS-15-022</t>
  </si>
  <si>
    <t>FLAT FILE (PAPER FILE)</t>
  </si>
  <si>
    <t>VEFS-15-023</t>
  </si>
  <si>
    <t>FORM NO 19 CARD</t>
  </si>
  <si>
    <t>VEFS-15-024</t>
  </si>
  <si>
    <t>FUEL SLIP</t>
  </si>
  <si>
    <t>VEFS-15-025</t>
  </si>
  <si>
    <t>GLUE STICK</t>
  </si>
  <si>
    <t>VEFS-15-026</t>
  </si>
  <si>
    <t>GOODS RECEIPT BOOK</t>
  </si>
  <si>
    <t>VEFS-15-027</t>
  </si>
  <si>
    <t>HIGHLIGHTER</t>
  </si>
  <si>
    <t>VEFS-15-028</t>
  </si>
  <si>
    <t>LEGAL PAPER A4 SIZE</t>
  </si>
  <si>
    <t>VEFS-15-029</t>
  </si>
  <si>
    <t>bundle</t>
  </si>
  <si>
    <t>PAINT MARKER</t>
  </si>
  <si>
    <t>VEFS-15-030</t>
  </si>
  <si>
    <t>PERMANENT MARKER</t>
  </si>
  <si>
    <t>VEFS-15-031</t>
  </si>
  <si>
    <t>PLASTIC FILE A3 SIZE</t>
  </si>
  <si>
    <t>VEFS-15-032</t>
  </si>
  <si>
    <t>PLASTIC FILE A4 SIZE</t>
  </si>
  <si>
    <t>VEFS-15-033</t>
  </si>
  <si>
    <t>PLASTIC FILE A4 SIZE (LEVER ARCH FILE)</t>
  </si>
  <si>
    <t>VEFS-15-034</t>
  </si>
  <si>
    <t>PLASTIC FOLDER (L TYPE)</t>
  </si>
  <si>
    <t>VEFS-15-035</t>
  </si>
  <si>
    <t>PLASTIC SCALE 12''</t>
  </si>
  <si>
    <t>VEFS-15-036</t>
  </si>
  <si>
    <t>POCKET DAIRY</t>
  </si>
  <si>
    <t>VEFS-15-037</t>
  </si>
  <si>
    <t>PUNCHING M/C 480</t>
  </si>
  <si>
    <t>VEFS-15-038</t>
  </si>
  <si>
    <t>PUNCHING M/C 600</t>
  </si>
  <si>
    <t>VEFS-15-039</t>
  </si>
  <si>
    <t>REFIL (BUTTER FLOW)</t>
  </si>
  <si>
    <t>VEFS-15-040</t>
  </si>
  <si>
    <t>REQUISITION SLIP BOOK</t>
  </si>
  <si>
    <t>VEFS-15-041</t>
  </si>
  <si>
    <t>SHARPNER</t>
  </si>
  <si>
    <t>VEFS-15-042</t>
  </si>
  <si>
    <t>SPRING FILE</t>
  </si>
  <si>
    <t>VEFS-15-043</t>
  </si>
  <si>
    <t>STAPLER M/C BIG</t>
  </si>
  <si>
    <t>VEFS-15-044</t>
  </si>
  <si>
    <t>STAPLER M/C MEDDIUM (HD 45)</t>
  </si>
  <si>
    <t>VEFS-15-045</t>
  </si>
  <si>
    <t>STICK FILE (A4 SIZE)</t>
  </si>
  <si>
    <t>VEFS-15-046</t>
  </si>
  <si>
    <t>STICK PAD 3" X 3"</t>
  </si>
  <si>
    <t>VEFS-15-047</t>
  </si>
  <si>
    <t>STICK PAD 3" X 5" (ORANGE COLOUR)</t>
  </si>
  <si>
    <t>VEFS-15-048</t>
  </si>
  <si>
    <t>STICKER</t>
  </si>
  <si>
    <t>VEFS-15-049</t>
  </si>
  <si>
    <t>STORE REQUESTION FOR SITE BOOK</t>
  </si>
  <si>
    <t>VEFS-15-050</t>
  </si>
  <si>
    <t>WOODEN PENCIL</t>
  </si>
  <si>
    <t>VEFS-15-051</t>
  </si>
  <si>
    <t>Box</t>
  </si>
  <si>
    <t>WRITING PAD (MEDIUM)</t>
  </si>
  <si>
    <t>VEFS-15-052</t>
  </si>
  <si>
    <t>XEROX PAPER (A3 SIZE)</t>
  </si>
  <si>
    <t>VEFS-15-053</t>
  </si>
  <si>
    <t>XEROX PAPER A4 SIZE</t>
  </si>
  <si>
    <t>VEFS-15-054</t>
  </si>
  <si>
    <t>VOUCHER BOOK</t>
  </si>
  <si>
    <t>VEFS-15-055</t>
  </si>
  <si>
    <t>LETTER PAD (LARGE)</t>
  </si>
  <si>
    <t>VEFS-15-056</t>
  </si>
  <si>
    <t>LETTER PAD (SMALL)</t>
  </si>
  <si>
    <t>VEFS-15-057</t>
  </si>
  <si>
    <t>BLACK PEN</t>
  </si>
  <si>
    <t>VEFS-15-058</t>
  </si>
  <si>
    <t>BLUE PEN</t>
  </si>
  <si>
    <t>VEFS-15-059</t>
  </si>
  <si>
    <t>CD MARKER</t>
  </si>
  <si>
    <t>VEFS-15-060</t>
  </si>
  <si>
    <t>STAPLER PIN NO10</t>
  </si>
  <si>
    <t>VEFS-15-061</t>
  </si>
  <si>
    <t>STAPLER PIN NO24/6-1M</t>
  </si>
  <si>
    <t>VEFS-15-062</t>
  </si>
  <si>
    <t>CORRECTION PEN</t>
  </si>
  <si>
    <t>VEFS-15-063</t>
  </si>
  <si>
    <t>STAMP PAD</t>
  </si>
  <si>
    <t>VEFS-15-064</t>
  </si>
  <si>
    <t>ARROW PIN</t>
  </si>
  <si>
    <t>VEFS-15-065</t>
  </si>
  <si>
    <t>PENCIL</t>
  </si>
  <si>
    <t>VEFS-15-066</t>
  </si>
  <si>
    <t>SCISSORS</t>
  </si>
  <si>
    <t>VEFS-15-067</t>
  </si>
  <si>
    <t>THUMP PIN</t>
  </si>
  <si>
    <t>VEFS-15-068</t>
  </si>
  <si>
    <t>U PIN</t>
  </si>
  <si>
    <t>VEFS-15-069</t>
  </si>
  <si>
    <t>CARPENTRY ITEMS</t>
  </si>
  <si>
    <t xml:space="preserve">WOODEN SLEEPERS </t>
  </si>
  <si>
    <t>VEFS-16-001</t>
  </si>
  <si>
    <t>PLUMBIBG &amp; SANITARY ITEMS</t>
  </si>
  <si>
    <t>CIVIL &amp; CONSTRUCTION MATERIALS</t>
  </si>
  <si>
    <t>FIRST AID BOX KIT</t>
  </si>
  <si>
    <t>BAND AID</t>
  </si>
  <si>
    <t>VEFS-19-001</t>
  </si>
  <si>
    <t>BURNOL</t>
  </si>
  <si>
    <t>VEFS-19-002</t>
  </si>
  <si>
    <t>COTTON WOOL</t>
  </si>
  <si>
    <t>VEFS-19-003</t>
  </si>
  <si>
    <t>DETTOL / SAVLON</t>
  </si>
  <si>
    <t>VEFS-19-004</t>
  </si>
  <si>
    <t>FIRST AID BOX</t>
  </si>
  <si>
    <t>VEFS-19-005</t>
  </si>
  <si>
    <t>HYDROGEN PEROXIDE</t>
  </si>
  <si>
    <t>VEFS-19-006</t>
  </si>
  <si>
    <t>IODEX</t>
  </si>
  <si>
    <t>VEFS-19-007</t>
  </si>
  <si>
    <t>LOCULA EYE DROP</t>
  </si>
  <si>
    <t>VEFS-19-008</t>
  </si>
  <si>
    <t>PAIN RELEASE SPRAY</t>
  </si>
  <si>
    <t>VEFS-19-009</t>
  </si>
  <si>
    <t>ROSE WATER</t>
  </si>
  <si>
    <t>VEFS-19-010</t>
  </si>
  <si>
    <t>SCISSOR</t>
  </si>
  <si>
    <t>VEFS-19-011</t>
  </si>
  <si>
    <t>SOFRAMYCINE CREAM</t>
  </si>
  <si>
    <t>VEFS-19-012</t>
  </si>
  <si>
    <t>SURGICAL PLASTER</t>
  </si>
  <si>
    <t>VEFS-19-013</t>
  </si>
  <si>
    <t>TINCTURE IODINE</t>
  </si>
  <si>
    <t>VEFS-19-014</t>
  </si>
  <si>
    <t>BLASTING &amp; PAINTING</t>
  </si>
  <si>
    <t>ADHESIVE TAPE</t>
  </si>
  <si>
    <t>VEFS-20-001</t>
  </si>
  <si>
    <t>AIR HOSE WASHER BLACK 1''</t>
  </si>
  <si>
    <t>VEFS-20-002</t>
  </si>
  <si>
    <t>BLASTING GOGGLES</t>
  </si>
  <si>
    <t>VEFS-20-003</t>
  </si>
  <si>
    <t>BLASTING HOLDER</t>
  </si>
  <si>
    <t>VEFS-20-004</t>
  </si>
  <si>
    <t>BLASTING HOSE 1 1/4''</t>
  </si>
  <si>
    <t>VEFS-20-005</t>
  </si>
  <si>
    <t>BLASTING NOZZLE</t>
  </si>
  <si>
    <t>VEFS-20-006</t>
  </si>
  <si>
    <t>COPPER SLAG</t>
  </si>
  <si>
    <t>VEFS-20-007</t>
  </si>
  <si>
    <t>MT</t>
  </si>
  <si>
    <t>GUN SEAT FOR PAINTING GUN</t>
  </si>
  <si>
    <t>VEFS-20-008</t>
  </si>
  <si>
    <t>SOCKET FOR BLASTING NOZZLE</t>
  </si>
  <si>
    <t>VEFS-20-009</t>
  </si>
  <si>
    <t>SPRAY GUN TIP (217)</t>
  </si>
  <si>
    <t>VEFS-20-010</t>
  </si>
  <si>
    <t>FASTENERS</t>
  </si>
  <si>
    <t>PPE</t>
  </si>
  <si>
    <t>BARRICATION RIBBON 250 MTR</t>
  </si>
  <si>
    <t>VEFS-22-001</t>
  </si>
  <si>
    <t>BARRICATION TAPE</t>
  </si>
  <si>
    <t>VEFS-22-002</t>
  </si>
  <si>
    <t>BOILER SUIT Workers (M) - Navy Blue / Royal Blue / Orange</t>
  </si>
  <si>
    <t>VEFS-22-003</t>
  </si>
  <si>
    <t>BOILER SUIT Workers (L) - Navy Blue / Royal Blue / Orange</t>
  </si>
  <si>
    <t>VEFS-22-004</t>
  </si>
  <si>
    <t>BOILER SUIT Workers (XL) - Navy Blue / Royal Blue / Orange</t>
  </si>
  <si>
    <t>VEFS-22-005</t>
  </si>
  <si>
    <t>BOILER SUIT Workers (XXL) - Navy Blue / Royal Blue / Orange</t>
  </si>
  <si>
    <t>VEFS-22-006</t>
  </si>
  <si>
    <t>BOILER SUIT YELLOW (L) FOR SCAFFOLDER</t>
  </si>
  <si>
    <t>VEFS-22-007</t>
  </si>
  <si>
    <t>BOILER SUIT YELLOW (M) FOR SCAFFOLDER</t>
  </si>
  <si>
    <t>VEFS-22-008</t>
  </si>
  <si>
    <t>BOILER SUIT YELLOW (XL) FOR SCAFFOLDER</t>
  </si>
  <si>
    <t>VEFS-22-009</t>
  </si>
  <si>
    <t>BOILER SUIT YELLOW (XXL) FOR SCAFFOLDER</t>
  </si>
  <si>
    <t>VEFS-22-010</t>
  </si>
  <si>
    <t>BOILER SUIT (L) STAFF - Orange / Grey / Navy Blue</t>
  </si>
  <si>
    <t>VEFS-22-011</t>
  </si>
  <si>
    <t>BOILER SUIT (M) STAFF - Orange / Grey / Navy Blue</t>
  </si>
  <si>
    <t>VEFS-22-012</t>
  </si>
  <si>
    <t>BOILER SUIT (XL) STAFF - Orange / Grey / Navy Blue</t>
  </si>
  <si>
    <t>VEFS-22-013</t>
  </si>
  <si>
    <t>BOILER SUIT (XXL) STAFF - Orange / Grey / Navy Blue</t>
  </si>
  <si>
    <t>VEFS-22-014</t>
  </si>
  <si>
    <t>CUTTING GOGGLE (SPECTACLE)</t>
  </si>
  <si>
    <t>EAR PLUG</t>
  </si>
  <si>
    <t>VEFS-22-016</t>
  </si>
  <si>
    <t>FACE SHIELD</t>
  </si>
  <si>
    <t>VEFS-22-017</t>
  </si>
  <si>
    <t xml:space="preserve">FIRE EXTINGUISHER (DCP TYPE) 4 KG </t>
  </si>
  <si>
    <t>VEFS-22-018</t>
  </si>
  <si>
    <t>GRINDING GOGGLES</t>
  </si>
  <si>
    <t>VEFS-22-019</t>
  </si>
  <si>
    <t>OVER GOGGLES</t>
  </si>
  <si>
    <t>VEFS-22-020</t>
  </si>
  <si>
    <t>HAND GLOVES COTTON (RUBBER DOTED TYPE)</t>
  </si>
  <si>
    <t>VEFS-22-021</t>
  </si>
  <si>
    <t>LATEX HAND GLOVES</t>
  </si>
  <si>
    <t>VEFS-22-022</t>
  </si>
  <si>
    <t>Pair</t>
  </si>
  <si>
    <t>LEATHER APPRON</t>
  </si>
  <si>
    <t>VEFS-22-023</t>
  </si>
  <si>
    <t>VEFS-22-024</t>
  </si>
  <si>
    <t>LEATHER HAND SLEEVE</t>
  </si>
  <si>
    <t>VEFS-22-025</t>
  </si>
  <si>
    <t>LEATHER LEG GUARD</t>
  </si>
  <si>
    <t>VEFS-22-026</t>
  </si>
  <si>
    <t>NOSE MASK / Dust Mask</t>
  </si>
  <si>
    <t>VEFS-22-027</t>
  </si>
  <si>
    <t>REFLECTIVE JACKET - Fluroscent Green / Orange Color</t>
  </si>
  <si>
    <t>VEFS-22-028</t>
  </si>
  <si>
    <t>Full Body Harness (Safety Belts) with shock absorber - KARAM / Udyogi</t>
  </si>
  <si>
    <t>VEFS-22-029</t>
  </si>
  <si>
    <t>SAFETY GOGGLES BLACK Color for Helpers</t>
  </si>
  <si>
    <t>VEFS-22-030</t>
  </si>
  <si>
    <t>SAFETY GOGGLES WHITE</t>
  </si>
  <si>
    <t>VEFS-22-031</t>
  </si>
  <si>
    <t>SAFETY HELMET (GREEN)</t>
  </si>
  <si>
    <t>VEFS-22-032</t>
  </si>
  <si>
    <t>SAFETY HELMET (RED)</t>
  </si>
  <si>
    <t>VEFS-22-033</t>
  </si>
  <si>
    <t>SAFETY HELMET (WHITE)</t>
  </si>
  <si>
    <t>VEFS-22-034</t>
  </si>
  <si>
    <t>SAFETY HELMET WITH FLIP ON FACE SHIELD / Grinder clear shield with helmet</t>
  </si>
  <si>
    <t>VEFS-22-035</t>
  </si>
  <si>
    <t>SAFETY HELMET(YELLOW)</t>
  </si>
  <si>
    <t>VEFS-22-036</t>
  </si>
  <si>
    <t>SAFETY SHOE (S) 6"</t>
  </si>
  <si>
    <t>VEFS-22-037</t>
  </si>
  <si>
    <t>SAFETY SHOE (S) 7"</t>
  </si>
  <si>
    <t>VEFS-22-038</t>
  </si>
  <si>
    <t>SAFETY SHOE (S) 8"</t>
  </si>
  <si>
    <t>VEFS-22-039</t>
  </si>
  <si>
    <t>SAFETY SHOE (S) 9"</t>
  </si>
  <si>
    <t>VEFS-22-040</t>
  </si>
  <si>
    <t>SAFETY SHOE (S)10"</t>
  </si>
  <si>
    <t>VEFS-22-041</t>
  </si>
  <si>
    <t>TRAFIC CONES</t>
  </si>
  <si>
    <t>VEFS-22-042</t>
  </si>
  <si>
    <t>WELDING HELMET WITH SAFETY HELMET</t>
  </si>
  <si>
    <t>SAFETY HELMET WITHOUT FLIP ON FACE SHIELD / Grinder clear shield without Helmet</t>
  </si>
  <si>
    <t>VEFS-22-044</t>
  </si>
  <si>
    <t>Full Body Harness (Safety Belts) without shock absorber - KARAM / Udyogi</t>
  </si>
  <si>
    <t>VEFS-22-045</t>
  </si>
  <si>
    <t>Welding Helmet WITHOUT SAFETY HELMET</t>
  </si>
  <si>
    <t>BOILER SUIT Workers (S) - Navy Blue / Royal Blue / Orange</t>
  </si>
  <si>
    <t>VEFS-22-047</t>
  </si>
  <si>
    <t>BUFFING WHEELS</t>
  </si>
  <si>
    <t>BUFFING WHEEL Cup Type CS 4"</t>
  </si>
  <si>
    <t>VEFS-23-001</t>
  </si>
  <si>
    <t>BUFFING WHEEL Cup Type CS 5"</t>
  </si>
  <si>
    <t>VEFS-23-002</t>
  </si>
  <si>
    <t>BUFFING WHEEL Cup Type CS 7"</t>
  </si>
  <si>
    <t>VEFS-23-003</t>
  </si>
  <si>
    <t>BUFFING WHEEL Round / Wire Type CS 4"</t>
  </si>
  <si>
    <t>VEFS-23-004</t>
  </si>
  <si>
    <t>BUFFING WHEEL Round / Wire Type CS 5"</t>
  </si>
  <si>
    <t>VEFS-23-005</t>
  </si>
  <si>
    <t>BUFFING WHEEL Round / Wire Type CS 7"</t>
  </si>
  <si>
    <t>VEFS-23-006</t>
  </si>
  <si>
    <t>BUFFING WHEEL Cup Type SS 4"</t>
  </si>
  <si>
    <t>VEFS-23-007</t>
  </si>
  <si>
    <t>BUFFING WHEEL Cup Type SS 5"</t>
  </si>
  <si>
    <t>VEFS-23-008</t>
  </si>
  <si>
    <t>BUFFING WHEEL Cup Type SS 7"</t>
  </si>
  <si>
    <t>VEFS-23-009</t>
  </si>
  <si>
    <t>BUFFING WHEEL Round / Wire Type SS 4"</t>
  </si>
  <si>
    <t>VEFS-23-010</t>
  </si>
  <si>
    <t>BUFFING WHEEL Round / Wire Type SS 5"</t>
  </si>
  <si>
    <t>VEFS-23-011</t>
  </si>
  <si>
    <t>BUFFING WHEEL Round / Wire Type SS 7"</t>
  </si>
  <si>
    <t>VEFS-23-012</t>
  </si>
  <si>
    <t>REQUIRED TOOL &amp; TACKELS</t>
  </si>
  <si>
    <t>DATE:-24-07-2017</t>
  </si>
  <si>
    <t>REV-03</t>
  </si>
  <si>
    <t>CO2 CYLINDER KEY</t>
  </si>
  <si>
    <t>VETT-01-001</t>
  </si>
  <si>
    <t>CUTTING HOSE BLACK</t>
  </si>
  <si>
    <t>VETT-01-002</t>
  </si>
  <si>
    <t>CUTTING HOSE BLUE(O2)</t>
  </si>
  <si>
    <t>VETT-01-003</t>
  </si>
  <si>
    <t>CUTTING HOSE RED(DA)</t>
  </si>
  <si>
    <t>VETT-01-004</t>
  </si>
  <si>
    <t>VETT-01-005</t>
  </si>
  <si>
    <t>CYLINDER KEY</t>
  </si>
  <si>
    <t>VETT-01-006</t>
  </si>
  <si>
    <t>For O2,Ar,N2 &amp; DA.</t>
  </si>
  <si>
    <t>FLASH BACK ARRESTOR FOR D/A (C/TORCH)</t>
  </si>
  <si>
    <t>VETT-01-007</t>
  </si>
  <si>
    <t>FLASH BACK ARRESTOR FOR D/A (REGULATOR)</t>
  </si>
  <si>
    <t>VETT-01-008</t>
  </si>
  <si>
    <t>FLASH BACK ARRESTOR FOR L.P.G. (REGULATOR)</t>
  </si>
  <si>
    <t>VETT-01-009</t>
  </si>
  <si>
    <t>FLASH BACK ARRESTOR FOR L.P.G. (TORCH)</t>
  </si>
  <si>
    <t>VETT-01-010</t>
  </si>
  <si>
    <t>FLASH BACK ARRESTOR FOR OXYGEN (C/TORCH)</t>
  </si>
  <si>
    <t>VETT-01-011</t>
  </si>
  <si>
    <t>FLASH BACK ARRESTOR FOR OXYGEN (REGULATOR)</t>
  </si>
  <si>
    <t>VETT-01-012</t>
  </si>
  <si>
    <t>FLASH BACK ARRESTOR FOR PUG M/C (D/A)</t>
  </si>
  <si>
    <t>VETT-01-013</t>
  </si>
  <si>
    <t>FLASH BACK ARRESTOR FOR PUG M/C (OXY)</t>
  </si>
  <si>
    <t>VETT-01-014</t>
  </si>
  <si>
    <t xml:space="preserve">NUT &amp; NIPPLE FOR CUTTING TORCH </t>
  </si>
  <si>
    <t>VETT-01-015</t>
  </si>
  <si>
    <t>NUT &amp; NIPPLE FOR REGULATOR</t>
  </si>
  <si>
    <t>VETT-01-016</t>
  </si>
  <si>
    <t>RAIL FOR PUG CUTTING MACHINE</t>
  </si>
  <si>
    <t>VETT-01-017</t>
  </si>
  <si>
    <t>REGULATOR FOR D/A</t>
  </si>
  <si>
    <t>VETT-01-018</t>
  </si>
  <si>
    <t>REGULATOR FOR L.P.G.</t>
  </si>
  <si>
    <t>VETT-01-019</t>
  </si>
  <si>
    <t>REGULATOR FOR OXYGEN</t>
  </si>
  <si>
    <t>VETT-01-020</t>
  </si>
  <si>
    <t>TRACK FOR PUG M/C ALLUMINIUM</t>
  </si>
  <si>
    <t>VETT-01-021</t>
  </si>
  <si>
    <t>TRACK FOR SAW M/C</t>
  </si>
  <si>
    <t>VETT-01-022</t>
  </si>
  <si>
    <t>PUG  M/C TORCH</t>
  </si>
  <si>
    <t>VETT-01-023</t>
  </si>
  <si>
    <t>ADAPTOR FOR MIG TORCH</t>
  </si>
  <si>
    <t>VETT-02-001</t>
  </si>
  <si>
    <t>ARGON FLOW METER</t>
  </si>
  <si>
    <t>VETT-02-002</t>
  </si>
  <si>
    <t>ARGON SET( GC-200)</t>
  </si>
  <si>
    <t>VETT-02-003</t>
  </si>
  <si>
    <t>ARGON SET( GC-300)</t>
  </si>
  <si>
    <t>VETT-02-004</t>
  </si>
  <si>
    <t>CABLE 35 MM COPPER</t>
  </si>
  <si>
    <t>VETT-02-005</t>
  </si>
  <si>
    <t>CABLE 50MM COPPER</t>
  </si>
  <si>
    <t>VETT-02-006</t>
  </si>
  <si>
    <t>CABLE 70MM ALLU</t>
  </si>
  <si>
    <t>VETT-02-007</t>
  </si>
  <si>
    <t>CABLE 95MM ALLU</t>
  </si>
  <si>
    <t>VETT-02-008</t>
  </si>
  <si>
    <t>EXTENTION FOR SAW NOZZLE 100MM</t>
  </si>
  <si>
    <t>VETT-02-009</t>
  </si>
  <si>
    <t>EXTENTION FOR SAW NOZZLE 170MM</t>
  </si>
  <si>
    <t>VETT-02-010</t>
  </si>
  <si>
    <t>GROONE NOZZLE FOR SAW 4MMX300MM</t>
  </si>
  <si>
    <t>VETT-02-011</t>
  </si>
  <si>
    <t>HEATING CANDLE SA-5 FOR C.N.G</t>
  </si>
  <si>
    <t>VETT-02-012</t>
  </si>
  <si>
    <t>HEATING TORCH</t>
  </si>
  <si>
    <t>VETT-02-013</t>
  </si>
  <si>
    <t>HEATING TORCH BURNER</t>
  </si>
  <si>
    <t>VETT-02-014</t>
  </si>
  <si>
    <t>MIG LINER (D &amp; H)</t>
  </si>
  <si>
    <t>VETT-02-015</t>
  </si>
  <si>
    <t>VETT-02-016</t>
  </si>
  <si>
    <t>REGULATOR FOR ARGON</t>
  </si>
  <si>
    <t>VETT-02-017</t>
  </si>
  <si>
    <t>REGULATOR FOR CO2 WITH HEATER</t>
  </si>
  <si>
    <t>VETT-02-018</t>
  </si>
  <si>
    <t>REGULATOR FOR W/RECTIFIER (CO2)</t>
  </si>
  <si>
    <t>VETT-02-019</t>
  </si>
  <si>
    <t>REGULATOR FOR W/RECTIFIER (INVENTOR TYPE)</t>
  </si>
  <si>
    <t>VETT-02-020</t>
  </si>
  <si>
    <t>REGULATOR WITH FLOW METER&amp;HEATER (CO2)</t>
  </si>
  <si>
    <t>VETT-02-021</t>
  </si>
  <si>
    <t>SIDE EXTENTION FOR SAW WELDING M/C</t>
  </si>
  <si>
    <t>VETT-02-022</t>
  </si>
  <si>
    <t>WIRE ROLLER (SAW) 3-4</t>
  </si>
  <si>
    <t>VETT-02-023</t>
  </si>
  <si>
    <t>WIRE ROLLER (SAW) 4-5</t>
  </si>
  <si>
    <t>VETT-02-024</t>
  </si>
  <si>
    <t>ADJUSTABLE WRENCH 12"</t>
  </si>
  <si>
    <t>VETT-03-001</t>
  </si>
  <si>
    <t>ALLEN HEAD SOCKET (FEMALE 1/2 to MALE 3) FOR TORQUE WRENCH</t>
  </si>
  <si>
    <t>VETT-03-002</t>
  </si>
  <si>
    <t>ALLENKEY 8 MM</t>
  </si>
  <si>
    <t>VETT-03-003</t>
  </si>
  <si>
    <t>ALLENKEY SET 1.5MM TO 10MM</t>
  </si>
  <si>
    <t>VETT-03-004</t>
  </si>
  <si>
    <t>ALLUMINIUM LADDER</t>
  </si>
  <si>
    <t>VETT-03-005</t>
  </si>
  <si>
    <t>BOX SPANNER SET</t>
  </si>
  <si>
    <t>VETT-03-006</t>
  </si>
  <si>
    <t>CENTER PUNCH 5"</t>
  </si>
  <si>
    <t>VETT-03-007</t>
  </si>
  <si>
    <t>CHIPPING HAMMER</t>
  </si>
  <si>
    <t>VETT-03-008</t>
  </si>
  <si>
    <t>CHISSEL 6'',8"</t>
  </si>
  <si>
    <t>VETT-03-009</t>
  </si>
  <si>
    <t xml:space="preserve">CRIMPING TOOL </t>
  </si>
  <si>
    <t>VETT-03-010</t>
  </si>
  <si>
    <t>CRIMPING TOOL (BIG)</t>
  </si>
  <si>
    <t>VETT-03-011</t>
  </si>
  <si>
    <t>CUTTING PLIER 6''</t>
  </si>
  <si>
    <t>VETT-03-012</t>
  </si>
  <si>
    <t>CYLINDER TROLLY</t>
  </si>
  <si>
    <t>VETT-03-013</t>
  </si>
  <si>
    <t>DIVIDER 06"</t>
  </si>
  <si>
    <t>VETT-03-014</t>
  </si>
  <si>
    <t>DIVIDER 12"</t>
  </si>
  <si>
    <t>VETT-03-015</t>
  </si>
  <si>
    <t>DIVIDER 18"</t>
  </si>
  <si>
    <t>VETT-03-016</t>
  </si>
  <si>
    <t>DIVIDER 24"</t>
  </si>
  <si>
    <t>VETT-03-017</t>
  </si>
  <si>
    <t>HYDRAULIC TORQUE WRENCH</t>
  </si>
  <si>
    <t>A</t>
  </si>
  <si>
    <t>VETT-03-018</t>
  </si>
  <si>
    <t>ELECTRIC TORQUE WRENCH WITH DIGITAL DISPLAY</t>
  </si>
  <si>
    <t>VETT-03-019</t>
  </si>
  <si>
    <t>FILE FLAT R 12"</t>
  </si>
  <si>
    <t>VETT-03-020</t>
  </si>
  <si>
    <t>FILE FLAT S 12"</t>
  </si>
  <si>
    <t>VETT-03-021</t>
  </si>
  <si>
    <t>FILE HALF ROUND R 12"</t>
  </si>
  <si>
    <t>VETT-03-022</t>
  </si>
  <si>
    <t>FILE HALF ROUND S 12"</t>
  </si>
  <si>
    <t>VETT-03-023</t>
  </si>
  <si>
    <t>FILE ROUND R 12"</t>
  </si>
  <si>
    <t>VETT-03-024</t>
  </si>
  <si>
    <t>FILE ROUND S 12"</t>
  </si>
  <si>
    <t>VETT-03-025</t>
  </si>
  <si>
    <t>HACKSAW FRAME</t>
  </si>
  <si>
    <t>VETT-03-026</t>
  </si>
  <si>
    <t>HAMMER 5 LBS</t>
  </si>
  <si>
    <t>VETT-03-027</t>
  </si>
  <si>
    <t>HAMMER 10 LBS</t>
  </si>
  <si>
    <t>VETT-03-028</t>
  </si>
  <si>
    <t>HAMMER 20 LBS</t>
  </si>
  <si>
    <t>VETT-03-029</t>
  </si>
  <si>
    <t>BRASS HAMMER 6 LBS</t>
  </si>
  <si>
    <t>VETT-03-030</t>
  </si>
  <si>
    <t>HAND BARREL PUMP</t>
  </si>
  <si>
    <t>VETT-03-031</t>
  </si>
  <si>
    <t>HAND PUMP FOR BICYCLE</t>
  </si>
  <si>
    <t>VETT-03-032</t>
  </si>
  <si>
    <t>IMPACT WRENCH GDS 30</t>
  </si>
  <si>
    <t>VETT-03-033</t>
  </si>
  <si>
    <t>LETTER PUNCH 1/4"</t>
  </si>
  <si>
    <t>VETT-03-034</t>
  </si>
  <si>
    <t>LETTER PUNCH DOTTED A-Z</t>
  </si>
  <si>
    <t>VETT-03-035</t>
  </si>
  <si>
    <t>NUMBER DOTTED 0-9</t>
  </si>
  <si>
    <t>VETT-03-036</t>
  </si>
  <si>
    <t>NUMBER PUNCH 1/4"</t>
  </si>
  <si>
    <t>VETT-03-037</t>
  </si>
  <si>
    <t>PIPE WRENCH 14"</t>
  </si>
  <si>
    <t>VETT-03-038</t>
  </si>
  <si>
    <t>PIPE WRENCH 18"</t>
  </si>
  <si>
    <t>VETT-03-039</t>
  </si>
  <si>
    <t>PIPE WRENCH 24"</t>
  </si>
  <si>
    <t>VETT-03-040</t>
  </si>
  <si>
    <t>PLIER (CUTTING PLIER) 8"</t>
  </si>
  <si>
    <t>VETT-03-041</t>
  </si>
  <si>
    <t>PLIER (NOSE PLIER) 6"</t>
  </si>
  <si>
    <t>VETT-03-042</t>
  </si>
  <si>
    <t>PLUMB BOB</t>
  </si>
  <si>
    <t>VETT-03-043</t>
  </si>
  <si>
    <t>POLYTHINE SHEET 0.5MM THK</t>
  </si>
  <si>
    <t>VETT-03-044</t>
  </si>
  <si>
    <t>RATCHET HANDLE WITH SQ.COUPLER FOR BOX SPANNER</t>
  </si>
  <si>
    <t>VETT-03-045</t>
  </si>
  <si>
    <t>REVETING TOOL</t>
  </si>
  <si>
    <t>VETT-03-046</t>
  </si>
  <si>
    <t>RIGHT ANGLE 06"</t>
  </si>
  <si>
    <t>VETT-03-047</t>
  </si>
  <si>
    <t>RIGHT ANGLE 08"</t>
  </si>
  <si>
    <t>VETT-03-048</t>
  </si>
  <si>
    <t>RIGHT ANGLE 12"</t>
  </si>
  <si>
    <t>VETT-03-049</t>
  </si>
  <si>
    <t>RIGHT ANGLE 18"</t>
  </si>
  <si>
    <t>VETT-03-050</t>
  </si>
  <si>
    <t>RIGHT ANGLE 24"</t>
  </si>
  <si>
    <t>VETT-03-051</t>
  </si>
  <si>
    <t>ROUND MAGNET 2"</t>
  </si>
  <si>
    <t>VETT-03-052</t>
  </si>
  <si>
    <t>SCREW DRIVER (BIT SET)  46 PCS</t>
  </si>
  <si>
    <t>VETT-03-053</t>
  </si>
  <si>
    <t>SCREW DRIVER 06"</t>
  </si>
  <si>
    <t>VETT-03-054</t>
  </si>
  <si>
    <t>SCREW DRIVER 08"</t>
  </si>
  <si>
    <t>VETT-03-055</t>
  </si>
  <si>
    <t>SCREW DRIVER 10"</t>
  </si>
  <si>
    <t>VETT-03-056</t>
  </si>
  <si>
    <t>SCREW DRIVER 12" (INSULATED)</t>
  </si>
  <si>
    <t>VETT-03-057</t>
  </si>
  <si>
    <t>SCREW DRIVER 12" (INSULATED) 2 IN 1</t>
  </si>
  <si>
    <t>VETT-03-058</t>
  </si>
  <si>
    <t>SCREW DRIVER 18"</t>
  </si>
  <si>
    <t>VETT-03-059</t>
  </si>
  <si>
    <t>SCREW DRIVER STAR TYPE SET</t>
  </si>
  <si>
    <t>VETT-03-060</t>
  </si>
  <si>
    <t>SHIM CUTTER 12"</t>
  </si>
  <si>
    <t>VETT-03-061</t>
  </si>
  <si>
    <t>SHIM CUTTER 8"</t>
  </si>
  <si>
    <t>VETT-03-062</t>
  </si>
  <si>
    <t>SHIM CUTTER 6"</t>
  </si>
  <si>
    <t>VETT-03-063</t>
  </si>
  <si>
    <t>SLIDING T BAR FOR BOX SPANNER</t>
  </si>
  <si>
    <t>VETT-03-064</t>
  </si>
  <si>
    <t>SOCKET  SET FOR TORQUE WRENCH</t>
  </si>
  <si>
    <t>VETT-03-065</t>
  </si>
  <si>
    <t>TORQUE WRENCH 70 TO 340 NM</t>
  </si>
  <si>
    <t>VETT-03-066</t>
  </si>
  <si>
    <t>VETT-03-067</t>
  </si>
  <si>
    <t>SPIRIT LEVEL 12" ALLU</t>
  </si>
  <si>
    <t>VETT-03-068</t>
  </si>
  <si>
    <t>SPIRIT LEVEL 12" MAGNETIC</t>
  </si>
  <si>
    <t>VETT-03-069</t>
  </si>
  <si>
    <t>TARPOLINE (H.D.P.E.) 12'X12'</t>
  </si>
  <si>
    <t>VETT-03-070</t>
  </si>
  <si>
    <t>TARPOLINE (H.D.P.E.) 27'X30'</t>
  </si>
  <si>
    <t>VETT-03-071</t>
  </si>
  <si>
    <t>TARPOLINE (PLASTIC) 12'X12'</t>
  </si>
  <si>
    <t>VETT-03-072</t>
  </si>
  <si>
    <t>TARPOLINE (PLASTIC) 15'X15'</t>
  </si>
  <si>
    <t>VETT-03-073</t>
  </si>
  <si>
    <t>TARPOLINE (PLASTIC) 15'X18'</t>
  </si>
  <si>
    <t>VETT-03-074</t>
  </si>
  <si>
    <t>TARPOLINE (PLASTIC) 18'X24'</t>
  </si>
  <si>
    <t>VETT-03-075</t>
  </si>
  <si>
    <t>TARPOLINE 18'X12'</t>
  </si>
  <si>
    <t>VETT-03-076</t>
  </si>
  <si>
    <t>TOMMY BAR 21"</t>
  </si>
  <si>
    <t>VETT-03-077</t>
  </si>
  <si>
    <t>TONG TESTER</t>
  </si>
  <si>
    <t>VETT-03-078</t>
  </si>
  <si>
    <t>TOOL BOX</t>
  </si>
  <si>
    <t>VETT-03-079</t>
  </si>
  <si>
    <t>VETT-03-080</t>
  </si>
  <si>
    <t xml:space="preserve">WATER LEVEL PIPE 3/8'' </t>
  </si>
  <si>
    <t>VETT-03-081</t>
  </si>
  <si>
    <t>WEIGHING SCALE</t>
  </si>
  <si>
    <t>VETT-03-082</t>
  </si>
  <si>
    <t>WIRE CUTTER 18''</t>
  </si>
  <si>
    <t>VETT-03-083</t>
  </si>
  <si>
    <t>HAMMERING SPANNER HAMMERING (INCHS) 1 1/2"</t>
  </si>
  <si>
    <t>VETT-03-084</t>
  </si>
  <si>
    <t>HAMMERING SPANNER HAMMERING (INCHS) 1 3/4"</t>
  </si>
  <si>
    <t>VETT-03-085</t>
  </si>
  <si>
    <t>HAMMERING SPANNER HAMMERING (INCHS) 1 3/8"</t>
  </si>
  <si>
    <t>VETT-03-086</t>
  </si>
  <si>
    <t>HAMMERING SPANNER RINGH (INCHS) 1 1/2"</t>
  </si>
  <si>
    <t>VETT-03-087</t>
  </si>
  <si>
    <t>HAMMERING SPANNER RINGH (INCHS) 1 3/4"</t>
  </si>
  <si>
    <t>VETT-03-088</t>
  </si>
  <si>
    <t>HAMMERING SPANNER RINGH (INCHS) 1 3/8"</t>
  </si>
  <si>
    <t>VETT-03-089</t>
  </si>
  <si>
    <t>BOX SPANNER SOCKET 32X1/2"</t>
  </si>
  <si>
    <t>090</t>
  </si>
  <si>
    <t>VETT-03-090</t>
  </si>
  <si>
    <t>BOX SPANNER SOCKET 30X1/2"</t>
  </si>
  <si>
    <t>091</t>
  </si>
  <si>
    <t>VETT-03-091</t>
  </si>
  <si>
    <t>BOX SPANNER SOCKET 27X1/2"</t>
  </si>
  <si>
    <t>092</t>
  </si>
  <si>
    <t>VETT-03-092</t>
  </si>
  <si>
    <t>BOX SPANNER SOCKET 22X1/2"</t>
  </si>
  <si>
    <t>093</t>
  </si>
  <si>
    <t>VETT-03-093</t>
  </si>
  <si>
    <t>BOX SPANNER SOCKET 24X1/2"</t>
  </si>
  <si>
    <t>094</t>
  </si>
  <si>
    <t>VETT-03-094</t>
  </si>
  <si>
    <t>BOX SPANNER SOCKET 24X3/4"</t>
  </si>
  <si>
    <t>095</t>
  </si>
  <si>
    <t>VETT-03-095</t>
  </si>
  <si>
    <t>BOX SPANNER SOCKET 27X3/4"</t>
  </si>
  <si>
    <t>096</t>
  </si>
  <si>
    <t>VETT-03-096</t>
  </si>
  <si>
    <t>BOX SPANNER SOCKET 32X3/4"</t>
  </si>
  <si>
    <t>097</t>
  </si>
  <si>
    <t>VETT-03-097</t>
  </si>
  <si>
    <t>BOX SPANNER SOCKET 36X3/4"</t>
  </si>
  <si>
    <t>098</t>
  </si>
  <si>
    <t>VETT-03-098</t>
  </si>
  <si>
    <t>BOX SPANNER SOCKET 41X3/4"</t>
  </si>
  <si>
    <t>099</t>
  </si>
  <si>
    <t>VETT-03-099</t>
  </si>
  <si>
    <t>BOX SPANNER SOCKET 38X3/4"</t>
  </si>
  <si>
    <t>100</t>
  </si>
  <si>
    <t>VETT-03-100</t>
  </si>
  <si>
    <t>BOX SPANNER SOCKET 50X3/4"</t>
  </si>
  <si>
    <t>101</t>
  </si>
  <si>
    <t>VETT-03-101</t>
  </si>
  <si>
    <t>BOX SPANNER SOCKET 41X1"</t>
  </si>
  <si>
    <t>102</t>
  </si>
  <si>
    <t>VETT-03-102</t>
  </si>
  <si>
    <t>BOX SPANNER EXTENSION ROD 1/2 X 1/2"</t>
  </si>
  <si>
    <t>103</t>
  </si>
  <si>
    <t>VETT-03-103</t>
  </si>
  <si>
    <t>BOX SPANNER EXTENSION ROD 3/4 X 3/4"</t>
  </si>
  <si>
    <t>104</t>
  </si>
  <si>
    <t>VETT-03-104</t>
  </si>
  <si>
    <t>BOX SPANNER ADAPTOR 3/4X1/2"</t>
  </si>
  <si>
    <t>105</t>
  </si>
  <si>
    <t>VETT-03-105</t>
  </si>
  <si>
    <t>BOX SPANNER ADAPTOR 3/4X3/4"</t>
  </si>
  <si>
    <t>106</t>
  </si>
  <si>
    <t>VETT-03-106</t>
  </si>
  <si>
    <t>BOX SPANNER ADAPTOR 3/4X1"</t>
  </si>
  <si>
    <t>107</t>
  </si>
  <si>
    <t>VETT-03-107</t>
  </si>
  <si>
    <t>RING SPANNER 6X7</t>
  </si>
  <si>
    <t>108</t>
  </si>
  <si>
    <t>VETT-03-108</t>
  </si>
  <si>
    <t>RING SPANNER 8X9</t>
  </si>
  <si>
    <t>109</t>
  </si>
  <si>
    <t>VETT-03-109</t>
  </si>
  <si>
    <t>RING SPANNER 10X11</t>
  </si>
  <si>
    <t>110</t>
  </si>
  <si>
    <t>VETT-03-110</t>
  </si>
  <si>
    <t>RING SPANNER 12X13</t>
  </si>
  <si>
    <t>111</t>
  </si>
  <si>
    <t>VETT-03-111</t>
  </si>
  <si>
    <t>RING SPANNER 14X15</t>
  </si>
  <si>
    <t>112</t>
  </si>
  <si>
    <t>VETT-03-112</t>
  </si>
  <si>
    <t>RING SPANNER 16X17</t>
  </si>
  <si>
    <t>113</t>
  </si>
  <si>
    <t>VETT-03-113</t>
  </si>
  <si>
    <t>RING SPANNER 18X19</t>
  </si>
  <si>
    <t>114</t>
  </si>
  <si>
    <t>VETT-03-114</t>
  </si>
  <si>
    <t>RING SPANNER 20X22</t>
  </si>
  <si>
    <t>115</t>
  </si>
  <si>
    <t>VETT-03-115</t>
  </si>
  <si>
    <t>RING SPANNER 21X23</t>
  </si>
  <si>
    <t>116</t>
  </si>
  <si>
    <t>VETT-03-116</t>
  </si>
  <si>
    <t>RING SPANNER 24X27</t>
  </si>
  <si>
    <t>117</t>
  </si>
  <si>
    <t>VETT-03-117</t>
  </si>
  <si>
    <t>RING SPANNER 30X32</t>
  </si>
  <si>
    <t>118</t>
  </si>
  <si>
    <t>VETT-03-118</t>
  </si>
  <si>
    <t>RING SPANNER 32X36</t>
  </si>
  <si>
    <t>119</t>
  </si>
  <si>
    <t>VETT-03-119</t>
  </si>
  <si>
    <t>RING SPANNER 34X36</t>
  </si>
  <si>
    <t>120</t>
  </si>
  <si>
    <t>VETT-03-120</t>
  </si>
  <si>
    <t>RING SPANNER 34X38</t>
  </si>
  <si>
    <t>121</t>
  </si>
  <si>
    <t>VETT-03-121</t>
  </si>
  <si>
    <t>RING SPANNER 36X41</t>
  </si>
  <si>
    <t>122</t>
  </si>
  <si>
    <t>VETT-03-122</t>
  </si>
  <si>
    <t>123</t>
  </si>
  <si>
    <t>VETT-03-123</t>
  </si>
  <si>
    <t>RING SPANNER 41X46</t>
  </si>
  <si>
    <t>124</t>
  </si>
  <si>
    <t>VETT-03-124</t>
  </si>
  <si>
    <t>RING SPANNER 46X50</t>
  </si>
  <si>
    <t>125</t>
  </si>
  <si>
    <t>VETT-03-125</t>
  </si>
  <si>
    <t>RING SPANNER 50X55</t>
  </si>
  <si>
    <t>126</t>
  </si>
  <si>
    <t>VETT-03-126</t>
  </si>
  <si>
    <t>RING SPANNER 55X60</t>
  </si>
  <si>
    <t>127</t>
  </si>
  <si>
    <t>VETT-03-127</t>
  </si>
  <si>
    <t>D SPANNER 6X7</t>
  </si>
  <si>
    <t>128</t>
  </si>
  <si>
    <t>VETT-03-128</t>
  </si>
  <si>
    <t>D SPANNER 8X9</t>
  </si>
  <si>
    <t>129</t>
  </si>
  <si>
    <t>VETT-03-129</t>
  </si>
  <si>
    <t>D SPANNER 8X10</t>
  </si>
  <si>
    <t>130</t>
  </si>
  <si>
    <t>VETT-03-130</t>
  </si>
  <si>
    <t>D SPANNER 9X11</t>
  </si>
  <si>
    <t>131</t>
  </si>
  <si>
    <t>VETT-03-131</t>
  </si>
  <si>
    <t>D SPANNER 10X11</t>
  </si>
  <si>
    <t>132</t>
  </si>
  <si>
    <t>VETT-03-132</t>
  </si>
  <si>
    <t>D SPANNER 12X13</t>
  </si>
  <si>
    <t>133</t>
  </si>
  <si>
    <t>VETT-03-133</t>
  </si>
  <si>
    <t>D SPANNER 14X15</t>
  </si>
  <si>
    <t>134</t>
  </si>
  <si>
    <t>VETT-03-134</t>
  </si>
  <si>
    <t>D SPANNER 16X17</t>
  </si>
  <si>
    <t>135</t>
  </si>
  <si>
    <t>VETT-03-135</t>
  </si>
  <si>
    <t>D SPANNER 18X19</t>
  </si>
  <si>
    <t>136</t>
  </si>
  <si>
    <t>VETT-03-136</t>
  </si>
  <si>
    <t>D SPANNER 20X22</t>
  </si>
  <si>
    <t>137</t>
  </si>
  <si>
    <t>VETT-03-137</t>
  </si>
  <si>
    <t>D SPANNER 21X23</t>
  </si>
  <si>
    <t>138</t>
  </si>
  <si>
    <t>VETT-03-138</t>
  </si>
  <si>
    <t>D SPANNER 24X27</t>
  </si>
  <si>
    <t>139</t>
  </si>
  <si>
    <t>VETT-03-139</t>
  </si>
  <si>
    <t>D SPANNER 30X32</t>
  </si>
  <si>
    <t>140</t>
  </si>
  <si>
    <t>VETT-03-140</t>
  </si>
  <si>
    <t>D SPANNER 32x36</t>
  </si>
  <si>
    <t>141</t>
  </si>
  <si>
    <t>VETT-03-141</t>
  </si>
  <si>
    <t>D SPANNER 34x36</t>
  </si>
  <si>
    <t>142</t>
  </si>
  <si>
    <t>VETT-03-142</t>
  </si>
  <si>
    <t>D SPANNER 34x38</t>
  </si>
  <si>
    <t>143</t>
  </si>
  <si>
    <t>VETT-03-143</t>
  </si>
  <si>
    <t>D SPANNER 36x38</t>
  </si>
  <si>
    <t>144</t>
  </si>
  <si>
    <t>VETT-03-144</t>
  </si>
  <si>
    <t>D SPANNER 36X41</t>
  </si>
  <si>
    <t>145</t>
  </si>
  <si>
    <t>VETT-03-145</t>
  </si>
  <si>
    <t>D SPANNER 41X46</t>
  </si>
  <si>
    <t>146</t>
  </si>
  <si>
    <t>VETT-03-146</t>
  </si>
  <si>
    <t>D SPANNER 46X50</t>
  </si>
  <si>
    <t>147</t>
  </si>
  <si>
    <t>VETT-03-147</t>
  </si>
  <si>
    <t>D SPANNER 50X55</t>
  </si>
  <si>
    <t>148</t>
  </si>
  <si>
    <t>VETT-03-148</t>
  </si>
  <si>
    <t>D SPANNER 55X60</t>
  </si>
  <si>
    <t>149</t>
  </si>
  <si>
    <t>VETT-03-149</t>
  </si>
  <si>
    <t>HAMMERING RING SPANNER 22MM</t>
  </si>
  <si>
    <t>150</t>
  </si>
  <si>
    <t>VETT-03-150</t>
  </si>
  <si>
    <t>HAMMERING RING SPANNER 24MM</t>
  </si>
  <si>
    <t>151</t>
  </si>
  <si>
    <t>VETT-03-151</t>
  </si>
  <si>
    <t>HAMMERING RING SPANNER 27MM</t>
  </si>
  <si>
    <t>152</t>
  </si>
  <si>
    <t>VETT-03-152</t>
  </si>
  <si>
    <t>HAMMERING RING SPANNER 30MM</t>
  </si>
  <si>
    <t>153</t>
  </si>
  <si>
    <t>VETT-03-153</t>
  </si>
  <si>
    <t>HAMMERING RING SPANNER 32MM</t>
  </si>
  <si>
    <t>154</t>
  </si>
  <si>
    <t>VETT-03-154</t>
  </si>
  <si>
    <t>HAMMERING RING SPANNER 34MM</t>
  </si>
  <si>
    <t>155</t>
  </si>
  <si>
    <t>VETT-03-155</t>
  </si>
  <si>
    <t>HAMMERING RING SPANNER 36MM</t>
  </si>
  <si>
    <t>156</t>
  </si>
  <si>
    <t>VETT-03-156</t>
  </si>
  <si>
    <t>HAMMERING RING SPANNER 38MM</t>
  </si>
  <si>
    <t>157</t>
  </si>
  <si>
    <t>VETT-03-157</t>
  </si>
  <si>
    <t>HAMMERING RING SPANNER 41MM</t>
  </si>
  <si>
    <t>158</t>
  </si>
  <si>
    <t>VETT-03-158</t>
  </si>
  <si>
    <t>HAMMERING RING SPANNER 46MM</t>
  </si>
  <si>
    <t>159</t>
  </si>
  <si>
    <t>VETT-03-159</t>
  </si>
  <si>
    <t>HAMMERING RING SPANNER 50MM</t>
  </si>
  <si>
    <t>160</t>
  </si>
  <si>
    <t>VETT-03-160</t>
  </si>
  <si>
    <t>HAMMERING RING SPANNER 55MM</t>
  </si>
  <si>
    <t>161</t>
  </si>
  <si>
    <t>VETT-03-161</t>
  </si>
  <si>
    <t>HAMMERING RING SPANNER 60MM</t>
  </si>
  <si>
    <t>162</t>
  </si>
  <si>
    <t>VETT-03-162</t>
  </si>
  <si>
    <t>HAMMERING RING SPANNER 65MM</t>
  </si>
  <si>
    <t>163</t>
  </si>
  <si>
    <t>VETT-03-163</t>
  </si>
  <si>
    <t>HAMMERING RING SPANNER 70MM</t>
  </si>
  <si>
    <t>164</t>
  </si>
  <si>
    <t>VETT-03-164</t>
  </si>
  <si>
    <t>HAMMERING RING SPANNER 75MM</t>
  </si>
  <si>
    <t>165</t>
  </si>
  <si>
    <t>VETT-03-165</t>
  </si>
  <si>
    <t>HAMMERING RING SPANNER 80MM</t>
  </si>
  <si>
    <t>166</t>
  </si>
  <si>
    <t>VETT-03-166</t>
  </si>
  <si>
    <t>HAMMERING RING SPANNER 85MM</t>
  </si>
  <si>
    <t>167</t>
  </si>
  <si>
    <t>VETT-03-167</t>
  </si>
  <si>
    <t>HAMMERING RING SPANNER 90MM</t>
  </si>
  <si>
    <t>168</t>
  </si>
  <si>
    <t>VETT-03-168</t>
  </si>
  <si>
    <t>HAMMERING RING SPANNER 95MM</t>
  </si>
  <si>
    <t>169</t>
  </si>
  <si>
    <t>VETT-03-169</t>
  </si>
  <si>
    <t>HAMMERING RING SPANNER 110MM</t>
  </si>
  <si>
    <t>170</t>
  </si>
  <si>
    <t>VETT-03-170</t>
  </si>
  <si>
    <t>HAMMERING RING SPANNER 115MM</t>
  </si>
  <si>
    <t>171</t>
  </si>
  <si>
    <t>VETT-03-171</t>
  </si>
  <si>
    <t>HAMMERING RING SPANNER 120MM</t>
  </si>
  <si>
    <t>172</t>
  </si>
  <si>
    <t>VETT-03-172</t>
  </si>
  <si>
    <t>HAMMERING D SPANNER 32MM</t>
  </si>
  <si>
    <t>173</t>
  </si>
  <si>
    <t>VETT-03-173</t>
  </si>
  <si>
    <t>HAMMERING D SPANNER 36MM</t>
  </si>
  <si>
    <t>174</t>
  </si>
  <si>
    <t>VETT-03-174</t>
  </si>
  <si>
    <t>HAMMERING D SPANNER 41MM</t>
  </si>
  <si>
    <t>175</t>
  </si>
  <si>
    <t>VETT-03-175</t>
  </si>
  <si>
    <t>HAMMERING D SPANNER 46MM</t>
  </si>
  <si>
    <t>176</t>
  </si>
  <si>
    <t>VETT-03-176</t>
  </si>
  <si>
    <t>HAMMERING D SPANNER 50MM</t>
  </si>
  <si>
    <t>177</t>
  </si>
  <si>
    <t>VETT-03-177</t>
  </si>
  <si>
    <t>HAMMERING D SPANNER 60MM</t>
  </si>
  <si>
    <t>178</t>
  </si>
  <si>
    <t>VETT-03-178</t>
  </si>
  <si>
    <t>HAMMERING D SPANNER 65MM</t>
  </si>
  <si>
    <t>179</t>
  </si>
  <si>
    <t>VETT-03-179</t>
  </si>
  <si>
    <t>HAMMERING D SPANNER 70MM</t>
  </si>
  <si>
    <t>180</t>
  </si>
  <si>
    <t>VETT-03-180</t>
  </si>
  <si>
    <t>HAMMERING D SPANNER 75MM</t>
  </si>
  <si>
    <t>181</t>
  </si>
  <si>
    <t>VETT-03-181</t>
  </si>
  <si>
    <t>HAMMERING D SPANNER 85MM</t>
  </si>
  <si>
    <t>182</t>
  </si>
  <si>
    <t>VETT-03-182</t>
  </si>
  <si>
    <t>HAMMERING D SPANNER 90MM</t>
  </si>
  <si>
    <t>183</t>
  </si>
  <si>
    <t>VETT-03-183</t>
  </si>
  <si>
    <t>HAMMERING D SPANNER 95MM</t>
  </si>
  <si>
    <t>184</t>
  </si>
  <si>
    <t>VETT-03-184</t>
  </si>
  <si>
    <t>ARMOURED POWER CABLE 4 CORE X 4 MM</t>
  </si>
  <si>
    <t>VETT-04-001</t>
  </si>
  <si>
    <t>ARMOURED POWER CABLE 70 mm2 ALLUMINIUM</t>
  </si>
  <si>
    <t>VETT-04-002</t>
  </si>
  <si>
    <t>BOX FOR EXTENSION BOARD</t>
  </si>
  <si>
    <t>VETT-04-003</t>
  </si>
  <si>
    <t>CHANGE OVER SWITCH 200 AMP</t>
  </si>
  <si>
    <t>VETT-04-004</t>
  </si>
  <si>
    <t>CHANGE OVER SWITCH 32 AMP</t>
  </si>
  <si>
    <t>VETT-04-005</t>
  </si>
  <si>
    <t>CURRENT TRANSFORMER</t>
  </si>
  <si>
    <t>VETT-04-006</t>
  </si>
  <si>
    <t>CURRENT TRANSFORMER METER (KWH METER)</t>
  </si>
  <si>
    <t>VETT-04-007</t>
  </si>
  <si>
    <t>DIGITAL MULTIMETER</t>
  </si>
  <si>
    <t>VETT-04-008</t>
  </si>
  <si>
    <t>DISTRIBUTION BOARD 18"X14"X04" 63AAMP</t>
  </si>
  <si>
    <t>VETT-04-009</t>
  </si>
  <si>
    <t>EARTHING CABLE (COPPER) 16 SQ.MM</t>
  </si>
  <si>
    <t>VETT-04-010</t>
  </si>
  <si>
    <t>EARTHING PLATE</t>
  </si>
  <si>
    <t>VETT-04-011</t>
  </si>
  <si>
    <t>EARTHING ROD 19 MM X 2 MTR LENGTH</t>
  </si>
  <si>
    <t>VETT-04-012</t>
  </si>
  <si>
    <t>ELCB 40 AMP 2 POLE 30 MA</t>
  </si>
  <si>
    <t>VETT-04-013</t>
  </si>
  <si>
    <t>ELCB 40 AMP 4 POLE 30 MA</t>
  </si>
  <si>
    <t>VETT-04-014</t>
  </si>
  <si>
    <t>ELCB 40 AMP SINGLE POLE 30 MA</t>
  </si>
  <si>
    <t>VETT-04-015</t>
  </si>
  <si>
    <t>ELCB 63 AMP 100MA</t>
  </si>
  <si>
    <t>VETT-04-016</t>
  </si>
  <si>
    <t>ELCB 63 AMP 4 POLE 30 MA</t>
  </si>
  <si>
    <t>VETT-04-017</t>
  </si>
  <si>
    <t>ELCB 63 AMP 4 POLE 300 MA</t>
  </si>
  <si>
    <t>VETT-04-018</t>
  </si>
  <si>
    <t>ELCB 80 AMP 4 POLE 30 MA</t>
  </si>
  <si>
    <t>VETT-04-019</t>
  </si>
  <si>
    <t>ELCB BOX 2 POLE</t>
  </si>
  <si>
    <t>VETT-04-020</t>
  </si>
  <si>
    <t>ELCB BOX 4 POLE</t>
  </si>
  <si>
    <t>VETT-04-021</t>
  </si>
  <si>
    <t>EXTENTION SWITCH BOARD 3 PHASE WITH ELCB</t>
  </si>
  <si>
    <t>VETT-04-022</t>
  </si>
  <si>
    <t>EXTENTION SWITCH BOARD S/PHASE WITH ELCB</t>
  </si>
  <si>
    <t>VETT-04-023</t>
  </si>
  <si>
    <t>FLEXIBLE POWER CABLE  6 CORE X 2.5MM 2</t>
  </si>
  <si>
    <t>VETT-04-024</t>
  </si>
  <si>
    <t>FLEXIBLE POWER CABLE 2 CORE X 1.5MM</t>
  </si>
  <si>
    <t>VETT-04-025</t>
  </si>
  <si>
    <t>FLEXIBLE POWER CABLE 2 CORE X 2.5MM</t>
  </si>
  <si>
    <t>VETT-04-026</t>
  </si>
  <si>
    <t>FLEXIBLE POWER CABLE 3 CORE X 2.5MM</t>
  </si>
  <si>
    <t>VETT-04-027</t>
  </si>
  <si>
    <t>FLEXIBLE POWER CABLE 3 CORE X 4MM</t>
  </si>
  <si>
    <t>VETT-04-028</t>
  </si>
  <si>
    <t>FLEXIBLE POWER CABLE 4 CORE X 2.5 MM</t>
  </si>
  <si>
    <t>VETT-04-029</t>
  </si>
  <si>
    <t>FLEXIBLE POWER CABLE 4 CORE X 10MM</t>
  </si>
  <si>
    <t>VETT-04-030</t>
  </si>
  <si>
    <t>FLEXIBLE POWER CABLE 4 CORE X 4MM</t>
  </si>
  <si>
    <t>VETT-04-031</t>
  </si>
  <si>
    <t>FLEXIBLE POWER CABLE 4 CORE X 6MM</t>
  </si>
  <si>
    <t>VETT-04-032</t>
  </si>
  <si>
    <t>H.R.C FUSE 125 AMP</t>
  </si>
  <si>
    <t>VETT-04-033</t>
  </si>
  <si>
    <t>HALOGEN HOLDER 1000 W</t>
  </si>
  <si>
    <t>VETT-04-034</t>
  </si>
  <si>
    <t>HALOGEN HOLDER 500 W</t>
  </si>
  <si>
    <t>VETT-04-035</t>
  </si>
  <si>
    <t>HALOGEN SET ASSLY 1000 WT</t>
  </si>
  <si>
    <t>VETT-04-036</t>
  </si>
  <si>
    <t>HALOGEN SET ASSLY 500 WT</t>
  </si>
  <si>
    <t>VETT-04-037</t>
  </si>
  <si>
    <t>HAND LAMP</t>
  </si>
  <si>
    <t>VETT-04-038</t>
  </si>
  <si>
    <t>HOUSING SWITCH 125 AMP S.S.</t>
  </si>
  <si>
    <t>VETT-04-039</t>
  </si>
  <si>
    <t>INDUSTRAIAL PLUG 16 AMP 3 PIN</t>
  </si>
  <si>
    <t>VETT-04-040</t>
  </si>
  <si>
    <t>INDUSTRAIAL PLUG 32 AMP 5 PIN</t>
  </si>
  <si>
    <t>VETT-04-041</t>
  </si>
  <si>
    <t xml:space="preserve">INDUSTRIAL PLUG 16 AMP 2 POLE </t>
  </si>
  <si>
    <t>VETT-04-042</t>
  </si>
  <si>
    <t>LINE TESTER</t>
  </si>
  <si>
    <t>VETT-04-043</t>
  </si>
  <si>
    <t>MCB 16 AMP 2 POLE</t>
  </si>
  <si>
    <t>VETT-04-044</t>
  </si>
  <si>
    <t>MCB 20 AMP 3 POLE</t>
  </si>
  <si>
    <t>VETT-04-045</t>
  </si>
  <si>
    <t>MCB 20 AMP SP</t>
  </si>
  <si>
    <t>VETT-04-046</t>
  </si>
  <si>
    <t>MCB 25 AMP 2 POLE</t>
  </si>
  <si>
    <t>VETT-04-047</t>
  </si>
  <si>
    <t>MCB 250 AMP</t>
  </si>
  <si>
    <t>VETT-04-048</t>
  </si>
  <si>
    <t>MCB 32 AMP</t>
  </si>
  <si>
    <t>VETT-04-049</t>
  </si>
  <si>
    <t>MCB 32 AMP 2 POLE</t>
  </si>
  <si>
    <t>VETT-04-050</t>
  </si>
  <si>
    <t>MCB BOX METAL 4 POLE (DOUBLE DOOR)</t>
  </si>
  <si>
    <t>VETT-04-051</t>
  </si>
  <si>
    <t>MCB METAL BOX 02 POLE</t>
  </si>
  <si>
    <t>VETT-04-052</t>
  </si>
  <si>
    <t>MODULAR FURFACE BOX 4 MM</t>
  </si>
  <si>
    <t>VETT-04-053</t>
  </si>
  <si>
    <t>MODULAR PLATE 03 MM</t>
  </si>
  <si>
    <t>VETT-04-054</t>
  </si>
  <si>
    <t>MODULAR PLATE 04 MM</t>
  </si>
  <si>
    <t>VETT-04-055</t>
  </si>
  <si>
    <t>MODULAR PLATE 08 MM</t>
  </si>
  <si>
    <t>VETT-04-056</t>
  </si>
  <si>
    <t>MODULAR PLATE 12 MM</t>
  </si>
  <si>
    <t>VETT-04-057</t>
  </si>
  <si>
    <t>MODULAR PLATE 6 MM</t>
  </si>
  <si>
    <t>VETT-04-058</t>
  </si>
  <si>
    <t>MODULAR SURFACE BOX 12 MM</t>
  </si>
  <si>
    <t>VETT-04-059</t>
  </si>
  <si>
    <t>MODULAR SURFACE BOX 6 MM</t>
  </si>
  <si>
    <t>VETT-04-060</t>
  </si>
  <si>
    <t>MODULAR SURFACE BOX 8 MM</t>
  </si>
  <si>
    <t>VETT-04-061</t>
  </si>
  <si>
    <t>MULTIMETER</t>
  </si>
  <si>
    <t>VETT-04-062</t>
  </si>
  <si>
    <t>ON LOAD CHANGE OVER SWITCH 250 AMP</t>
  </si>
  <si>
    <t>POWER CABLE   4 CORE X 16sq MM</t>
  </si>
  <si>
    <t>VETT-04-064</t>
  </si>
  <si>
    <t>POWER CABLE 1 MM</t>
  </si>
  <si>
    <t>VETT-04-065</t>
  </si>
  <si>
    <t>POWER CABLE 1.5 MM</t>
  </si>
  <si>
    <t>VETT-04-066</t>
  </si>
  <si>
    <t>POWER CABLE 2.5 MM</t>
  </si>
  <si>
    <t>VETT-04-067</t>
  </si>
  <si>
    <t>POWER CABLE 3.5 CORE X 150 SQ MM  ALUMINIUM</t>
  </si>
  <si>
    <t>VETT-04-068</t>
  </si>
  <si>
    <t>POWER CABLE 3.5 CORE X 50 SQ MM  ALUMINIUM</t>
  </si>
  <si>
    <t>VETT-04-069</t>
  </si>
  <si>
    <t>RCCB 40 AMP 2 POLE</t>
  </si>
  <si>
    <t>VETT-04-070</t>
  </si>
  <si>
    <t>RCCB BOX 63 AMP 4 POLE</t>
  </si>
  <si>
    <t>VETT-04-071</t>
  </si>
  <si>
    <t>SYNTEX BOX FOR C.T METER</t>
  </si>
  <si>
    <t>VETT-04-072</t>
  </si>
  <si>
    <t>WELDING CABLE (ALLU)</t>
  </si>
  <si>
    <t>VETT-04-073</t>
  </si>
  <si>
    <t>VETT-05-001</t>
  </si>
  <si>
    <t>D SHACKLE</t>
  </si>
  <si>
    <t>VETT-05-002</t>
  </si>
  <si>
    <t>CHAIN PULLEY BLOCK 01 TON X 06 MTR</t>
  </si>
  <si>
    <t>VETT-05-003</t>
  </si>
  <si>
    <t>CHAIN PULLEY BLOCK 02 TON X 03 MTR</t>
  </si>
  <si>
    <t>VETT-05-004</t>
  </si>
  <si>
    <t>CHAIN PULLEY BLOCK 02 TON X 06 MTR</t>
  </si>
  <si>
    <t>VETT-05-005</t>
  </si>
  <si>
    <t>CHAIN PULLEY BLOCK 03 TON X 03 MTR</t>
  </si>
  <si>
    <t>VETT-05-006</t>
  </si>
  <si>
    <t>CHAIN PULLEY BLOCK 03 TON X 06 MTR</t>
  </si>
  <si>
    <t>VETT-05-007</t>
  </si>
  <si>
    <t>CHAIN PULLEY BLOCK 05 TON X 03 MTR</t>
  </si>
  <si>
    <t>VETT-05-008</t>
  </si>
  <si>
    <t>CHAIN PULLEY BLOCK 05 TON X 06 MTR</t>
  </si>
  <si>
    <t>VETT-05-009</t>
  </si>
  <si>
    <t>CHAIN SILING (FOUR LEGGED)</t>
  </si>
  <si>
    <t>VETT-05-010</t>
  </si>
  <si>
    <t>CHAIN SLING 5 TON (4 MTR LENGTH)</t>
  </si>
  <si>
    <t>VETT-05-011</t>
  </si>
  <si>
    <t>HYDRAULIC JACK 45 TON WITH ALL ACCESSORIES(SUNRUN)</t>
  </si>
  <si>
    <t>VETT-05-012</t>
  </si>
  <si>
    <t>LIFTING BELT 01 TON X 25 MM WIDTH X 03 MTR</t>
  </si>
  <si>
    <t>VETT-05-013</t>
  </si>
  <si>
    <t>LIFTING BELT 03 TON X 03 MTRS</t>
  </si>
  <si>
    <t>VETT-05-014</t>
  </si>
  <si>
    <t>LIFTING BELT 03 TON X 75 MM WIDTH X 04 MTR</t>
  </si>
  <si>
    <t>VETT-05-015</t>
  </si>
  <si>
    <t>LIFTING BELT 05 TON X 125 MM WIDTH X 04 MTR</t>
  </si>
  <si>
    <t>VETT-05-016</t>
  </si>
  <si>
    <t>LIFTING BELT 1 TON X 25 MM WIDTH X 01 MTR</t>
  </si>
  <si>
    <t>VETT-05-017</t>
  </si>
  <si>
    <t>LIFTING BELT 3 TON X 75 MM WIDTH X 06 MTR</t>
  </si>
  <si>
    <t>VETT-05-018</t>
  </si>
  <si>
    <t>LIFTING BELT 5 TON X 125 MM WIDTH X 03 MTR</t>
  </si>
  <si>
    <t>VETT-05-019</t>
  </si>
  <si>
    <t>LIFTING BELT 5 TON X 125 MM WIDTH X 06 MTR</t>
  </si>
  <si>
    <t>VETT-05-020</t>
  </si>
  <si>
    <t>P.P. ROPE 12 MM</t>
  </si>
  <si>
    <t>VETT-05-021</t>
  </si>
  <si>
    <t>P.P. ROPE 3 MM (NYLON)</t>
  </si>
  <si>
    <t>VETT-05-022</t>
  </si>
  <si>
    <t>P.P. ROPE 3/4''</t>
  </si>
  <si>
    <t>VETT-05-023</t>
  </si>
  <si>
    <t>P.P.ROPE 20 MM</t>
  </si>
  <si>
    <t>VETT-05-024</t>
  </si>
  <si>
    <t>PLATE LIFTING CLAMP (HORIZONDAL) 02 TON</t>
  </si>
  <si>
    <t>VETT-05-025</t>
  </si>
  <si>
    <t>PLATE LIFTING CLAMP (HORIZONDAL) 05 TON</t>
  </si>
  <si>
    <t>VETT-05-026</t>
  </si>
  <si>
    <t>PLATE LIFTING CLAMP (HORIZONDAL) 3 TON</t>
  </si>
  <si>
    <t>VETT-05-027</t>
  </si>
  <si>
    <t>PLATE LIFTING CLAMP (VERTICAL) 05 TON</t>
  </si>
  <si>
    <t>VETT-05-028</t>
  </si>
  <si>
    <t>SILING WIRE 10 TON CAP</t>
  </si>
  <si>
    <t>VETT-05-029</t>
  </si>
  <si>
    <t>VETT-05-030</t>
  </si>
  <si>
    <t>VETT-05-031</t>
  </si>
  <si>
    <t>WIRE ROPE SILING</t>
  </si>
  <si>
    <t>VETT-05-032</t>
  </si>
  <si>
    <t>BROACH CUTTER</t>
  </si>
  <si>
    <t>VETT-06-001</t>
  </si>
  <si>
    <t>DRILL BIT</t>
  </si>
  <si>
    <t>VETT-06-002</t>
  </si>
  <si>
    <t>EJECTOR PIN(TCT)7.96X165 MM</t>
  </si>
  <si>
    <t>VETT-06-003</t>
  </si>
  <si>
    <t>EJECTOR PIN FOR BROACH CUTTER</t>
  </si>
  <si>
    <t>VETT-06-004</t>
  </si>
  <si>
    <t>NOZZLE COCK FOR DRILL M/C</t>
  </si>
  <si>
    <t>VETT-06-005</t>
  </si>
  <si>
    <t>VETT-07-001</t>
  </si>
  <si>
    <t>BRC Clamp</t>
  </si>
  <si>
    <t>VETT-07-002</t>
  </si>
  <si>
    <t>BRC Coupler</t>
  </si>
  <si>
    <t>VETT-07-003</t>
  </si>
  <si>
    <t>E6013-2.5 MM  Classic Made Electrode</t>
  </si>
  <si>
    <t>VETT-07-004</t>
  </si>
  <si>
    <t xml:space="preserve">Flat 100x3 for making toe guard </t>
  </si>
  <si>
    <t>VETT-07-005</t>
  </si>
  <si>
    <t>Jali Clamp</t>
  </si>
  <si>
    <t>VETT-07-006</t>
  </si>
  <si>
    <t>Ladder Clamp</t>
  </si>
  <si>
    <t>VETT-07-007</t>
  </si>
  <si>
    <t xml:space="preserve">Line Dori </t>
  </si>
  <si>
    <t>VETT-07-008</t>
  </si>
  <si>
    <t xml:space="preserve">PVC Buffer Cap for Scaffolding Pipe </t>
  </si>
  <si>
    <t>VETT-07-009</t>
  </si>
  <si>
    <t>Scaffolding Jali</t>
  </si>
  <si>
    <t>VETT-07-010</t>
  </si>
  <si>
    <t>Scaffolding Pipe 1 Mtr</t>
  </si>
  <si>
    <t>VETT-07-011</t>
  </si>
  <si>
    <t>Scaffolding Pipe 2 Mtr</t>
  </si>
  <si>
    <t>VETT-07-012</t>
  </si>
  <si>
    <t>Scaffolding Pipe 3 Mtr</t>
  </si>
  <si>
    <t>VETT-07-013</t>
  </si>
  <si>
    <t>Scaffolding Pipe 4 Mtr</t>
  </si>
  <si>
    <t>VETT-07-014</t>
  </si>
  <si>
    <t>Scaffolding Pipe 6 Mtr</t>
  </si>
  <si>
    <t>VETT-07-015</t>
  </si>
  <si>
    <t>Scaffolding Pipe End Cap</t>
  </si>
  <si>
    <t>VETT-07-016</t>
  </si>
  <si>
    <t>Single Pulley</t>
  </si>
  <si>
    <t>VETT-07-017</t>
  </si>
  <si>
    <t xml:space="preserve">Base Plate 150x150x6 </t>
  </si>
  <si>
    <t>VETT-07-018</t>
  </si>
  <si>
    <t>T Bolt With Nut &amp; Washer</t>
  </si>
  <si>
    <t>VETT-07-019</t>
  </si>
  <si>
    <t>Toe Guard</t>
  </si>
  <si>
    <t>VETT-07-020</t>
  </si>
  <si>
    <t>Water Level</t>
  </si>
  <si>
    <t>VETT-07-021</t>
  </si>
  <si>
    <t>VETT-07-022</t>
  </si>
  <si>
    <t>DUMPY LEVEL</t>
  </si>
  <si>
    <t>VETT-08-001</t>
  </si>
  <si>
    <t>FILET GAUGE (WELDING GAUGE)</t>
  </si>
  <si>
    <t>VETT-08-002</t>
  </si>
  <si>
    <t>COATING THICKNESS GAUGE (DIGITAL)</t>
  </si>
  <si>
    <t>VETT-08-003</t>
  </si>
  <si>
    <t>SURFACE ROUGHNESS GUAGE</t>
  </si>
  <si>
    <t>VETT-08-004</t>
  </si>
  <si>
    <t>HYGROMETER DIGITAL</t>
  </si>
  <si>
    <t>VETT-08-005</t>
  </si>
  <si>
    <t>VETT-08-006</t>
  </si>
  <si>
    <t>VETT-08-007</t>
  </si>
  <si>
    <t>VETT-08-008</t>
  </si>
  <si>
    <t>MEASUREMENT TAPE 50 MTR (TAJIMA)</t>
  </si>
  <si>
    <t>VETT-08-009</t>
  </si>
  <si>
    <t>VETT-08-010</t>
  </si>
  <si>
    <t>VERNIER CALIPER (DIGITAL) 6"</t>
  </si>
  <si>
    <t>VETT-08-011</t>
  </si>
  <si>
    <t>VERNIER CALIPER (DIGITAL) 12"</t>
  </si>
  <si>
    <t>VETT-08-012</t>
  </si>
  <si>
    <t>DEVELOPER</t>
  </si>
  <si>
    <t>VETT-08-013</t>
  </si>
  <si>
    <t>PENETRANT</t>
  </si>
  <si>
    <t>VETT-08-014</t>
  </si>
  <si>
    <t>CLEANER 400 ML</t>
  </si>
  <si>
    <t>VETT-08-015</t>
  </si>
  <si>
    <t>REQUIRED ASSET</t>
  </si>
  <si>
    <t>CONTAINER OFFICES</t>
  </si>
  <si>
    <t>a) PlANNING</t>
  </si>
  <si>
    <t>-</t>
  </si>
  <si>
    <t>VEAS-01-001</t>
  </si>
  <si>
    <t>b) QMD</t>
  </si>
  <si>
    <t>VEAS-01-002</t>
  </si>
  <si>
    <t>c) PRODUCTION</t>
  </si>
  <si>
    <t>VEAS-01-003</t>
  </si>
  <si>
    <t>d) SAFETY/STAFF</t>
  </si>
  <si>
    <t>VEAS-01-004</t>
  </si>
  <si>
    <t>e) WAREHOUSE</t>
  </si>
  <si>
    <t>VEAS-01-005</t>
  </si>
  <si>
    <t>VEAS-01-006</t>
  </si>
  <si>
    <t>OFFICE OPERATING ITEMS</t>
  </si>
  <si>
    <t>CHAIRS (PLASTIC)</t>
  </si>
  <si>
    <t>VEAS-02-001</t>
  </si>
  <si>
    <t>OFFICE CHAIRS</t>
  </si>
  <si>
    <t>VEAS-02-002</t>
  </si>
  <si>
    <t>COMPUTER TABLES</t>
  </si>
  <si>
    <t>VEAS-02-003</t>
  </si>
  <si>
    <t>LOCK &amp; KEY</t>
  </si>
  <si>
    <t>VEAS-02-004</t>
  </si>
  <si>
    <t>OFFICE TABLE(FIX) 4'X2'</t>
  </si>
  <si>
    <t>VEAS-02-005</t>
  </si>
  <si>
    <t>PEDESTAL FANS</t>
  </si>
  <si>
    <t>VEAS-02-006</t>
  </si>
  <si>
    <t>PLASTIC JARS</t>
  </si>
  <si>
    <t>VEAS-02-007</t>
  </si>
  <si>
    <t>REFRIGERATOR</t>
  </si>
  <si>
    <t>VEAS-02-008</t>
  </si>
  <si>
    <t>STEEL GLASS</t>
  </si>
  <si>
    <t>VEAS-02-009</t>
  </si>
  <si>
    <t>TEA MAKER</t>
  </si>
  <si>
    <t>VEAS-02-010</t>
  </si>
  <si>
    <t>WATER TANK 1000 LTR</t>
  </si>
  <si>
    <t>VEAS-02-011</t>
  </si>
  <si>
    <t>WATER TANK 2000 LTR</t>
  </si>
  <si>
    <t>VEAS-02-012</t>
  </si>
  <si>
    <t>WATER TANK 3000 LTR</t>
  </si>
  <si>
    <t>VEAS-02-013</t>
  </si>
  <si>
    <t>WHITE BOARDS 3' X 4'</t>
  </si>
  <si>
    <t>VEAS-02-014</t>
  </si>
  <si>
    <t>CUPBOARDS</t>
  </si>
  <si>
    <t>VEAS-02-015</t>
  </si>
  <si>
    <t>STATIONARY ITEMS</t>
  </si>
  <si>
    <t>VEAS-02-016</t>
  </si>
  <si>
    <t>EQUIPMENT</t>
  </si>
  <si>
    <t>AIR BLOWERS</t>
  </si>
  <si>
    <t>VEAS-03-001</t>
  </si>
  <si>
    <t>AIR COMPRESSORS</t>
  </si>
  <si>
    <t>VEAS-03-002</t>
  </si>
  <si>
    <t>ANGLE GRINDERS AG 4 "</t>
  </si>
  <si>
    <t>VEAS-03-003</t>
  </si>
  <si>
    <t>ANGLE GRINDERS AG 5 "</t>
  </si>
  <si>
    <t>VEAS-03-004</t>
  </si>
  <si>
    <t>ANGLE GRINDERS AG 6"</t>
  </si>
  <si>
    <t>VEAS-03-005</t>
  </si>
  <si>
    <t>ANGLE GRINDERS AG 7"</t>
  </si>
  <si>
    <t>VEAS-03-006</t>
  </si>
  <si>
    <t>ANGLE GRINDERS AG 9"</t>
  </si>
  <si>
    <t>VEAS-03-007</t>
  </si>
  <si>
    <t>BENCH GRINDERS AG 7"</t>
  </si>
  <si>
    <t>VEAS-03-008</t>
  </si>
  <si>
    <t>BENCH GRINDERS AG 9"</t>
  </si>
  <si>
    <t>VEAS-03-009</t>
  </si>
  <si>
    <t>FF2 M/C (FLEXIBLE SHAFT GRINDER)</t>
  </si>
  <si>
    <t>VEAS-03-010</t>
  </si>
  <si>
    <t>GQ4 SURFACE GRINDER</t>
  </si>
  <si>
    <t>VEAS-03-011</t>
  </si>
  <si>
    <t xml:space="preserve">DIE GRINDERS M/C </t>
  </si>
  <si>
    <t>VEAS-03-012</t>
  </si>
  <si>
    <t>AIRLESS SPRAY PAINTING MACHINES</t>
  </si>
  <si>
    <t>VEAS-03-013</t>
  </si>
  <si>
    <t>BLASTING HOPPER</t>
  </si>
  <si>
    <t>VEAS-03-014</t>
  </si>
  <si>
    <t>PAINT MIXER</t>
  </si>
  <si>
    <t>VEAS-03-015</t>
  </si>
  <si>
    <t>C.R.I. PUMP</t>
  </si>
  <si>
    <t>VEAS-03-016</t>
  </si>
  <si>
    <t>DRILLING M/C ALL CUT 50MM MAGNETIC BASE</t>
  </si>
  <si>
    <t>VEAS-03-017</t>
  </si>
  <si>
    <t>DRILLING M/C ALL CUT 60MM MAGNETIC BASE</t>
  </si>
  <si>
    <t>VEAS-03-018</t>
  </si>
  <si>
    <t>DRILLING M/C. MAGNETIC BASE</t>
  </si>
  <si>
    <t>VEAS-03-019</t>
  </si>
  <si>
    <t>DRILLING M/C. PISTOL TYPE (12 mm)</t>
  </si>
  <si>
    <t>VEAS-03-020</t>
  </si>
  <si>
    <t>EXHAUST FAN</t>
  </si>
  <si>
    <t>VEAS-03-021</t>
  </si>
  <si>
    <t>ELECTRIC SCREW COMPRESSOR</t>
  </si>
  <si>
    <t>VEAS-03-022</t>
  </si>
  <si>
    <t>HF UNIT FOR WELDING MACHINES</t>
  </si>
  <si>
    <t>VEAS-03-023</t>
  </si>
  <si>
    <t>TANK ROTATOR IDLERS</t>
  </si>
  <si>
    <t>VEAS-03-024</t>
  </si>
  <si>
    <t>TANK ROTATORS(DRIVE UNIT)</t>
  </si>
  <si>
    <t>VEAS-03-025</t>
  </si>
  <si>
    <t>MOTHER OVEN</t>
  </si>
  <si>
    <t>VEAS-03-026</t>
  </si>
  <si>
    <t>PORTABLE OVENS A.C</t>
  </si>
  <si>
    <t>VEAS-03-027</t>
  </si>
  <si>
    <t>PORTABLE OVENS D.C</t>
  </si>
  <si>
    <t>VEAS-03-028</t>
  </si>
  <si>
    <t>PANNEL BOARD (THREE PHASE - PLUG + SINGLE PHASE - PLUG)(WITH ELCB+MCB+MCCB+AVF METER+PHASE INDICATORS)</t>
  </si>
  <si>
    <t>VEAS-03-029</t>
  </si>
  <si>
    <t>PANNEL WITH ALL ACCESSORIES FOR SAW</t>
  </si>
  <si>
    <t>VEAS-03-030</t>
  </si>
  <si>
    <t>VEAS-03-031</t>
  </si>
  <si>
    <t>PUG CUTTING MACHINES</t>
  </si>
  <si>
    <t>VEAS-03-032</t>
  </si>
  <si>
    <t>RECTIFIER ARC WELDING MACHINES (200 AMPS)</t>
  </si>
  <si>
    <t>VEAS-03-033</t>
  </si>
  <si>
    <t>RECTIFIER MIG MACHINES</t>
  </si>
  <si>
    <t>VEAS-03-034</t>
  </si>
  <si>
    <t>RECTIFIER MIG M/C 400 AMP (INVERTER TYPE)</t>
  </si>
  <si>
    <t>VEAS-03-035</t>
  </si>
  <si>
    <t>VEAS-03-036</t>
  </si>
  <si>
    <t>INVERTER BASE SMAW MACHINES(400 AMP)</t>
  </si>
  <si>
    <t>VEAS-03-037</t>
  </si>
  <si>
    <t>INVERTER BASE MIG MACHINES</t>
  </si>
  <si>
    <t>VEAS-03-038</t>
  </si>
  <si>
    <t>INVERTER BASE SAW MACHINES (1000 AMP)</t>
  </si>
  <si>
    <t>VEAS-03-039</t>
  </si>
  <si>
    <t>COLUMN &amp; BOOM ASSAMBLY FOR SAW MACHINE1.5 M X 1.5 M</t>
  </si>
  <si>
    <t>VEAS-03-040</t>
  </si>
  <si>
    <t>TROLLY FOR SAW WELDING MACHINES</t>
  </si>
  <si>
    <t>VEAS-03-041</t>
  </si>
  <si>
    <t>HYDRO JETTING SYSTEM</t>
  </si>
  <si>
    <t>VEAS-03-042</t>
  </si>
  <si>
    <t>VEAS-03-043</t>
  </si>
  <si>
    <t>RECTIFIER ARC WELDING MACHINES (250 AMPS)</t>
  </si>
  <si>
    <t>VEAS-03-044</t>
  </si>
  <si>
    <t>RECTIFIER ARC WELDING MACHINES (400 AMPS)</t>
  </si>
  <si>
    <t>VEAS-03-045</t>
  </si>
  <si>
    <t>MATERIAL HANDLING EQUIPMENT</t>
  </si>
  <si>
    <t>HYDRAS</t>
  </si>
  <si>
    <t>VEAS-04-001</t>
  </si>
  <si>
    <t>HYDROLIC MOBILE CRANE WITH TELISCOPIC BOOM</t>
  </si>
  <si>
    <t>VEAS-04-002</t>
  </si>
  <si>
    <t>FORK LIFT</t>
  </si>
  <si>
    <t>VEAS-04-003</t>
  </si>
  <si>
    <t>TRAILERS 40 MT CAPACITY</t>
  </si>
  <si>
    <t>VEAS-04-004</t>
  </si>
  <si>
    <t>TRAILERS 20 MT CAPACITY</t>
  </si>
  <si>
    <t>VEAS-04-005</t>
  </si>
  <si>
    <t>TEMPO</t>
  </si>
  <si>
    <t>VEAS-04-006</t>
  </si>
  <si>
    <t>COMPUTER SYSTEM (IT)</t>
  </si>
  <si>
    <t>Computer Desktop-PC</t>
  </si>
  <si>
    <t>VEAS-05-001</t>
  </si>
  <si>
    <t>Computer UPS</t>
  </si>
  <si>
    <t>VEAS-05-002</t>
  </si>
  <si>
    <t>LAN cable</t>
  </si>
  <si>
    <t>VEAS-05-003</t>
  </si>
  <si>
    <t>Laptop</t>
  </si>
  <si>
    <t>VEAS-05-004</t>
  </si>
  <si>
    <t>PEN DRIVE</t>
  </si>
  <si>
    <t>VEAS-05-005</t>
  </si>
  <si>
    <t xml:space="preserve">Color jet Printer </t>
  </si>
  <si>
    <t>VEAS-05-006</t>
  </si>
  <si>
    <t>Laser jet Printer</t>
  </si>
  <si>
    <t>VEAS-05-007</t>
  </si>
  <si>
    <t>Projector</t>
  </si>
  <si>
    <t>VEAS-05-008</t>
  </si>
  <si>
    <t>Bio-metric Face reader</t>
  </si>
  <si>
    <t>VEAS-05-009</t>
  </si>
  <si>
    <t>Walky Talky</t>
  </si>
  <si>
    <t>VEAS-05-010</t>
  </si>
  <si>
    <t>Mobile Phones</t>
  </si>
  <si>
    <t>VEAS-05-011</t>
  </si>
  <si>
    <t>WIFI DEVICE</t>
  </si>
  <si>
    <t>VEAS-05-012</t>
  </si>
  <si>
    <t>XEROX MACHINE</t>
  </si>
  <si>
    <t>VEAS-05-013</t>
  </si>
  <si>
    <t>DIESEL POWER GENERATOR</t>
  </si>
  <si>
    <t>DIESEL POWER GENERATOR 125 KVA</t>
  </si>
  <si>
    <t>VEAS-06-001</t>
  </si>
  <si>
    <t>AIR CONDITIONERS</t>
  </si>
  <si>
    <t>VEAS-07-001</t>
  </si>
  <si>
    <t>ACCOMODATION</t>
  </si>
  <si>
    <t>ACCOMODATION FOR SENIOR EXECUTIVE</t>
  </si>
  <si>
    <t>VEAS-08-001</t>
  </si>
  <si>
    <t>ACCOMODATION FOR STAFF &amp; SUPERVISORS</t>
  </si>
  <si>
    <t>VEAS-08-002</t>
  </si>
  <si>
    <t>ACCOMODATION FOR WORKMEN</t>
  </si>
  <si>
    <t>VEAS-08-003</t>
  </si>
  <si>
    <t xml:space="preserve">Bed </t>
  </si>
  <si>
    <t>VEAS-08-004</t>
  </si>
  <si>
    <t xml:space="preserve">Mattress 72''X 36'' </t>
  </si>
  <si>
    <t>VEAS-08-005</t>
  </si>
  <si>
    <t xml:space="preserve">Mattress 73.50 x 58.75 x 4" </t>
  </si>
  <si>
    <t>VEAS-08-006</t>
  </si>
  <si>
    <t xml:space="preserve">Mattress 79.75 x 59.5 x 4" </t>
  </si>
  <si>
    <t>VEAS-08-007</t>
  </si>
  <si>
    <t xml:space="preserve">Mattress 85.5 x 36 </t>
  </si>
  <si>
    <t>VEAS-08-008</t>
  </si>
  <si>
    <t xml:space="preserve">Mattress 85''X36'' </t>
  </si>
  <si>
    <t>VEAS-08-009</t>
  </si>
  <si>
    <t xml:space="preserve">Pillow </t>
  </si>
  <si>
    <t>VEAS-08-010</t>
  </si>
  <si>
    <t xml:space="preserve">Television </t>
  </si>
  <si>
    <t>VEAS-08-011</t>
  </si>
  <si>
    <t>CANTEEN FACILITY</t>
  </si>
  <si>
    <t>FOR SENIOR EXECUTIVE</t>
  </si>
  <si>
    <t>VEAS-09-001</t>
  </si>
  <si>
    <t>FOR STAFF &amp; SUPERVISORS</t>
  </si>
  <si>
    <t>VEAS-09-002</t>
  </si>
  <si>
    <t>VEHICLES</t>
  </si>
  <si>
    <t>VEAS-10-001</t>
  </si>
  <si>
    <t>BICYCLE</t>
  </si>
  <si>
    <t>VEAS-11-001</t>
  </si>
  <si>
    <t>Code Derivations of Materials</t>
  </si>
  <si>
    <t>Note:</t>
  </si>
  <si>
    <t>Code Derivation : (Company Code+Category Code) - (Group ID) - (Item Code) - (ID Code)</t>
  </si>
  <si>
    <t>To Issue an "Laptop" then its request code will be:</t>
  </si>
  <si>
    <r>
      <t xml:space="preserve">  VEAS-05-004-</t>
    </r>
    <r>
      <rPr>
        <b/>
        <sz val="10"/>
        <color rgb="FF0070C0"/>
        <rFont val="Calibri"/>
        <family val="2"/>
        <scheme val="minor"/>
      </rPr>
      <t>1,2,3,…</t>
    </r>
  </si>
  <si>
    <t>ID code is given to only A class items to track every individual item.</t>
  </si>
  <si>
    <t>1) Company Code:</t>
  </si>
  <si>
    <t>Sr No</t>
  </si>
  <si>
    <t>Company Name</t>
  </si>
  <si>
    <t>Company Code</t>
  </si>
  <si>
    <t>Vishal Enterprise</t>
  </si>
  <si>
    <t>VE</t>
  </si>
  <si>
    <t>2) Categeories:</t>
  </si>
  <si>
    <t>Sr No.</t>
  </si>
  <si>
    <t>Categories</t>
  </si>
  <si>
    <t xml:space="preserve"> Category Code</t>
  </si>
  <si>
    <t>Asset</t>
  </si>
  <si>
    <t>AS</t>
  </si>
  <si>
    <t>Tools &amp; Tackles</t>
  </si>
  <si>
    <t>TT</t>
  </si>
  <si>
    <t>FOS</t>
  </si>
  <si>
    <t>FS</t>
  </si>
  <si>
    <t>3) Group ID:</t>
  </si>
  <si>
    <t>Asset - AS</t>
  </si>
  <si>
    <t>Material Derived Names</t>
  </si>
  <si>
    <t>01</t>
  </si>
  <si>
    <t xml:space="preserve">CONTAINER OFFICES </t>
  </si>
  <si>
    <t>02</t>
  </si>
  <si>
    <t>03</t>
  </si>
  <si>
    <t xml:space="preserve">EQUIPMENT </t>
  </si>
  <si>
    <t>04</t>
  </si>
  <si>
    <t xml:space="preserve">MATERIAL HANDLING EQUIPMENT </t>
  </si>
  <si>
    <t>05</t>
  </si>
  <si>
    <t>06</t>
  </si>
  <si>
    <t xml:space="preserve">DIESEL POWER GENERATOR </t>
  </si>
  <si>
    <t>07</t>
  </si>
  <si>
    <t xml:space="preserve">AIR CONDITIONERS </t>
  </si>
  <si>
    <t>08</t>
  </si>
  <si>
    <t xml:space="preserve">ACCOMODATION </t>
  </si>
  <si>
    <t>09</t>
  </si>
  <si>
    <t xml:space="preserve">CANTEEN FACILITY </t>
  </si>
  <si>
    <t>10</t>
  </si>
  <si>
    <t xml:space="preserve">VEHICLES </t>
  </si>
  <si>
    <t>11</t>
  </si>
  <si>
    <t xml:space="preserve">BICYCLE </t>
  </si>
  <si>
    <t>Tools &amp; Tackles - TT</t>
  </si>
  <si>
    <t xml:space="preserve">GAS CUTTING ACCESSORIES </t>
  </si>
  <si>
    <t xml:space="preserve">GENERAL &amp; MISC TOOLS </t>
  </si>
  <si>
    <t xml:space="preserve">ELECTRICAL ITEM </t>
  </si>
  <si>
    <t xml:space="preserve">LIFTING TOOLS </t>
  </si>
  <si>
    <t xml:space="preserve">DRILLING ACCESSORIES </t>
  </si>
  <si>
    <t xml:space="preserve">Scaffolding </t>
  </si>
  <si>
    <t>Quality Instruments</t>
  </si>
  <si>
    <t>FOS - FS</t>
  </si>
  <si>
    <t xml:space="preserve">CUTTING WHEEL </t>
  </si>
  <si>
    <t xml:space="preserve">WELDING ELECTRODE </t>
  </si>
  <si>
    <t xml:space="preserve">GAS </t>
  </si>
  <si>
    <t xml:space="preserve">FUEL &amp; LUB </t>
  </si>
  <si>
    <t xml:space="preserve">FITUP ACCESSORIES </t>
  </si>
  <si>
    <t xml:space="preserve">GRINDING/DRILLING ACCESSORIES </t>
  </si>
  <si>
    <t xml:space="preserve">WELDING ACCESSORIES </t>
  </si>
  <si>
    <t xml:space="preserve">GENERAL &amp; MISC </t>
  </si>
  <si>
    <t>12</t>
  </si>
  <si>
    <t xml:space="preserve">GENERAL &amp; MISC TOOLS CONSUMABLE </t>
  </si>
  <si>
    <t>13</t>
  </si>
  <si>
    <t xml:space="preserve">ELECTRICAL CONSUMABLE </t>
  </si>
  <si>
    <t>14</t>
  </si>
  <si>
    <t>15</t>
  </si>
  <si>
    <t xml:space="preserve">STATIONARY </t>
  </si>
  <si>
    <t>16</t>
  </si>
  <si>
    <t xml:space="preserve">CARPENTRY ITEMS </t>
  </si>
  <si>
    <t>17</t>
  </si>
  <si>
    <t xml:space="preserve">PLUMBIBG &amp; SANITARY ITEMS </t>
  </si>
  <si>
    <t>18</t>
  </si>
  <si>
    <t xml:space="preserve">CIVIL &amp; CONSTRUCTION MATERIALS </t>
  </si>
  <si>
    <t>19</t>
  </si>
  <si>
    <t xml:space="preserve">FIRST AID BOX KIT </t>
  </si>
  <si>
    <t>20</t>
  </si>
  <si>
    <t xml:space="preserve">BLASTING &amp; PAINTING </t>
  </si>
  <si>
    <t>21</t>
  </si>
  <si>
    <t xml:space="preserve">FASTENERS </t>
  </si>
  <si>
    <t>22</t>
  </si>
  <si>
    <t xml:space="preserve">PPE </t>
  </si>
  <si>
    <t>Qty</t>
  </si>
  <si>
    <t>Location</t>
  </si>
  <si>
    <t>Brand</t>
  </si>
  <si>
    <t>Model No.</t>
  </si>
  <si>
    <t>Sr. No.</t>
  </si>
  <si>
    <t>Tag no.</t>
  </si>
  <si>
    <t>Jaylab</t>
  </si>
  <si>
    <t>JE - 21</t>
  </si>
  <si>
    <t>VE -239</t>
  </si>
  <si>
    <t>VE -2309</t>
  </si>
  <si>
    <t>Rack - A2</t>
  </si>
  <si>
    <t>1</t>
  </si>
  <si>
    <t>Calibration date Valid up to</t>
  </si>
  <si>
    <t>16 -02-2025</t>
  </si>
  <si>
    <t>VE -2622</t>
  </si>
  <si>
    <t>047/23/24</t>
  </si>
  <si>
    <t>VE044/23/24</t>
  </si>
  <si>
    <t>VE-PO-05</t>
  </si>
  <si>
    <t>VE-PO-07</t>
  </si>
  <si>
    <t>VE-2621/22/23</t>
  </si>
  <si>
    <t>VE-2620</t>
  </si>
  <si>
    <t>113/32/23/24</t>
  </si>
  <si>
    <t>VE -22/39/</t>
  </si>
  <si>
    <t>VE -DPO-03</t>
  </si>
  <si>
    <t>2549/22-23</t>
  </si>
  <si>
    <t>VE-PO-08</t>
  </si>
  <si>
    <t>2753/22-23</t>
  </si>
  <si>
    <t>VE -PO-10</t>
  </si>
  <si>
    <t>VE -228</t>
  </si>
  <si>
    <t>26-11-2024</t>
  </si>
  <si>
    <t>26-10-2024</t>
  </si>
  <si>
    <t>16-02-2025</t>
  </si>
  <si>
    <t>26-11-2023</t>
  </si>
  <si>
    <t>17-11-2023</t>
  </si>
  <si>
    <t>29-12-2023</t>
  </si>
  <si>
    <t>23-07-2024</t>
  </si>
  <si>
    <t>06-10-2024</t>
  </si>
  <si>
    <t>Haridas</t>
  </si>
  <si>
    <t>200 TSP</t>
  </si>
  <si>
    <t>VE -23</t>
  </si>
  <si>
    <t>H1EC/P/18/3/876</t>
  </si>
  <si>
    <t>H1EC/P/18/3/871</t>
  </si>
  <si>
    <t>H1EC/P/18/3/872</t>
  </si>
  <si>
    <t>H1EC/P/18/3/880</t>
  </si>
  <si>
    <t>H1EC/P/17/12/491</t>
  </si>
  <si>
    <t>H1EC/P/18/3/883</t>
  </si>
  <si>
    <t>H1EC/P/20/9/120</t>
  </si>
  <si>
    <t>H1EC/P/20/9/116</t>
  </si>
  <si>
    <t>H1EC/P/20/9/112</t>
  </si>
  <si>
    <t>5050005501</t>
  </si>
  <si>
    <t>H1EC/P/18/3/875</t>
  </si>
  <si>
    <t>03-07-2024</t>
  </si>
  <si>
    <t>16-11-2023</t>
  </si>
  <si>
    <t>VE -02</t>
  </si>
  <si>
    <t>VE-04</t>
  </si>
  <si>
    <t>VE-30</t>
  </si>
  <si>
    <t>VE-28</t>
  </si>
  <si>
    <t>VE-29</t>
  </si>
  <si>
    <t>VE-03</t>
  </si>
  <si>
    <t>Gravity</t>
  </si>
  <si>
    <t>VE -12</t>
  </si>
  <si>
    <t>1673120</t>
  </si>
  <si>
    <t>Shop - B</t>
  </si>
  <si>
    <t>VE -15</t>
  </si>
  <si>
    <t>1503091</t>
  </si>
  <si>
    <t>VE -09</t>
  </si>
  <si>
    <t>H1EC/P/20/0/115</t>
  </si>
  <si>
    <t>Shop - A</t>
  </si>
  <si>
    <t>2756</t>
  </si>
  <si>
    <t>2620/22-23</t>
  </si>
  <si>
    <t>17-02-2023</t>
  </si>
  <si>
    <t>755/11/22-23</t>
  </si>
  <si>
    <t>Out Side</t>
  </si>
  <si>
    <t>VE - 049</t>
  </si>
  <si>
    <t>049/23-24</t>
  </si>
  <si>
    <t>VE - 10</t>
  </si>
  <si>
    <t>VE -2551/22/23</t>
  </si>
  <si>
    <t>HMP</t>
  </si>
  <si>
    <t>VE -08</t>
  </si>
  <si>
    <t>05227</t>
  </si>
  <si>
    <t>Rack - A3</t>
  </si>
  <si>
    <t>VE -03</t>
  </si>
  <si>
    <t>072147</t>
  </si>
  <si>
    <t>VE -10</t>
  </si>
  <si>
    <t>112225</t>
  </si>
  <si>
    <t>VE -11</t>
  </si>
  <si>
    <t>112226</t>
  </si>
  <si>
    <t>Prima</t>
  </si>
  <si>
    <t>112224</t>
  </si>
  <si>
    <t>PIPE CUTTING MACHINES     ( CHOPSAW MACHINE )</t>
  </si>
  <si>
    <t>Bosch</t>
  </si>
  <si>
    <t>VE -01</t>
  </si>
  <si>
    <t>23200691112/22</t>
  </si>
  <si>
    <t>80100221201/2018</t>
  </si>
  <si>
    <t>Skil</t>
  </si>
  <si>
    <t>F015322024</t>
  </si>
  <si>
    <t>Makita</t>
  </si>
  <si>
    <t>VE -04</t>
  </si>
  <si>
    <t>VE -05</t>
  </si>
  <si>
    <t>Hitachi</t>
  </si>
  <si>
    <t>VE -06</t>
  </si>
  <si>
    <t>C121480</t>
  </si>
  <si>
    <t>PPT</t>
  </si>
  <si>
    <t>VE -07</t>
  </si>
  <si>
    <t>211609014689</t>
  </si>
  <si>
    <t>GBL620</t>
  </si>
  <si>
    <t>229250828</t>
  </si>
  <si>
    <t>229250811</t>
  </si>
  <si>
    <t>Tag No.</t>
  </si>
  <si>
    <t xml:space="preserve">Sr. No. </t>
  </si>
  <si>
    <t>Calibration Date Valid Up to</t>
  </si>
  <si>
    <t>G0L32D</t>
  </si>
  <si>
    <t>X381839</t>
  </si>
  <si>
    <t>Pentax</t>
  </si>
  <si>
    <t>AFL - 320</t>
  </si>
  <si>
    <t>613672</t>
  </si>
  <si>
    <t>Rack -A1</t>
  </si>
  <si>
    <t>260</t>
  </si>
  <si>
    <t>220</t>
  </si>
  <si>
    <t>Rack -A2</t>
  </si>
  <si>
    <t>4</t>
  </si>
  <si>
    <t>9</t>
  </si>
  <si>
    <t>Freemans</t>
  </si>
  <si>
    <t>38</t>
  </si>
  <si>
    <t>SPIRIT LEVEL 24" MAGNETIC</t>
  </si>
  <si>
    <t>Rack - B4</t>
  </si>
  <si>
    <t>Rack - A5</t>
  </si>
  <si>
    <t>Rack - B5</t>
  </si>
  <si>
    <t>7</t>
  </si>
  <si>
    <t>3</t>
  </si>
  <si>
    <t>75</t>
  </si>
  <si>
    <t>5</t>
  </si>
  <si>
    <t>2</t>
  </si>
  <si>
    <t>D SPANNER 24X26</t>
  </si>
  <si>
    <t>D SPANNER 25X28</t>
  </si>
  <si>
    <t>46</t>
  </si>
  <si>
    <t>RING SPANNER 24X26</t>
  </si>
  <si>
    <t>RING SPANNER 25X28</t>
  </si>
  <si>
    <t>77</t>
  </si>
  <si>
    <t>RING SPANNER 19X21</t>
  </si>
  <si>
    <t>RING SPANNER 27X32</t>
  </si>
  <si>
    <t>D SPANNER 27X30</t>
  </si>
  <si>
    <t>D SPANNER 27X32</t>
  </si>
  <si>
    <t>D SPANNER 24X30</t>
  </si>
  <si>
    <t>D SPANNER 22X24</t>
  </si>
  <si>
    <t>Rack -B5</t>
  </si>
  <si>
    <t>6</t>
  </si>
  <si>
    <t>23</t>
  </si>
  <si>
    <t>D SPANNER 46</t>
  </si>
  <si>
    <t>D SPANNER 36</t>
  </si>
  <si>
    <t>D SPANNER 30</t>
  </si>
  <si>
    <t>D SPANNER 55</t>
  </si>
  <si>
    <t>D SPANNER 65</t>
  </si>
  <si>
    <t>25</t>
  </si>
  <si>
    <t>94</t>
  </si>
  <si>
    <t>REGULATOR FOR D/A  Old</t>
  </si>
  <si>
    <t>Rack - A1</t>
  </si>
  <si>
    <t>Misatu</t>
  </si>
  <si>
    <t>REGULATOR FOR L.P.G. Old</t>
  </si>
  <si>
    <t>REGULATOR FOR OXYGEN Old</t>
  </si>
  <si>
    <t>Rack -A5</t>
  </si>
  <si>
    <t>Empty New</t>
  </si>
  <si>
    <t>Full Set</t>
  </si>
  <si>
    <t>VE - 01</t>
  </si>
  <si>
    <t>25-01-2024</t>
  </si>
  <si>
    <t>VE - 02</t>
  </si>
  <si>
    <t>VE - 02N</t>
  </si>
  <si>
    <t>VE - 04</t>
  </si>
  <si>
    <t>26-01-2023</t>
  </si>
  <si>
    <t>Gemarc</t>
  </si>
  <si>
    <t>Rilon</t>
  </si>
  <si>
    <t>VE - 12</t>
  </si>
  <si>
    <t>VE - 03</t>
  </si>
  <si>
    <t>GB</t>
  </si>
  <si>
    <t>02-01-2024</t>
  </si>
  <si>
    <t>VE -05N</t>
  </si>
  <si>
    <t>SA160502410</t>
  </si>
  <si>
    <t>GP</t>
  </si>
  <si>
    <t>VE -31</t>
  </si>
  <si>
    <t>3977</t>
  </si>
  <si>
    <t>VE - 03N</t>
  </si>
  <si>
    <t>Warrp</t>
  </si>
  <si>
    <t>FGWM000220222031200</t>
  </si>
  <si>
    <t>01-12-2023</t>
  </si>
  <si>
    <t>21050161</t>
  </si>
  <si>
    <t>APS</t>
  </si>
  <si>
    <t>20231012468</t>
  </si>
  <si>
    <t>Store</t>
  </si>
  <si>
    <t>20231012470</t>
  </si>
  <si>
    <t>Addon</t>
  </si>
  <si>
    <t>VE - 15</t>
  </si>
  <si>
    <t>20200906040</t>
  </si>
  <si>
    <t>06-03-2024</t>
  </si>
  <si>
    <t>VE - 59</t>
  </si>
  <si>
    <t>2266</t>
  </si>
  <si>
    <t>01-12-2024</t>
  </si>
  <si>
    <t>VE - 2322</t>
  </si>
  <si>
    <t>V62322</t>
  </si>
  <si>
    <t>04-07-2024</t>
  </si>
  <si>
    <t>VE - 38</t>
  </si>
  <si>
    <t>VE - 6008</t>
  </si>
  <si>
    <t>6008</t>
  </si>
  <si>
    <t>01-12-24</t>
  </si>
  <si>
    <t>VE - 17</t>
  </si>
  <si>
    <t>20200906039</t>
  </si>
  <si>
    <t>10-02-2025</t>
  </si>
  <si>
    <t>VE - 08</t>
  </si>
  <si>
    <t>20200906034</t>
  </si>
  <si>
    <t>VE - 22</t>
  </si>
  <si>
    <t>20200906033</t>
  </si>
  <si>
    <t>16-12-2025</t>
  </si>
  <si>
    <t>6034</t>
  </si>
  <si>
    <t>VE - 63</t>
  </si>
  <si>
    <t>1767</t>
  </si>
  <si>
    <t>Panasonic</t>
  </si>
  <si>
    <t>VE - 2321</t>
  </si>
  <si>
    <t>VE2327</t>
  </si>
  <si>
    <t>20230311562</t>
  </si>
  <si>
    <t>1766</t>
  </si>
  <si>
    <t>D&amp;H</t>
  </si>
  <si>
    <t>VE - 07</t>
  </si>
  <si>
    <t>13090500145</t>
  </si>
  <si>
    <t>VE - 18</t>
  </si>
  <si>
    <t>VE -18</t>
  </si>
  <si>
    <t>1036</t>
  </si>
  <si>
    <t>Quality</t>
  </si>
  <si>
    <t>5742</t>
  </si>
  <si>
    <t>VE - 57</t>
  </si>
  <si>
    <t>3222</t>
  </si>
  <si>
    <t>Out Side -C</t>
  </si>
  <si>
    <t>1043</t>
  </si>
  <si>
    <t>Out Side -B</t>
  </si>
  <si>
    <t>VE - 21</t>
  </si>
  <si>
    <t>D30118E0072</t>
  </si>
  <si>
    <t>Locker No. -02</t>
  </si>
  <si>
    <t xml:space="preserve">Cotton Type </t>
  </si>
  <si>
    <t>Jeans Type</t>
  </si>
  <si>
    <t>Locker No. -01</t>
  </si>
  <si>
    <t>RECTIFIER ARC WELDING MACHINES (300 AMPS)</t>
  </si>
  <si>
    <t>2021096817</t>
  </si>
  <si>
    <t>221102710</t>
  </si>
  <si>
    <t>MBI</t>
  </si>
  <si>
    <t>VE - 37</t>
  </si>
  <si>
    <t>1904025/2</t>
  </si>
  <si>
    <t>Rack - A4</t>
  </si>
  <si>
    <t>New</t>
  </si>
  <si>
    <t>Old</t>
  </si>
  <si>
    <t>Old( Not Ok)</t>
  </si>
  <si>
    <t>Old ( Ok)</t>
  </si>
  <si>
    <t>TORCH    ( CO2 )</t>
  </si>
  <si>
    <t>Warpp</t>
  </si>
  <si>
    <t>8</t>
  </si>
  <si>
    <t>Rack- A5</t>
  </si>
  <si>
    <t>Udyogi</t>
  </si>
  <si>
    <t>CUTTING TORCH        ( Gas )</t>
  </si>
  <si>
    <t>ESAB</t>
  </si>
  <si>
    <t>35</t>
  </si>
  <si>
    <t>PLASMA CUTTING MACHINE  ( 400AMP )</t>
  </si>
  <si>
    <t>Sore</t>
  </si>
  <si>
    <t>FGCM000280521010200</t>
  </si>
  <si>
    <t>FGCM000280521008700</t>
  </si>
  <si>
    <t>FGCM000280421003900</t>
  </si>
  <si>
    <t>FGCM00028052100500</t>
  </si>
  <si>
    <t>26-01-2024</t>
  </si>
  <si>
    <t>VEAS-03-046</t>
  </si>
  <si>
    <t>SAW WELDING MACHINES (400 AMPS)     ( CO2 )</t>
  </si>
  <si>
    <t>0502</t>
  </si>
  <si>
    <t>D30421E0011</t>
  </si>
  <si>
    <t>VE - 54</t>
  </si>
  <si>
    <t>0454</t>
  </si>
  <si>
    <t>VE - 09</t>
  </si>
  <si>
    <t>0509</t>
  </si>
  <si>
    <t>0513</t>
  </si>
  <si>
    <t>10-04-2023</t>
  </si>
  <si>
    <t>0028</t>
  </si>
  <si>
    <t>Out Side-C</t>
  </si>
  <si>
    <t>Baumer</t>
  </si>
  <si>
    <t>Pressure Guage (Big Size) 250 Kg</t>
  </si>
  <si>
    <t>K-111.59-03410</t>
  </si>
  <si>
    <t>K-111.59-03403</t>
  </si>
  <si>
    <t>Pressure Guage  42 Kg</t>
  </si>
  <si>
    <t>123127008</t>
  </si>
  <si>
    <t>Pressure Guage 16 Kg</t>
  </si>
  <si>
    <t>R513.59-01183</t>
  </si>
  <si>
    <t>R513.59-01169</t>
  </si>
  <si>
    <t>Pressure Guage 2.1 Kg</t>
  </si>
  <si>
    <t xml:space="preserve">Arbuda </t>
  </si>
  <si>
    <t>22F01578</t>
  </si>
  <si>
    <t>26/02/24</t>
  </si>
  <si>
    <t>22F015887</t>
  </si>
  <si>
    <t>22F01580</t>
  </si>
  <si>
    <t>22F01568</t>
  </si>
  <si>
    <t>22F01567</t>
  </si>
  <si>
    <t>Pressure Guage 350 Kg</t>
  </si>
  <si>
    <t>22F01604</t>
  </si>
  <si>
    <t>17/01/24</t>
  </si>
  <si>
    <t>22F01583</t>
  </si>
  <si>
    <t>22F01575</t>
  </si>
  <si>
    <t>Pressure Guage 106 Kg</t>
  </si>
  <si>
    <t>C22206106</t>
  </si>
  <si>
    <t>08/10/24</t>
  </si>
  <si>
    <t>Pressure Guage 42 Kg</t>
  </si>
  <si>
    <t>123127006</t>
  </si>
  <si>
    <t>Pressure Guage 40 Kg</t>
  </si>
  <si>
    <t>125127010</t>
  </si>
  <si>
    <t>H23110010</t>
  </si>
  <si>
    <t>Pressure Guage 280 Kg</t>
  </si>
  <si>
    <t>Big Pointer</t>
  </si>
  <si>
    <t>170335</t>
  </si>
  <si>
    <t>19/01/20</t>
  </si>
  <si>
    <t>Wika</t>
  </si>
  <si>
    <t>Pressure Guage 60 Kg</t>
  </si>
  <si>
    <t>Pressure Guage 420 Kg</t>
  </si>
  <si>
    <t>Warea</t>
  </si>
  <si>
    <t>Pressure Guage 160 Kg</t>
  </si>
  <si>
    <t>Mass</t>
  </si>
  <si>
    <t>Pressure Guage 200 Kg</t>
  </si>
  <si>
    <t>Altop</t>
  </si>
  <si>
    <t>Pressure Guage 28 Kg</t>
  </si>
  <si>
    <t>Radix</t>
  </si>
  <si>
    <t>Pressure Guage 4 Kg</t>
  </si>
  <si>
    <t>Pressure Guage 70 Kg</t>
  </si>
  <si>
    <t>H23001025</t>
  </si>
  <si>
    <t>Pointer</t>
  </si>
  <si>
    <t>Pressure Guage 21 Kg</t>
  </si>
  <si>
    <t>Petco</t>
  </si>
  <si>
    <t>HP-025</t>
  </si>
  <si>
    <t>11-16</t>
  </si>
  <si>
    <t>Laxmi</t>
  </si>
  <si>
    <t>HP-05</t>
  </si>
  <si>
    <t>316</t>
  </si>
  <si>
    <t>CONCREAT VIBRATION MACHINE</t>
  </si>
  <si>
    <t>DCA</t>
  </si>
  <si>
    <t>AZG6S</t>
  </si>
  <si>
    <t>62009002559</t>
  </si>
  <si>
    <t>WINCH GRINDING MACHINE</t>
  </si>
  <si>
    <t>MASKING TAPE / Cello Tape - Transperant (2")</t>
  </si>
  <si>
    <t>MASKING TAPE / Cello Tape - Transperant (1")</t>
  </si>
  <si>
    <t>kansuee</t>
  </si>
  <si>
    <t>MASKING TAPE / Cello Tape - Transperant  Brown (2")</t>
  </si>
  <si>
    <t>MASKING TAPE / Cello Tape - Transperant  White (2")</t>
  </si>
  <si>
    <t>TEFLON TAPE   0.5"</t>
  </si>
  <si>
    <t>ADAPTER</t>
  </si>
  <si>
    <t>For LPG Regulator</t>
  </si>
  <si>
    <t>COLAMBIA</t>
  </si>
  <si>
    <t>REGULATOR CO2</t>
  </si>
  <si>
    <t>WELDING GLASS BLACK-11 DIN</t>
  </si>
  <si>
    <t>381</t>
  </si>
  <si>
    <t>WELDING GLASS BLACK-12 DIN</t>
  </si>
  <si>
    <t>WELDING GLASS BLACK-13 DIN</t>
  </si>
  <si>
    <t>90</t>
  </si>
  <si>
    <t>WELDING GLASS  WHITE</t>
  </si>
  <si>
    <t>864</t>
  </si>
  <si>
    <t>Harish</t>
  </si>
  <si>
    <t>651</t>
  </si>
  <si>
    <t>For Gas Line</t>
  </si>
  <si>
    <t>REGULATOR CO2   ( OLD )</t>
  </si>
  <si>
    <t>TrueWeld</t>
  </si>
  <si>
    <t>PKT</t>
  </si>
  <si>
    <t>D SPANNER 50</t>
  </si>
  <si>
    <t>34</t>
  </si>
  <si>
    <t>D SPANNER 41</t>
  </si>
  <si>
    <t>K2 PASTE</t>
  </si>
  <si>
    <t>CAPCO</t>
  </si>
  <si>
    <t>200206/20SHD-13.1A</t>
  </si>
  <si>
    <t>GRINDING MACHINE KEY</t>
  </si>
  <si>
    <t>30</t>
  </si>
  <si>
    <t>600</t>
  </si>
  <si>
    <t>PURGING TUBE(Argon Hose Blue)</t>
  </si>
  <si>
    <t>POLYGRIP</t>
  </si>
  <si>
    <t>Rack -B4</t>
  </si>
  <si>
    <t>kg</t>
  </si>
  <si>
    <t>Kg</t>
  </si>
  <si>
    <t>WELDING REMOTE</t>
  </si>
  <si>
    <t>WELDING REMOTE (BIG)</t>
  </si>
  <si>
    <t>WELDING MACHINE COVER(200 AMP)</t>
  </si>
  <si>
    <t>WELDING HELMET LOCK</t>
  </si>
  <si>
    <t>BINDING PLASTIC ROLL</t>
  </si>
  <si>
    <t>`</t>
  </si>
  <si>
    <t>BOILER SUIT PVC</t>
  </si>
  <si>
    <t>45</t>
  </si>
  <si>
    <t>R.O (SMALL )</t>
  </si>
  <si>
    <t>Damage</t>
  </si>
  <si>
    <t>REGULATOR GAUGE (LPG + OXYGEN)</t>
  </si>
  <si>
    <t>50</t>
  </si>
  <si>
    <t>Metro</t>
  </si>
  <si>
    <t>Rack-A2</t>
  </si>
  <si>
    <t>DRILL M/C</t>
  </si>
  <si>
    <t>GBS501</t>
  </si>
  <si>
    <t>126128201</t>
  </si>
  <si>
    <t>GBH220</t>
  </si>
  <si>
    <t>331197650</t>
  </si>
  <si>
    <t xml:space="preserve">DRILL M/C. CONCREAT HAMMER </t>
  </si>
  <si>
    <t>LASSER LIGHT M/C</t>
  </si>
  <si>
    <t>Laisai</t>
  </si>
  <si>
    <t>06188-04735E11</t>
  </si>
  <si>
    <t xml:space="preserve">PLASMA SELF START CUTTER 20K </t>
  </si>
  <si>
    <t>GYS</t>
  </si>
  <si>
    <t>07.09.87099</t>
  </si>
  <si>
    <t>Eibenstock- KBM-50</t>
  </si>
  <si>
    <t>VE- 11</t>
  </si>
  <si>
    <t>20210215</t>
  </si>
  <si>
    <t>EP - KBM-50</t>
  </si>
  <si>
    <t>VE- 05</t>
  </si>
  <si>
    <t>280296</t>
  </si>
  <si>
    <t>VE- 09</t>
  </si>
  <si>
    <t>20190421</t>
  </si>
  <si>
    <t>Unibor - KZ 50/60</t>
  </si>
  <si>
    <t>EQ35N</t>
  </si>
  <si>
    <t>N23847</t>
  </si>
  <si>
    <t>DRILLING M/C ALL CUT 35MM MAGNETIC BASE</t>
  </si>
  <si>
    <t>Eibenstock- KBM-35</t>
  </si>
  <si>
    <t>VE -32</t>
  </si>
  <si>
    <t>20230007</t>
  </si>
  <si>
    <t>VE -29</t>
  </si>
  <si>
    <t>28220306</t>
  </si>
  <si>
    <t>DRILLING M/C ALL CUT 42MM MAGNETIC BASE</t>
  </si>
  <si>
    <t>Posicron - KDS-42</t>
  </si>
  <si>
    <t>VE -4</t>
  </si>
  <si>
    <t>40001101</t>
  </si>
  <si>
    <t>VE -5</t>
  </si>
  <si>
    <t>40001081</t>
  </si>
  <si>
    <t>CO2 HEATER( GAS)</t>
  </si>
  <si>
    <t>RATCHET WRINCH  300MM</t>
  </si>
  <si>
    <t>Taparia</t>
  </si>
  <si>
    <t>Rack- A4</t>
  </si>
  <si>
    <t>Rack - B3</t>
  </si>
  <si>
    <t>STRINGER WHEEL AG7 BRUSH CS</t>
  </si>
  <si>
    <t>Pkt</t>
  </si>
  <si>
    <t>Rack - B2</t>
  </si>
  <si>
    <t>PKt</t>
  </si>
  <si>
    <t>RIBBON COLOUR RED</t>
  </si>
  <si>
    <t>RIBBON COLOUR YELLOW</t>
  </si>
  <si>
    <t>RIBBON COLOUR PINK</t>
  </si>
  <si>
    <t>RIBBON COLOUR ORANGE</t>
  </si>
  <si>
    <t>RIBBON COLOUR GREEN</t>
  </si>
  <si>
    <t>RIBBON COLOUR BLUE</t>
  </si>
  <si>
    <t>Rack -B2</t>
  </si>
  <si>
    <t>GAS CUTTING NOZZLE PUG M/C DA 3/64</t>
  </si>
  <si>
    <t>GAS CUTTING NOZZLE PUG M/C DA 1/16</t>
  </si>
  <si>
    <t>GAS CUTTING NOZZLE  DA 3/64</t>
  </si>
  <si>
    <t>For Torch</t>
  </si>
  <si>
    <t>GAS CUTTING NOZZLE  DA 5/64</t>
  </si>
  <si>
    <t>GAS CUTTING NOZZLE  DA 1/16</t>
  </si>
  <si>
    <t>R+D SPANNER 22 X 22</t>
  </si>
  <si>
    <t>VE -35</t>
  </si>
  <si>
    <t>20220312</t>
  </si>
  <si>
    <t>Sparktech</t>
  </si>
  <si>
    <t>TCT</t>
  </si>
  <si>
    <t>HSS</t>
  </si>
  <si>
    <t>37</t>
  </si>
  <si>
    <t>CORE CUT DRILL BIT 17x55 MM</t>
  </si>
  <si>
    <t>CORE CUT DRILL BIT 25x55 MM</t>
  </si>
  <si>
    <t>CORE CUT DRILL BIT 24x75 MM</t>
  </si>
  <si>
    <t>CORE CUT DRILL BIT 24x55 MM</t>
  </si>
  <si>
    <t>CORE CUT DRILL BIT 26X75 MM</t>
  </si>
  <si>
    <t>CORE CUT DRILL BIT 26X55 MM</t>
  </si>
  <si>
    <t>CORE CUT DRILL BIT 18x55 MM</t>
  </si>
  <si>
    <t>CORE CUT DRILL BIT 22X55 MM</t>
  </si>
  <si>
    <t>CORE CUT DRILL BIT 22X75 MM</t>
  </si>
  <si>
    <t>CORE CUT DRILL BIT 33x55 MM</t>
  </si>
  <si>
    <t>CORE CUT DRILL BIT 19x55 MM</t>
  </si>
  <si>
    <t>CORE CUT DRILL BIT 30x75 MM</t>
  </si>
  <si>
    <t>CORE CUT DRILL BIT 30x55 MM</t>
  </si>
  <si>
    <t>CORE CUT DRILL BIT 12x55 MM</t>
  </si>
  <si>
    <t>CORE CUT DRILL BIT 34x75 MM</t>
  </si>
  <si>
    <t>CORE CUT DRILL BIT 34x55 MM</t>
  </si>
  <si>
    <t>CORE CUT DRILL BIT 36x75 MM</t>
  </si>
  <si>
    <t>CORE CUT DRILL BIT 36x55 MM</t>
  </si>
  <si>
    <t>CORE CUT DRILL BIT 13x55 MM</t>
  </si>
  <si>
    <t>CORE CUT DRILL BIT 38x55 MM</t>
  </si>
  <si>
    <t>CORE CUT DRILL BIT 14x55 MM</t>
  </si>
  <si>
    <t>CORE CUT DRILL BIT 29x55 MM</t>
  </si>
  <si>
    <t>CORE CUT DRILL BIT 16x55 MM</t>
  </si>
  <si>
    <t>28</t>
  </si>
  <si>
    <t>CORE CUT DRILL BIT 28X55 MM</t>
  </si>
  <si>
    <t>CORE CUT DRILL BIT 28X75 MM</t>
  </si>
  <si>
    <t>CORE CUT DRILL BIT 27X55 MM</t>
  </si>
  <si>
    <t>CORE CUT DRILL BIT 34X55 MM</t>
  </si>
  <si>
    <t>CORE CUT DRILL BIT 40X75 MM</t>
  </si>
  <si>
    <t>CORE CUT DRILL BIT 40X55 MM</t>
  </si>
  <si>
    <t>CORE CUT DRILL BIT 32X55 MM</t>
  </si>
  <si>
    <t>CORE CUT DRILL BIT 23X55 MM</t>
  </si>
  <si>
    <t>CORE CUT DRILL BIT 20X55 MM</t>
  </si>
  <si>
    <t>CORE CUT DRILL BIT 31X55 MM</t>
  </si>
  <si>
    <t>CORE CUT DRILL BIT 50X55 MM</t>
  </si>
  <si>
    <t>CORE CUT DRILL BIT 48X55 MM</t>
  </si>
  <si>
    <t>CORE CUT DRILL BIT 52X55 MM</t>
  </si>
  <si>
    <t>CORE CUT DRILL BIT 46X75 MM</t>
  </si>
  <si>
    <t>CORE CUT DRILL BIT 46X55 MM</t>
  </si>
  <si>
    <t>CORE CUT DRILL BIT 44X55 MM</t>
  </si>
  <si>
    <t>Scaffolding ladder Clamp</t>
  </si>
  <si>
    <t>Scaffolding Beam Clamp</t>
  </si>
  <si>
    <t>Scaffolding Box Clamp</t>
  </si>
  <si>
    <t>Scaffolding Yard</t>
  </si>
  <si>
    <t>1300</t>
  </si>
  <si>
    <t>1000</t>
  </si>
  <si>
    <t xml:space="preserve">New </t>
  </si>
  <si>
    <t>400</t>
  </si>
  <si>
    <t>Old &amp; Running Condition</t>
  </si>
  <si>
    <t xml:space="preserve">Scaffolding Jali Clamp </t>
  </si>
  <si>
    <t xml:space="preserve">Scaffolding Round Clamp </t>
  </si>
  <si>
    <t xml:space="preserve">Scaffolding Fix Clamp </t>
  </si>
  <si>
    <t>Scaffolding ladder 6 Mtr</t>
  </si>
  <si>
    <t>Scaffolding ladder 3 Mtr</t>
  </si>
  <si>
    <t>200</t>
  </si>
  <si>
    <t>Rejected</t>
  </si>
  <si>
    <t>300</t>
  </si>
  <si>
    <t>TAPER DRILL BIT 12MM</t>
  </si>
  <si>
    <t>TAPER DRILL BIT 14MM</t>
  </si>
  <si>
    <t>TAPER DRILL BIT 16MM</t>
  </si>
  <si>
    <t>TAPER DRILL BIT 18MM</t>
  </si>
  <si>
    <t>TAPER DRILL BIT 20MM</t>
  </si>
  <si>
    <t>TAPER DRILL BIT 22MM</t>
  </si>
  <si>
    <t>TAPER DRILL BIT 24MM</t>
  </si>
  <si>
    <t>TAPER DRILL BIT 26MM</t>
  </si>
  <si>
    <t>TAPER DRILL BIT 28MM</t>
  </si>
  <si>
    <t>TAPER DRILL BIT 30MM</t>
  </si>
  <si>
    <t>TAPER DRILL BIT 32MM</t>
  </si>
  <si>
    <t>TAPER DRILL BIT 36MM</t>
  </si>
  <si>
    <t>TAPER DRILL BIT 40MM</t>
  </si>
  <si>
    <t>TAPER DRILL BIT 46MM</t>
  </si>
  <si>
    <t>Rack - C4</t>
  </si>
  <si>
    <t>CERAMIC NOZZLE 3622</t>
  </si>
  <si>
    <t>CERAMIC NOZZLE 3620</t>
  </si>
  <si>
    <t>CERAMIC NOZZLE 2462</t>
  </si>
  <si>
    <t>CERAMIC NOZZLE 2463</t>
  </si>
  <si>
    <t>CERAMIC NOZZLE 2464</t>
  </si>
  <si>
    <t>Rack - C5</t>
  </si>
  <si>
    <t>Rack- C4</t>
  </si>
  <si>
    <t>PANTING BRUSH 5."</t>
  </si>
  <si>
    <t>Rack - C3</t>
  </si>
  <si>
    <t>CORDLESS DRILL M/C</t>
  </si>
  <si>
    <t>SET</t>
  </si>
  <si>
    <t>Wrapping Roll</t>
  </si>
  <si>
    <t>DM WATER</t>
  </si>
  <si>
    <t>SOCKET SPANNER SET 08 TO 32MM</t>
  </si>
  <si>
    <t>STEEL FLUX CORE WIRE 309LT-1-1/4</t>
  </si>
  <si>
    <t>Rack -C4</t>
  </si>
  <si>
    <t>CARBON BRUSH FOR CHOPSAW MACHINE</t>
  </si>
  <si>
    <t>Rack - C2</t>
  </si>
  <si>
    <t>Pairs</t>
  </si>
  <si>
    <t>CARBON BRUSH DCA FOR AG4 MACHINE</t>
  </si>
  <si>
    <t>CARBON BRUSH FOR AG5 MACHINE</t>
  </si>
  <si>
    <t>CARBON BRUSH FOR AG7 MACHINE</t>
  </si>
  <si>
    <t>CARBON BRUSH DCA FOR FF2 MACHINE</t>
  </si>
  <si>
    <t>CARBON BRUSH DCA FOR AG5 MACHINE</t>
  </si>
  <si>
    <t>CARBON HOLDER &amp; CAP FOR CHOPSAW MACHINE</t>
  </si>
  <si>
    <t xml:space="preserve">GEAR FOR CHOPSAW MACHINE </t>
  </si>
  <si>
    <t>Makita MT- 240</t>
  </si>
  <si>
    <t xml:space="preserve">Carbon Holder AG5 </t>
  </si>
  <si>
    <t>Handle Lever SA KBM-38</t>
  </si>
  <si>
    <t>Eibenstock</t>
  </si>
  <si>
    <t>Carbon Cap Ag5</t>
  </si>
  <si>
    <t>Switch For FF2 Machine DCA</t>
  </si>
  <si>
    <t>Rack-C2</t>
  </si>
  <si>
    <t>Transformer For CO2 Welding Machine</t>
  </si>
  <si>
    <t>Rack-C1</t>
  </si>
  <si>
    <t>Gear AG5 DCA</t>
  </si>
  <si>
    <t>Switch AG7 DCA</t>
  </si>
  <si>
    <t>Rack-C3</t>
  </si>
  <si>
    <t>Coilet Nut For FF2 G/Machine</t>
  </si>
  <si>
    <t>Coilet For FF2 G/R Machine</t>
  </si>
  <si>
    <t>Gear AG4 DCA</t>
  </si>
  <si>
    <t>Fuse For Drill Machine</t>
  </si>
  <si>
    <t>Oil Seal FOR DRILL M/C KBM-38</t>
  </si>
  <si>
    <t>Gland PG-9 KBM-38</t>
  </si>
  <si>
    <t>Philip Head Self Top Screw 4.8x45 KBM-38</t>
  </si>
  <si>
    <t>Black Box No-1</t>
  </si>
  <si>
    <t>Feeder Roller For Co2 Trolly</t>
  </si>
  <si>
    <t>Drive Spendle For FF2 Machine</t>
  </si>
  <si>
    <t>Bridge Rectifire Diode KBM-38</t>
  </si>
  <si>
    <t xml:space="preserve">Ball Bearing </t>
  </si>
  <si>
    <t>CARBON HOLDER Cap For FF2 Machine DCA</t>
  </si>
  <si>
    <t>switch AG5 DCA</t>
  </si>
  <si>
    <t>Solenoid Valve 24V</t>
  </si>
  <si>
    <t xml:space="preserve">Gear Case </t>
  </si>
  <si>
    <t>Eibenstock KBM-50</t>
  </si>
  <si>
    <t xml:space="preserve">Nut For Coolent Bottle </t>
  </si>
  <si>
    <t>Field Case</t>
  </si>
  <si>
    <t>Eibenstock KBM-38</t>
  </si>
  <si>
    <t>Handle For AG5 Machine</t>
  </si>
  <si>
    <t>Plate For Pug Machine</t>
  </si>
  <si>
    <t>Spendle AG5 G/R Machine</t>
  </si>
  <si>
    <t>Senser For Mother Oven</t>
  </si>
  <si>
    <t>J-Type</t>
  </si>
  <si>
    <t>Carbon Holder AG7 DCA</t>
  </si>
  <si>
    <t>Carbon Holder Buffing Machine</t>
  </si>
  <si>
    <t>Side Cap KBM-50-2</t>
  </si>
  <si>
    <t>MT-2 Sleeve KBM-42</t>
  </si>
  <si>
    <t>Cable Tie</t>
  </si>
  <si>
    <t>Hockey Toilet Cleaner Brush</t>
  </si>
  <si>
    <t>Rack-B3</t>
  </si>
  <si>
    <t xml:space="preserve">Surface Cleaner </t>
  </si>
  <si>
    <t>Harpic (Toilet Cleaner)</t>
  </si>
  <si>
    <t>CORE CUT DRILL BIT 46Mm</t>
  </si>
  <si>
    <t>MARKER PEN WHITE</t>
  </si>
  <si>
    <t>RACK -B4</t>
  </si>
  <si>
    <t>MARKER PEN BLACK</t>
  </si>
  <si>
    <t>REGISTER (LONG)</t>
  </si>
  <si>
    <t>Rack- C3</t>
  </si>
  <si>
    <t>INDICATOR FOR OVEN</t>
  </si>
  <si>
    <t>Rack- B4</t>
  </si>
  <si>
    <t>LEATHER HAND GLOVES  (ARGON - T)</t>
  </si>
  <si>
    <t>GEAR FOR AG5 G/ MACHINE DCA</t>
  </si>
  <si>
    <t>Set</t>
  </si>
  <si>
    <t>CONTACT TIP 1.20 MM   (C02)</t>
  </si>
  <si>
    <t>Spirit Level</t>
  </si>
  <si>
    <t xml:space="preserve">SCREW JACK 30 TON </t>
  </si>
  <si>
    <t xml:space="preserve">SCREW JACK 50TON </t>
  </si>
  <si>
    <t xml:space="preserve">SCREW JACK 10TON </t>
  </si>
  <si>
    <t>Chain Action Roller</t>
  </si>
  <si>
    <t>Rack - A Top</t>
  </si>
  <si>
    <t>Gas Cutting Hose Pipe - Blue</t>
  </si>
  <si>
    <t>Rack-B1</t>
  </si>
  <si>
    <t>Mtrs</t>
  </si>
  <si>
    <t>Gas Cutting Hose Pipe - Red</t>
  </si>
  <si>
    <t xml:space="preserve">WHEEL TROLLY SMALL </t>
  </si>
  <si>
    <t>Rack - B1</t>
  </si>
  <si>
    <t>HYDROLIC PUMP</t>
  </si>
  <si>
    <t>Rack - C1</t>
  </si>
  <si>
    <t>HYDRAULIC JACK 50 TON</t>
  </si>
  <si>
    <t>POWER CABLE   3 CORE X 0.5sq MM (Black)</t>
  </si>
  <si>
    <t>POWER CABLE   3 CORE X 1.5sq MM (Black)</t>
  </si>
  <si>
    <t>POWER CABLE   4 CORE X 6sq MM (Black)</t>
  </si>
  <si>
    <t>POWER CABLE   3 CORE X 2.5sq MM (Black)</t>
  </si>
  <si>
    <t>WELDING CABLE 95MM  (Black)</t>
  </si>
  <si>
    <t>250</t>
  </si>
  <si>
    <t>WELDING EARTHING  CABLE (ALLU) 16MM</t>
  </si>
  <si>
    <t>WELDING EARTHING  CABLE (ALLU) 35MM</t>
  </si>
  <si>
    <t>WELDING EARTHING  CABLE (ALLU) 4MM</t>
  </si>
  <si>
    <t>LIFTING BELT 2 TON X 25 MM WIDTH X 03 MTR</t>
  </si>
  <si>
    <t>Rack -B1</t>
  </si>
  <si>
    <t>Rack -C1</t>
  </si>
  <si>
    <t>RUBBER SHEET</t>
  </si>
  <si>
    <t>ARMOURED POWER CABLE 3 CORE X 2.5 MM</t>
  </si>
  <si>
    <t xml:space="preserve">WELDING CABLE 95MM  </t>
  </si>
  <si>
    <t>P.P. ROPE  16 MM</t>
  </si>
  <si>
    <t>0</t>
  </si>
  <si>
    <t>LIFTING BELT 5 TON X 125 MM WIDTH X 05 MTR</t>
  </si>
  <si>
    <t>HAMMERING SPANNER D (INCHS) 3 1/2"</t>
  </si>
  <si>
    <t>D SPANNER 95 MM</t>
  </si>
  <si>
    <t>D SPANNER 85 MM</t>
  </si>
  <si>
    <t>D SPANNER 90 MM</t>
  </si>
  <si>
    <t>D SPANNER 120 MM</t>
  </si>
  <si>
    <t>HAMMERING D SPANNER 100 MM</t>
  </si>
  <si>
    <t>D SPANNER 60</t>
  </si>
  <si>
    <t>D SPANNER 75</t>
  </si>
  <si>
    <t>D SPANNER 115 MM</t>
  </si>
  <si>
    <t>D SPANNER 80 MM</t>
  </si>
  <si>
    <t>D SPANNER 70</t>
  </si>
  <si>
    <t>D SPANNER 1/2</t>
  </si>
  <si>
    <t>Rack- C1</t>
  </si>
  <si>
    <t>D SPANNER 32</t>
  </si>
  <si>
    <t>D SPANNER 1/3</t>
  </si>
  <si>
    <t>HAMMERING RING SPANNER 58MM</t>
  </si>
  <si>
    <t>HAMMERING RING SPANNER 100MM</t>
  </si>
  <si>
    <t>BOW SHACKLE 25 Ton</t>
  </si>
  <si>
    <t>BOW SHACKLE 17 Ton</t>
  </si>
  <si>
    <t>Rack-C5</t>
  </si>
  <si>
    <t>Rack-C Top</t>
  </si>
  <si>
    <t>Bearing 6302</t>
  </si>
  <si>
    <t>Bearing 6303</t>
  </si>
  <si>
    <t>Bearing 6202</t>
  </si>
  <si>
    <t>Bearing 607</t>
  </si>
  <si>
    <t>Bearing 6300</t>
  </si>
  <si>
    <t>Break For Crane</t>
  </si>
  <si>
    <t>Cartidge For Printer (Empty)</t>
  </si>
  <si>
    <t>Cartidge For Printer (Full)</t>
  </si>
  <si>
    <t>Fream Cartidge (Brother)</t>
  </si>
  <si>
    <t>U Clamp For Life Line Siling</t>
  </si>
  <si>
    <t>Dublicate Book</t>
  </si>
  <si>
    <t>Wireless Radio Remote Control</t>
  </si>
  <si>
    <t>Acme</t>
  </si>
  <si>
    <t>DSS</t>
  </si>
  <si>
    <t>Safegon Heavy</t>
  </si>
  <si>
    <t>Fire Hose Connector</t>
  </si>
  <si>
    <t>Rack-B2</t>
  </si>
  <si>
    <t>Ceiling Fan</t>
  </si>
  <si>
    <t>Rack-D1</t>
  </si>
  <si>
    <t xml:space="preserve">Film Viewer </t>
  </si>
  <si>
    <t>Rack -C3</t>
  </si>
  <si>
    <t>FILTER 5 MICROWN FOR WATER COOLER</t>
  </si>
  <si>
    <t>FILTER CT010-05 FOR WATER COOLER</t>
  </si>
  <si>
    <t>MEMORAN FOR WATER FILTER</t>
  </si>
  <si>
    <t xml:space="preserve">LED LIGHT </t>
  </si>
  <si>
    <t>LED BULB THREADED (METAL)</t>
  </si>
  <si>
    <t>LED HOLDER (METAL)</t>
  </si>
  <si>
    <t>SOCKET 36MM FOR TORQUE WRENCH MANNUAL</t>
  </si>
  <si>
    <t>SOCKET 38 MM FOR TORQUE WRENCH MANNUAL</t>
  </si>
  <si>
    <t>SOCKET 60 MM FOR TORQUE WRENCH MANNUAL</t>
  </si>
  <si>
    <t>SOCKET 41 MM FOR TORQUE WRENCH MANNUAL</t>
  </si>
  <si>
    <t>SOCKET 46 MM FOR TORQUE WRENCH MANNUAL</t>
  </si>
  <si>
    <t>JALI FILTER FOR WATER COOLER (SMALL THREADED)</t>
  </si>
  <si>
    <t>JALI FILTER FOR WATER COOLER (BIG THREADED)</t>
  </si>
  <si>
    <t>HIGH PRESSURE WASHER (SPRAY PUMP)</t>
  </si>
  <si>
    <t>Rack -C2</t>
  </si>
  <si>
    <t>Rack-D3</t>
  </si>
  <si>
    <t>FIRE EXTINGUISHER (ABC TYPE) 6 Kg</t>
  </si>
  <si>
    <t>Empty</t>
  </si>
  <si>
    <t>Full</t>
  </si>
  <si>
    <t>FIRE EXTINGUISHER (ABC TYPE) 2 KG</t>
  </si>
  <si>
    <t>FIRE EXTINGUISHER (CO2 TYPE) 6.5 KG</t>
  </si>
  <si>
    <t>Buffing Machine</t>
  </si>
  <si>
    <t>Rack - D3</t>
  </si>
  <si>
    <t>Rack -D2</t>
  </si>
  <si>
    <t>Rack-D2</t>
  </si>
  <si>
    <t>Rack - D2</t>
  </si>
  <si>
    <t>Rack -D3</t>
  </si>
  <si>
    <t>EMERY Paper Wheel - Flap Wheel(Flap Disc) - AG4</t>
  </si>
  <si>
    <t>EMERY Paper Wheel - Flap Wheel(Flap Disc) - AG5</t>
  </si>
  <si>
    <t>Rack- D2</t>
  </si>
  <si>
    <t>Walky Talky Battery</t>
  </si>
  <si>
    <t>Walky Talky Charger</t>
  </si>
  <si>
    <t xml:space="preserve">LEATHER HAND GLOVES  </t>
  </si>
  <si>
    <t>FILLER WIRE ER 90SGX 2.5 MM</t>
  </si>
  <si>
    <t>FILLER WIRE ER 70S2 X 3.15 MM</t>
  </si>
  <si>
    <t>FILLER WIRE ER 347 X 1.6 MM</t>
  </si>
  <si>
    <t>FILLER WIRE ER 347 X 2.4 MM</t>
  </si>
  <si>
    <t>FILLER WIRE ER 80SB8 X 1.6 MM</t>
  </si>
  <si>
    <t>FILLER WIRE ER 80SB8 X 2.4 MM</t>
  </si>
  <si>
    <t>FILLER WIRE ER 310 X 2.4MM</t>
  </si>
  <si>
    <t>FILLER WIRE ER 90SB3 X 1.6 MM</t>
  </si>
  <si>
    <t>Rack- D3</t>
  </si>
  <si>
    <t>FILLER WIRE ER NICR-3X 1.6 MM</t>
  </si>
  <si>
    <t>FILLER WIRE ER NICR-3X 2.4 MM</t>
  </si>
  <si>
    <t>ELECTRODE E NICR FE-2 X3.15 MM</t>
  </si>
  <si>
    <t>ELECTRODE E 347 x2.5 MM</t>
  </si>
  <si>
    <t>Rack -D1</t>
  </si>
  <si>
    <t xml:space="preserve">Feeder Co2 </t>
  </si>
  <si>
    <t>Panosonic</t>
  </si>
  <si>
    <t>Ador</t>
  </si>
  <si>
    <t>FILLER WIRE ER 70S2 X 1.6 MM</t>
  </si>
  <si>
    <t xml:space="preserve">Welding Wire E71T-1C </t>
  </si>
  <si>
    <t>Welding Wire E71T-1C  1.2MM</t>
  </si>
  <si>
    <t>Welding Wire EM12K - 4 MM (SAW)</t>
  </si>
  <si>
    <t xml:space="preserve">Welding Wire ESAW-SA10K - 4 MM </t>
  </si>
  <si>
    <t>STEEL SCALE   (1 MTR)</t>
  </si>
  <si>
    <t>Rack -C5</t>
  </si>
  <si>
    <t>Dong Cheng</t>
  </si>
  <si>
    <t xml:space="preserve">WELDING MACHINE FAN 400 AMP </t>
  </si>
  <si>
    <t>SOCKET MCB BOARD (6+1)</t>
  </si>
  <si>
    <t>PVC SOCKET + MCB BOARD (4+1)</t>
  </si>
  <si>
    <t>CARBON BRUSH KBM-38</t>
  </si>
  <si>
    <t>Rack- C2</t>
  </si>
  <si>
    <t>CABLE LUG (ALU) 10 MM</t>
  </si>
  <si>
    <t>CABLE LUG (ALU) 50 MM</t>
  </si>
  <si>
    <t>CABLE LUGS COPPER 70 MM</t>
  </si>
  <si>
    <t>CABLE LUGS COPPER 50 MM</t>
  </si>
  <si>
    <t>MCCB 2 -250 D ON- OFF SWITCH</t>
  </si>
  <si>
    <t>CABLE LUG (ALU) 6 MM</t>
  </si>
  <si>
    <t>CABLE LUG (ALU) 4 MM</t>
  </si>
  <si>
    <t>CABLE LUG (ALU) 95 MM</t>
  </si>
  <si>
    <t>CABLE LUG (ALU) 70 MM</t>
  </si>
  <si>
    <t>AG5 DCA  FIELD COIL G15 SA2</t>
  </si>
  <si>
    <t>AG5 FIELD COIL CMU SB</t>
  </si>
  <si>
    <t>AG4 FIELD COIL GWS6-100</t>
  </si>
  <si>
    <t>AG4 FIELD COIL DW- 801</t>
  </si>
  <si>
    <t xml:space="preserve">ARMATURE AG5 </t>
  </si>
  <si>
    <t>Makita GA-5010</t>
  </si>
  <si>
    <t>INSULATION TAPE (PVC)  YELLOW</t>
  </si>
  <si>
    <t>ARMATURE AG4 DCA - G10SS</t>
  </si>
  <si>
    <t>Bosch (360798E)</t>
  </si>
  <si>
    <t>DCA 0390-220727N</t>
  </si>
  <si>
    <t>ARMATURE AG4 DCA</t>
  </si>
  <si>
    <t xml:space="preserve">ARMATURE AG4 </t>
  </si>
  <si>
    <t>Bosch -HY1905</t>
  </si>
  <si>
    <t>FIELD COIL CHOPSAW MACHINE</t>
  </si>
  <si>
    <t>GCO200</t>
  </si>
  <si>
    <t>AG7 FIELD COIL</t>
  </si>
  <si>
    <t>FORT</t>
  </si>
  <si>
    <t xml:space="preserve">ARMATURE CHOPSAW MACHINE </t>
  </si>
  <si>
    <t>ARMATURE CHOPSAW MACHINE &amp; NIPPON JAN2021</t>
  </si>
  <si>
    <t>RUSHI</t>
  </si>
  <si>
    <t>ARMATURE CHOPSAW MACHINE HID PROCC 14 SAT 8/23</t>
  </si>
  <si>
    <t>HID</t>
  </si>
  <si>
    <t>ARMATURE CHOPSAW MACHINE</t>
  </si>
  <si>
    <t>GCO2000</t>
  </si>
  <si>
    <t>MT-240</t>
  </si>
  <si>
    <t>ARMATURE CHOPSAW MACHINE (3220)</t>
  </si>
  <si>
    <t>SKIL</t>
  </si>
  <si>
    <t>CONNECTOR 200 AMP FEMALE</t>
  </si>
  <si>
    <t>Rack-C4</t>
  </si>
  <si>
    <t>CONNECTOR 200 AMP MALE</t>
  </si>
  <si>
    <t>CORD GUARD</t>
  </si>
  <si>
    <t>D1032IG0081</t>
  </si>
  <si>
    <t>Store Back Side</t>
  </si>
  <si>
    <t>0456</t>
  </si>
  <si>
    <t>SAW WELDING MACHINES (350 AMPS)     ( CO2 )</t>
  </si>
  <si>
    <t>SAW WELDING MACHINES (400AMPS)     ( CO2 )</t>
  </si>
  <si>
    <t>0868</t>
  </si>
  <si>
    <t>Adon</t>
  </si>
  <si>
    <t>Card &amp; IDBT&amp;Connector Problem</t>
  </si>
  <si>
    <t>20200906032</t>
  </si>
  <si>
    <t>Card &amp; IDBT&amp;Remote Problem</t>
  </si>
  <si>
    <t>supplie Problem</t>
  </si>
  <si>
    <t>20220410308</t>
  </si>
  <si>
    <t>Not Working</t>
  </si>
  <si>
    <t>Ok- Opal</t>
  </si>
  <si>
    <t>1044</t>
  </si>
  <si>
    <t>IDBT Card Problem</t>
  </si>
  <si>
    <t xml:space="preserve">ARGON WELDING MACHINE WITH WCS MACHINE </t>
  </si>
  <si>
    <t>Sr.No. FGWM000201022   Sr.No. 082200</t>
  </si>
  <si>
    <t>Sr. No.FGWM0002010 Sr.No.22082100.</t>
  </si>
  <si>
    <t xml:space="preserve">Sr.No. FGWM000280322149600   </t>
  </si>
  <si>
    <t>PG CABLE GLAND 25 MM</t>
  </si>
  <si>
    <t>PG CABLE GLAND 19 MM</t>
  </si>
  <si>
    <t>PG CABLE GLAND 29 MM</t>
  </si>
  <si>
    <t>PG CABLE GLAND 16 MM</t>
  </si>
  <si>
    <t>SWITCH GEAR BOX</t>
  </si>
  <si>
    <t xml:space="preserve">PVC PANNEL SOCKET 32 AMP 5 PIN </t>
  </si>
  <si>
    <t xml:space="preserve">PVC PANNEL SOCKET 16 AMP 3 PIN </t>
  </si>
  <si>
    <t xml:space="preserve">PVC  SOCKET 16 AMP 3 PIN </t>
  </si>
  <si>
    <t xml:space="preserve">PVC  PLUG 16 AMP 3 PIN </t>
  </si>
  <si>
    <t xml:space="preserve">PVC  PLUG 32 AMP 5 PIN </t>
  </si>
  <si>
    <t xml:space="preserve">PVC  SOCKET 32 AMP 5 PIN </t>
  </si>
  <si>
    <t>ARMATURE KBM 42-2(ROTOR COMPLETE)</t>
  </si>
  <si>
    <t>KBM</t>
  </si>
  <si>
    <t>MAGNET  KBM-50</t>
  </si>
  <si>
    <t>MAGNET  KBM-38</t>
  </si>
  <si>
    <t>LUCK N4 (AG4 G/R M/C)</t>
  </si>
  <si>
    <t>NRB Bearing KBM - 50</t>
  </si>
  <si>
    <t>SPRING LOADED FALL SAFE BREAK M-14.458.12VDC-190 HUB BORE 28</t>
  </si>
  <si>
    <t>Sr.No.4J2120350</t>
  </si>
  <si>
    <t>Sr.No.4G2112846</t>
  </si>
  <si>
    <t>Sr.No.4H2116341</t>
  </si>
  <si>
    <t>INSULATION TAPE BLACK</t>
  </si>
  <si>
    <t>MCB 20 AMP 1 POLE</t>
  </si>
  <si>
    <t>60</t>
  </si>
  <si>
    <t>ARMATURE FF2 DCA (S1J.FF 02.25)</t>
  </si>
  <si>
    <t>INSULATION TAPE RED</t>
  </si>
  <si>
    <t>ON TRIP SWITCH MCCB 250 AMP 4 POLE</t>
  </si>
  <si>
    <t>MCB 125 AMP 4 POLE</t>
  </si>
  <si>
    <t>Forte</t>
  </si>
  <si>
    <t>ARMATURE FOR AG 4 DW 801</t>
  </si>
  <si>
    <t>Turbo</t>
  </si>
  <si>
    <t>ARMATURE FOR AG 5 DCA G15SA2</t>
  </si>
  <si>
    <t>ARMATURE FOR AG 5 DONG CHENG HM0810</t>
  </si>
  <si>
    <t>DONG CHENG</t>
  </si>
  <si>
    <t>RCCB 25 AMP 2 POLE</t>
  </si>
  <si>
    <t>32</t>
  </si>
  <si>
    <t>RCCB  63 AMP 4 POLE</t>
  </si>
  <si>
    <t>RCCB 40 AMP 4POLE</t>
  </si>
  <si>
    <t>POWER PROTECTION SWITCH KBM-38</t>
  </si>
  <si>
    <t>WD 40 SPRAY</t>
  </si>
  <si>
    <t>GALWA BRIGHT SPRAY</t>
  </si>
  <si>
    <t>FIELD COIL FOR AG 7</t>
  </si>
  <si>
    <t xml:space="preserve">Forte </t>
  </si>
  <si>
    <t>Dolphine</t>
  </si>
  <si>
    <t>PUG STAG CUTTING TORCH IM</t>
  </si>
  <si>
    <t>CONNECTOR 400 AMP WELDING MACHINE</t>
  </si>
  <si>
    <t>FIELD COIL MACHINE DCA ASM04-100A</t>
  </si>
  <si>
    <t>MOTOR STARTER 3 PHASE</t>
  </si>
  <si>
    <t>EOT CRANE WHEEL 5 TON</t>
  </si>
  <si>
    <t>Sr.No.SP4D220890</t>
  </si>
  <si>
    <t>EOT CRANE WHEEL 2 TON</t>
  </si>
  <si>
    <t>Sr.No.SP4D210869</t>
  </si>
  <si>
    <t>Sr.No.421-19799</t>
  </si>
  <si>
    <t>CABLE TIES ET 300X4.8</t>
  </si>
  <si>
    <t>CABLE TIES ET 200X4.8</t>
  </si>
  <si>
    <t>LEATHER HAND SHORT</t>
  </si>
  <si>
    <t>Coil For Portable Oven</t>
  </si>
  <si>
    <t>20210601020</t>
  </si>
  <si>
    <t>Dispatch to Nayara 7/05/2024</t>
  </si>
  <si>
    <t>1045</t>
  </si>
  <si>
    <t>Spare</t>
  </si>
  <si>
    <t>000M129103900</t>
  </si>
  <si>
    <t>Running</t>
  </si>
  <si>
    <t>Rajiv</t>
  </si>
  <si>
    <t>Spare (Rectifier)</t>
  </si>
  <si>
    <t>1034</t>
  </si>
  <si>
    <t xml:space="preserve">Spare </t>
  </si>
  <si>
    <t>202906038</t>
  </si>
  <si>
    <t>5316</t>
  </si>
  <si>
    <t>Plot No.345</t>
  </si>
  <si>
    <t>8296</t>
  </si>
  <si>
    <t>8751</t>
  </si>
  <si>
    <t>868</t>
  </si>
  <si>
    <t>218</t>
  </si>
  <si>
    <t>FGWM000280621125400</t>
  </si>
  <si>
    <t>29079</t>
  </si>
  <si>
    <t>23/15/072964</t>
  </si>
  <si>
    <t>5218</t>
  </si>
  <si>
    <t>1713</t>
  </si>
  <si>
    <t>Spare in Store</t>
  </si>
  <si>
    <t>23/15083064</t>
  </si>
  <si>
    <t>23/14728267</t>
  </si>
  <si>
    <t>3219</t>
  </si>
  <si>
    <t>8577</t>
  </si>
  <si>
    <t>98644</t>
  </si>
  <si>
    <t>32285/17</t>
  </si>
  <si>
    <t>2315</t>
  </si>
  <si>
    <t>98645</t>
  </si>
  <si>
    <t>FGWM000280322149300</t>
  </si>
  <si>
    <t>516</t>
  </si>
  <si>
    <t>10510</t>
  </si>
  <si>
    <t>455</t>
  </si>
  <si>
    <t>503</t>
  </si>
  <si>
    <t>Plot No,345</t>
  </si>
  <si>
    <t>508</t>
  </si>
  <si>
    <t>475</t>
  </si>
  <si>
    <t>511</t>
  </si>
  <si>
    <t>FGWM000280322149700</t>
  </si>
  <si>
    <t>509</t>
  </si>
  <si>
    <t>514</t>
  </si>
  <si>
    <t>49</t>
  </si>
  <si>
    <t>512</t>
  </si>
  <si>
    <t>0051</t>
  </si>
  <si>
    <t>36</t>
  </si>
  <si>
    <t>39</t>
  </si>
  <si>
    <t>FLASH BACK ARRESTOR FOR OXYGEN (Hand TORCH)</t>
  </si>
  <si>
    <t>FLASH BACK ARRESTOR FOR D/A (Hand TORCH)</t>
  </si>
  <si>
    <t>41</t>
  </si>
  <si>
    <t>WELDING HELMET RING</t>
  </si>
  <si>
    <t>24</t>
  </si>
  <si>
    <t>Latter Punch 19mm</t>
  </si>
  <si>
    <t>Jet</t>
  </si>
  <si>
    <t>Number Punch 19mm</t>
  </si>
  <si>
    <t>Number Punch 6mm</t>
  </si>
  <si>
    <t>Latter Punch 6mm</t>
  </si>
  <si>
    <t>Fall Arrester Rope Type</t>
  </si>
  <si>
    <t>Safety Latch 3Ton</t>
  </si>
  <si>
    <t>Safety Latch 2Ton</t>
  </si>
  <si>
    <t>Safety Latch 5Ton</t>
  </si>
  <si>
    <t>Safety Latch 10Ton</t>
  </si>
  <si>
    <t>Lanyard (Tool Falling)</t>
  </si>
  <si>
    <t>FF2 Stone Bit</t>
  </si>
  <si>
    <t>Anchor Fastener 16x18</t>
  </si>
  <si>
    <t>Rack -B3</t>
  </si>
  <si>
    <t>Anchor Fastener 16x6"</t>
  </si>
  <si>
    <t>Anchor Fastener 10x5"</t>
  </si>
  <si>
    <t>Anchor Fastener 10x8"</t>
  </si>
  <si>
    <t>Fall Arrester Block Type</t>
  </si>
  <si>
    <t>Anchor Fastener 16x10"</t>
  </si>
  <si>
    <t>Bolt With Nut 20x60</t>
  </si>
  <si>
    <t>U Clamp 0.5"</t>
  </si>
  <si>
    <t>Screw 2"</t>
  </si>
  <si>
    <t>DRILL BIT 8MM</t>
  </si>
  <si>
    <t>Jk Super Drive</t>
  </si>
  <si>
    <t>DRILL BIT 10MM</t>
  </si>
  <si>
    <t>DRILL BIT 12MM</t>
  </si>
  <si>
    <t>DRILL BIT 11.5MM</t>
  </si>
  <si>
    <t>DRILL BIT 12.5MM</t>
  </si>
  <si>
    <t>DRILL BIT 9 MM</t>
  </si>
  <si>
    <t>DRILL BIT 9.5 MM</t>
  </si>
  <si>
    <t>DRILL BIT 10.9 MM</t>
  </si>
  <si>
    <t>DRILL BIT 8.5 MM</t>
  </si>
  <si>
    <t>DRILL BIT 6 MM</t>
  </si>
  <si>
    <t>DRILL BIT 5 MM</t>
  </si>
  <si>
    <t>DRILL BIT 4.5 MM</t>
  </si>
  <si>
    <t>DRILL BIT 4 MM</t>
  </si>
  <si>
    <t>DRILL BIT 3 MM</t>
  </si>
  <si>
    <t>DRILL BIT 14 MM</t>
  </si>
  <si>
    <t>DRILL BIT 18 MM</t>
  </si>
  <si>
    <t>DRILL BIT 25/32MM</t>
  </si>
  <si>
    <t>DRILL BIT 16MM</t>
  </si>
  <si>
    <t>Concreat Drill Bit 24MM</t>
  </si>
  <si>
    <t>Concreat Drill Bit 5MM</t>
  </si>
  <si>
    <t>Concreat Drill Bit 8MM</t>
  </si>
  <si>
    <t>Concreat Drill Bit 10MM</t>
  </si>
  <si>
    <t>Concreat Drill Bit 18MM</t>
  </si>
  <si>
    <t>Concreat Drill Bit 6MM</t>
  </si>
  <si>
    <t>Concreat Drill Bit 6x200</t>
  </si>
  <si>
    <t>Rack-B4</t>
  </si>
  <si>
    <t>Depth Micrometer 0.50 (105-50)</t>
  </si>
  <si>
    <t>Inside Micrometer(25-50)MM</t>
  </si>
  <si>
    <t>Out Side Micrometer (50-75)MMx0.01MM</t>
  </si>
  <si>
    <t>Out Side Micrometer (125-150)MM 0.01MM</t>
  </si>
  <si>
    <t>Out Side Micrometer (25-50)MM</t>
  </si>
  <si>
    <t>TAPER DRILL BIT - 30MM</t>
  </si>
  <si>
    <t>TAPER DRILL BIT - 22MM</t>
  </si>
  <si>
    <t>TAPER DRILL BIT - 14MM</t>
  </si>
  <si>
    <t>TAPER DRILL BIT - 16MM</t>
  </si>
  <si>
    <t>TAPER DRILL BIT - 18MM</t>
  </si>
  <si>
    <t>TAPER DRILL BIT - 27MM</t>
  </si>
  <si>
    <t>TAPER DRILL BIT - 36MM</t>
  </si>
  <si>
    <t>TAPER DRILL BIT - 33MM</t>
  </si>
  <si>
    <t>Reject</t>
  </si>
  <si>
    <t>TAPER DRILL BIT - 1.1/16HS</t>
  </si>
  <si>
    <t>Saft 3/4</t>
  </si>
  <si>
    <t>Saft 4/5</t>
  </si>
  <si>
    <t>Shacket Drill bit 20Mm</t>
  </si>
  <si>
    <t>Shaft 2/3</t>
  </si>
  <si>
    <t>Shaft 25MM</t>
  </si>
  <si>
    <t>Shaft 27MM</t>
  </si>
  <si>
    <t>Shaft 14MM</t>
  </si>
  <si>
    <t>Shaft Dia</t>
  </si>
  <si>
    <t>Carbon Rundom Universsal Line</t>
  </si>
  <si>
    <t>Micrometer 0-25MM</t>
  </si>
  <si>
    <t>C Clamp 6"</t>
  </si>
  <si>
    <t>Cotton Rope 12MM</t>
  </si>
  <si>
    <t>Crane FX260 Stop Cable Assy</t>
  </si>
  <si>
    <t>FX150/160ACE</t>
  </si>
  <si>
    <t>Sr.No.101252400100</t>
  </si>
  <si>
    <t>FX-160 Crane Accelator Cable Assy</t>
  </si>
  <si>
    <t>Accelator Cabe Assy</t>
  </si>
  <si>
    <t>Stop Cable Assy Crane FX260</t>
  </si>
  <si>
    <t>Gear cable Big Affaa 15F4100</t>
  </si>
  <si>
    <t>FX160 ACE</t>
  </si>
  <si>
    <t>Clutch Cable FX150/ACE</t>
  </si>
  <si>
    <t>102051402700</t>
  </si>
  <si>
    <t>ALLENKEY 24MM</t>
  </si>
  <si>
    <t>ALLENKEY 32MM</t>
  </si>
  <si>
    <t>ALLENKEY 27MM</t>
  </si>
  <si>
    <t>ALLENKEY 22MM</t>
  </si>
  <si>
    <t>ALLENKEY 7/8"</t>
  </si>
  <si>
    <t>ALLENKEY 17MM</t>
  </si>
  <si>
    <t>ALLENKEY 3/4"</t>
  </si>
  <si>
    <t>ALLENKEY 19MM</t>
  </si>
  <si>
    <t>ALLENKEY 9/16</t>
  </si>
  <si>
    <t>ALLENKEY 5/8</t>
  </si>
  <si>
    <t>ALLENKEY 1/2</t>
  </si>
  <si>
    <t>ALLENKEY 16MM</t>
  </si>
  <si>
    <t>ALLENKEY 6MM</t>
  </si>
  <si>
    <t>27</t>
  </si>
  <si>
    <t>ALLENKEY 3/8"</t>
  </si>
  <si>
    <t>ALLENKEY 5/16</t>
  </si>
  <si>
    <t>ALLENKEY 12MM</t>
  </si>
  <si>
    <t>ALLENKEY 10MM</t>
  </si>
  <si>
    <t>51</t>
  </si>
  <si>
    <t>ALLENKEY 1/4"</t>
  </si>
  <si>
    <t>ALLENKEY 1/2"</t>
  </si>
  <si>
    <t>Ton BUCKLE 5TON</t>
  </si>
  <si>
    <t>Ton BUCKLE 3TON</t>
  </si>
  <si>
    <t>Ton BUCKLE 2 TON</t>
  </si>
  <si>
    <t>Number Punch Dotted A-Z</t>
  </si>
  <si>
    <t>Strong Filler Cleaner</t>
  </si>
  <si>
    <t>Bearing Puller</t>
  </si>
  <si>
    <t>Filler Gauge</t>
  </si>
  <si>
    <t xml:space="preserve">Magnetic Stand </t>
  </si>
  <si>
    <t>Core Cut Drill Machine KBM 50-2</t>
  </si>
  <si>
    <t>Rack-A1</t>
  </si>
  <si>
    <t>Argon Regulator</t>
  </si>
  <si>
    <t>Argon Torch 200Amp</t>
  </si>
  <si>
    <t>Rack-A4</t>
  </si>
  <si>
    <t>Argon Torch 300Amp</t>
  </si>
  <si>
    <t>Binding Wire -CS</t>
  </si>
  <si>
    <t>Binding Wire -SS</t>
  </si>
  <si>
    <t>Rack-B5</t>
  </si>
  <si>
    <t>HAMMERING RING SPANNER 35MM</t>
  </si>
  <si>
    <t>HAMMERING RING SPANNER 40MM</t>
  </si>
  <si>
    <t>44</t>
  </si>
  <si>
    <t>U Clamp 2"x1"</t>
  </si>
  <si>
    <t>59</t>
  </si>
  <si>
    <t>U Clamp Rope 0.5"</t>
  </si>
  <si>
    <t>PVC Round Bar 0.5"</t>
  </si>
  <si>
    <t>Chiesel 8"</t>
  </si>
  <si>
    <t>VERNIER CALIPER 6"</t>
  </si>
  <si>
    <t>Rack-4</t>
  </si>
  <si>
    <t>Out Side Micrometer Big (150MM)</t>
  </si>
  <si>
    <t>Sim Cutter</t>
  </si>
  <si>
    <t>Monkey Plier 8"</t>
  </si>
  <si>
    <t>Vintage Iron Plier Antique Tools Metal</t>
  </si>
  <si>
    <t>CO2 Nozzle MBI</t>
  </si>
  <si>
    <t>CONTACT TIP 1.20 MM  (Panasonic)</t>
  </si>
  <si>
    <t>FF2 Cylindric Bit</t>
  </si>
  <si>
    <t>FF2 Conical Bit</t>
  </si>
  <si>
    <t>GAS DIFFUSER KD 36 (Panasonic)</t>
  </si>
  <si>
    <t>Rack-A3</t>
  </si>
  <si>
    <t>Nose Plier 205MM</t>
  </si>
  <si>
    <t>Combination Plier 210 &amp; 255MM</t>
  </si>
  <si>
    <t>Circlip Plier 7/175MM</t>
  </si>
  <si>
    <t xml:space="preserve">PVC Hammer </t>
  </si>
  <si>
    <t>HIEC/P/18/3/878</t>
  </si>
  <si>
    <t>VE-3</t>
  </si>
  <si>
    <t>20190322</t>
  </si>
  <si>
    <t>230202753</t>
  </si>
  <si>
    <t>VE-12</t>
  </si>
  <si>
    <t>20210187</t>
  </si>
  <si>
    <t>Bolt Tighting Machine Big</t>
  </si>
  <si>
    <t>Dongchange (272208001264)</t>
  </si>
  <si>
    <t>Bolt Tighting Machine Small DCA</t>
  </si>
  <si>
    <t>272201004425</t>
  </si>
  <si>
    <t>Workshop-1</t>
  </si>
  <si>
    <t>Running (Receive 
From TCL-Mithapur 
On Date-26/05/2024)</t>
  </si>
  <si>
    <t>Pressure Guage  25Kg</t>
  </si>
  <si>
    <t>Pressure Guage  28Kg</t>
  </si>
  <si>
    <t>Pressure Guage  7Kg</t>
  </si>
  <si>
    <t>Pressure Guage  70Kg</t>
  </si>
  <si>
    <t>Pressure Guage  14Kg</t>
  </si>
  <si>
    <t>Pressure Guage  35Kg</t>
  </si>
  <si>
    <t>Pressure Guage  21Kg</t>
  </si>
  <si>
    <t>Pressure Guage  16Kg</t>
  </si>
  <si>
    <t>Pressure Guage  20Kg</t>
  </si>
  <si>
    <t>Pressure Guage  4Kg</t>
  </si>
  <si>
    <t>General</t>
  </si>
  <si>
    <t>Pressure Guage  6Kg</t>
  </si>
  <si>
    <t>Pressure Guage  10.6Kg</t>
  </si>
  <si>
    <t>Micro</t>
  </si>
  <si>
    <t>Pressure Guage  160Kg</t>
  </si>
  <si>
    <t>Pressure Guage  10Kg</t>
  </si>
  <si>
    <t>Pressure Guage  30Kg</t>
  </si>
  <si>
    <t>Excel</t>
  </si>
  <si>
    <t>Pressure Guage  1400Kg</t>
  </si>
  <si>
    <t>13062072</t>
  </si>
  <si>
    <t>Pressure Guage  60Kg</t>
  </si>
  <si>
    <t>Pressure Guage  106Kg</t>
  </si>
  <si>
    <t>Pressure Guage  300Kg</t>
  </si>
  <si>
    <t>Geejyoti</t>
  </si>
  <si>
    <t>Pressure Guage  210Kg</t>
  </si>
  <si>
    <t>18G13208</t>
  </si>
  <si>
    <t>02One</t>
  </si>
  <si>
    <t>Pressure Guage  4.2Kg</t>
  </si>
  <si>
    <t>OK</t>
  </si>
  <si>
    <t>E23194006</t>
  </si>
  <si>
    <t>Pressure Guage  100Kg</t>
  </si>
  <si>
    <t>Pressure Guage  40Kg</t>
  </si>
  <si>
    <t>Pressure Guage  3Kg</t>
  </si>
  <si>
    <t>Pressure Guage  200Kg</t>
  </si>
  <si>
    <t>Pressure Guage  420Kg</t>
  </si>
  <si>
    <t>Arbuda</t>
  </si>
  <si>
    <t>Pressure Guage  140Kg</t>
  </si>
  <si>
    <t>Pressure Guage  350Kg</t>
  </si>
  <si>
    <t>Pressure Guage  56Kg</t>
  </si>
  <si>
    <t>Plot-397/398</t>
  </si>
  <si>
    <t>Core Cut Drill Machine KBM 35</t>
  </si>
  <si>
    <t>VE-17</t>
  </si>
  <si>
    <t>20210129</t>
  </si>
  <si>
    <t>PE</t>
  </si>
  <si>
    <t>Core Cut Drill Machine KBM 50</t>
  </si>
  <si>
    <t>VE-05</t>
  </si>
  <si>
    <t>280290</t>
  </si>
  <si>
    <t>Core Cut Drill Machine KBM 38</t>
  </si>
  <si>
    <t>VE-38</t>
  </si>
  <si>
    <t>20221508</t>
  </si>
  <si>
    <t>Plot-345</t>
  </si>
  <si>
    <t>Core Cut Drill Machine KDS-42</t>
  </si>
  <si>
    <t>VE-8</t>
  </si>
  <si>
    <t>40001091</t>
  </si>
  <si>
    <t>Core Cut Drill Machine KDS-100</t>
  </si>
  <si>
    <t>VE-07</t>
  </si>
  <si>
    <t>130019</t>
  </si>
  <si>
    <t>Core Cut Drill Machine KBM-38</t>
  </si>
  <si>
    <t>VE-22</t>
  </si>
  <si>
    <t>20221513</t>
  </si>
  <si>
    <t xml:space="preserve">Core Cut Drill Machine AJC-30 </t>
  </si>
  <si>
    <t>VE-31</t>
  </si>
  <si>
    <t>392212003755</t>
  </si>
  <si>
    <t>Core Cut Drill Machine KBM-35</t>
  </si>
  <si>
    <t>VE-32</t>
  </si>
  <si>
    <t>20230005</t>
  </si>
  <si>
    <t>20220389</t>
  </si>
  <si>
    <t>Shop-A</t>
  </si>
  <si>
    <t>VE-25</t>
  </si>
  <si>
    <t>20221507</t>
  </si>
  <si>
    <t>By Hand Santoshi(981)</t>
  </si>
  <si>
    <t>By Hand Sunil(697)</t>
  </si>
  <si>
    <t>Core Cut Drill Machine KBM-42</t>
  </si>
  <si>
    <t>VE-33</t>
  </si>
  <si>
    <t>20220338</t>
  </si>
  <si>
    <t>Work D Site</t>
  </si>
  <si>
    <t>By Hand Praddep(501)</t>
  </si>
  <si>
    <t>VE-20</t>
  </si>
  <si>
    <t>20210115</t>
  </si>
  <si>
    <t>VE-23</t>
  </si>
  <si>
    <t>20221506</t>
  </si>
  <si>
    <t>EP</t>
  </si>
  <si>
    <t>1220210187</t>
  </si>
  <si>
    <t>20190365</t>
  </si>
  <si>
    <t>VE-01</t>
  </si>
  <si>
    <t>20190318</t>
  </si>
  <si>
    <t>VE-11</t>
  </si>
  <si>
    <t>VE-13</t>
  </si>
  <si>
    <t>20210189</t>
  </si>
  <si>
    <t>Repair</t>
  </si>
  <si>
    <t>ANGLE GRINDERS AG 7 "</t>
  </si>
  <si>
    <t xml:space="preserve">FF2 Grinder M/C </t>
  </si>
  <si>
    <t>FF2 Grinder M/C</t>
  </si>
  <si>
    <t>Issue Upendra(384)</t>
  </si>
  <si>
    <t>Issue Rajaram(383)</t>
  </si>
  <si>
    <t>Issue Mukhiya(1127)</t>
  </si>
  <si>
    <t>Issue Pushpendra(822)</t>
  </si>
  <si>
    <t>Issue Sanjay(958)</t>
  </si>
  <si>
    <t>Issue Manmohan(8168)</t>
  </si>
  <si>
    <t>Shop-B</t>
  </si>
  <si>
    <t>Issue Indranath(571)</t>
  </si>
  <si>
    <t>Issue Kapleshwar(314)</t>
  </si>
  <si>
    <t>Shop-D</t>
  </si>
  <si>
    <t>Issue Shturdhan(775)</t>
  </si>
  <si>
    <t>Issue Rambriksh(8125)</t>
  </si>
  <si>
    <t>VETT-04-074</t>
  </si>
  <si>
    <t>VETT-03-185</t>
  </si>
  <si>
    <t>VETT-07-023</t>
  </si>
  <si>
    <t>VETT-02-025</t>
  </si>
  <si>
    <t>VETT-01-024</t>
  </si>
  <si>
    <t>VETT-08-016</t>
  </si>
  <si>
    <t>VETT-06-016</t>
  </si>
  <si>
    <t>VETT-06-006</t>
  </si>
  <si>
    <t>Gas Cutting Accessories</t>
  </si>
  <si>
    <t>Welding Accessories</t>
  </si>
  <si>
    <t>General &amp; Misc Tools</t>
  </si>
  <si>
    <t>Electrical Item</t>
  </si>
  <si>
    <t>Lifting Tools</t>
  </si>
  <si>
    <t>Drilling Accessories</t>
  </si>
  <si>
    <t>Scaffolding Tools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</si>
  <si>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</si>
  <si>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</si>
  <si>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</si>
  <si>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</si>
  <si>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</si>
  <si>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</si>
  <si>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</si>
  <si>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</si>
  <si>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</si>
  <si>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</si>
  <si>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</si>
  <si>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</si>
  <si>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</si>
  <si>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</si>
  <si>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</si>
  <si>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</si>
  <si>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</si>
  <si>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</si>
  <si>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</si>
  <si>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</si>
  <si>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</si>
  <si>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</si>
  <si>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</si>
  <si>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</si>
  <si>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</si>
  <si>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</si>
  <si>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</si>
  <si>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</si>
  <si>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</si>
  <si>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</si>
  <si>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</si>
  <si>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</si>
  <si>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219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</si>
  <si>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</si>
  <si>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</si>
  <si>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</si>
  <si>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</si>
  <si>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</si>
  <si>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</si>
  <si>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</si>
  <si>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</si>
  <si>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</si>
  <si>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</si>
  <si>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</si>
  <si>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</si>
  <si>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</si>
  <si>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</si>
  <si>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</si>
  <si>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</si>
  <si>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</si>
  <si>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</si>
  <si>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</si>
  <si>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</si>
  <si>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</si>
  <si>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</si>
  <si>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</si>
  <si>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</si>
  <si>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</si>
  <si>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</si>
  <si>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</si>
  <si>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</si>
  <si>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</si>
  <si>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</si>
  <si>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</si>
  <si>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</si>
  <si>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</si>
  <si>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</si>
  <si>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</si>
  <si>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</si>
  <si>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</si>
  <si>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</si>
  <si>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</si>
  <si>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</si>
  <si>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</si>
  <si>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</si>
  <si>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</si>
  <si>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</si>
  <si>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</si>
  <si>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</si>
  <si>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</si>
  <si>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</si>
  <si>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</si>
  <si>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</si>
  <si>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</si>
  <si>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</si>
  <si>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</si>
  <si>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</si>
  <si>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</si>
  <si>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</si>
  <si>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</si>
  <si>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</si>
  <si>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</si>
  <si>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</si>
  <si>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</si>
  <si>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</si>
  <si>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</si>
  <si>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</si>
  <si>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</si>
  <si>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</si>
  <si>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</si>
  <si>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</si>
  <si>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</si>
  <si>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</si>
  <si>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</si>
  <si>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</si>
  <si>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</si>
  <si>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</si>
  <si>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</si>
  <si>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</si>
  <si>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</si>
  <si>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</si>
  <si>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</si>
  <si>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</si>
  <si>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</si>
  <si>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VEAS-03-047</t>
  </si>
  <si>
    <t>VEAS-03-048</t>
  </si>
  <si>
    <t>VEAS-03-049</t>
  </si>
  <si>
    <t>VEAS-03-050</t>
  </si>
  <si>
    <t>VEAS-03-051</t>
  </si>
  <si>
    <t>VEAS-03-052</t>
  </si>
  <si>
    <t>VEAS-03-053</t>
  </si>
  <si>
    <t>VEAS-03-054</t>
  </si>
  <si>
    <t>VEAS-03-055</t>
  </si>
  <si>
    <t>VEAS-03-056</t>
  </si>
  <si>
    <t>VEAS-03-057</t>
  </si>
  <si>
    <t>VEAS-03-058</t>
  </si>
  <si>
    <t>VEAS-03-059</t>
  </si>
  <si>
    <t>VEAS-03-060</t>
  </si>
  <si>
    <t>VEAS-03-061</t>
  </si>
  <si>
    <t>VEAS-03-062</t>
  </si>
  <si>
    <t>VEAS-03-063</t>
  </si>
  <si>
    <t>VEAS-03-064</t>
  </si>
  <si>
    <t>VEAS-03-065</t>
  </si>
  <si>
    <t>VEAS-03-066</t>
  </si>
  <si>
    <t>VEAS-03-067</t>
  </si>
  <si>
    <t>VEAS-03-068</t>
  </si>
  <si>
    <t>VEAS-03-069</t>
  </si>
  <si>
    <t>VEAS-03-070</t>
  </si>
  <si>
    <t>VEAS-03-071</t>
  </si>
  <si>
    <t>VEAS-03-072</t>
  </si>
  <si>
    <t>VEAS-03-073</t>
  </si>
  <si>
    <t>VEAS-03-074</t>
  </si>
  <si>
    <t>VEAS-03-075</t>
  </si>
  <si>
    <t>VEAS-03-076</t>
  </si>
  <si>
    <t>VEAS-03-077</t>
  </si>
  <si>
    <t>VEAS-03-078</t>
  </si>
  <si>
    <t>VEAS-03-079</t>
  </si>
  <si>
    <t>VEAS-03-080</t>
  </si>
  <si>
    <t>VEAS-03-081</t>
  </si>
  <si>
    <t>VEAS-03-082</t>
  </si>
  <si>
    <t>VEAS-03-083</t>
  </si>
  <si>
    <t>VEAS-03-084</t>
  </si>
  <si>
    <t>VEAS-03-085</t>
  </si>
  <si>
    <t>VEAS-03-086</t>
  </si>
  <si>
    <t>VEAS-03-087</t>
  </si>
  <si>
    <t>VEAS-03-088</t>
  </si>
  <si>
    <t>VEAS-03-089</t>
  </si>
  <si>
    <t>VEAS-03-090</t>
  </si>
  <si>
    <t>VEAS-03-091</t>
  </si>
  <si>
    <t>VEAS-03-092</t>
  </si>
  <si>
    <t>VEAS-03-093</t>
  </si>
  <si>
    <t>VEAS-03-094</t>
  </si>
  <si>
    <t>VEAS-03-095</t>
  </si>
  <si>
    <t>VEAS-03-096</t>
  </si>
  <si>
    <t>VEAS-03-097</t>
  </si>
  <si>
    <t>VEAS-03-098</t>
  </si>
  <si>
    <t>VEAS-03-099</t>
  </si>
  <si>
    <t>VEAS-03-100</t>
  </si>
  <si>
    <t>VEAS-03-101</t>
  </si>
  <si>
    <t>VEAS-03-102</t>
  </si>
  <si>
    <t>VEAS-03-103</t>
  </si>
  <si>
    <t>VEAS-03-104</t>
  </si>
  <si>
    <t>VEAS-03-105</t>
  </si>
  <si>
    <t>VEAS-03-106</t>
  </si>
  <si>
    <t>VEAS-03-107</t>
  </si>
  <si>
    <t>VEAS-03-108</t>
  </si>
  <si>
    <t>VEAS-03-109</t>
  </si>
  <si>
    <t>VEAS-03-110</t>
  </si>
  <si>
    <t>VEAS-03-111</t>
  </si>
  <si>
    <t>VEAS-03-112</t>
  </si>
  <si>
    <t>VEAS-03-113</t>
  </si>
  <si>
    <t>VEAS-03-114</t>
  </si>
  <si>
    <t>VEAS-03-115</t>
  </si>
  <si>
    <t>VEAS-03-116</t>
  </si>
  <si>
    <t>VEAS-03-117</t>
  </si>
  <si>
    <t>VEAS-03-118</t>
  </si>
  <si>
    <t>VEAS-03-119</t>
  </si>
  <si>
    <t>VEAS-03-120</t>
  </si>
  <si>
    <t>VEAS-03-121</t>
  </si>
  <si>
    <t>VEAS-03-122</t>
  </si>
  <si>
    <t>VEAS-03-123</t>
  </si>
  <si>
    <t>VEAS-03-124</t>
  </si>
  <si>
    <t>VEAS-03-125</t>
  </si>
  <si>
    <t>VEAS-03-126</t>
  </si>
  <si>
    <t>VEAS-03-127</t>
  </si>
  <si>
    <t>VEAS-03-128</t>
  </si>
  <si>
    <t>VEAS-03-129</t>
  </si>
  <si>
    <t>VEAS-03-130</t>
  </si>
  <si>
    <t>VEAS-03-131</t>
  </si>
  <si>
    <t>VEAS-03-132</t>
  </si>
  <si>
    <t>VEAS-03-133</t>
  </si>
  <si>
    <t>VEAS-03-134</t>
  </si>
  <si>
    <t>VEAS-03-135</t>
  </si>
  <si>
    <t>VEAS-03-136</t>
  </si>
  <si>
    <t>VEAS-03-137</t>
  </si>
  <si>
    <t>VEAS-03-138</t>
  </si>
  <si>
    <t>VEAS-03-139</t>
  </si>
  <si>
    <t>VEAS-03-140</t>
  </si>
  <si>
    <t>VEAS-03-141</t>
  </si>
  <si>
    <t>VEAS-03-142</t>
  </si>
  <si>
    <t>VEAS-03-143</t>
  </si>
  <si>
    <t>VEAS-03-144</t>
  </si>
  <si>
    <t>VEAS-03-145</t>
  </si>
  <si>
    <t>VEAS-03-146</t>
  </si>
  <si>
    <t>VEAS-03-147</t>
  </si>
  <si>
    <t>VEAS-03-148</t>
  </si>
  <si>
    <t>VEAS-03-149</t>
  </si>
  <si>
    <t>VEAS-03-150</t>
  </si>
  <si>
    <t>VEAS-03-151</t>
  </si>
  <si>
    <t>VEAS-03-152</t>
  </si>
  <si>
    <t>VEAS-03-153</t>
  </si>
  <si>
    <t>VEAS-03-154</t>
  </si>
  <si>
    <t>VEAS-03-155</t>
  </si>
  <si>
    <t>VEAS-03-156</t>
  </si>
  <si>
    <t>VEAS-03-157</t>
  </si>
  <si>
    <t>VEAS-03-158</t>
  </si>
  <si>
    <t>VEAS-03-159</t>
  </si>
  <si>
    <t>VEAS-03-160</t>
  </si>
  <si>
    <t>VEAS-03-161</t>
  </si>
  <si>
    <t>VEAS-03-162</t>
  </si>
  <si>
    <t>VEAS-03-163</t>
  </si>
  <si>
    <t>VEAS-03-164</t>
  </si>
  <si>
    <t>VEAS-03-165</t>
  </si>
  <si>
    <t>VEAS-03-166</t>
  </si>
  <si>
    <t>VEAS-03-167</t>
  </si>
  <si>
    <t>VEAS-03-168</t>
  </si>
  <si>
    <t>VEAS-03-169</t>
  </si>
  <si>
    <t>VEAS-03-170</t>
  </si>
  <si>
    <t>VEAS-03-171</t>
  </si>
  <si>
    <t>VEAS-03-172</t>
  </si>
  <si>
    <t>VEAS-03-173</t>
  </si>
  <si>
    <t>VEAS-03-174</t>
  </si>
  <si>
    <t>VEAS-03-175</t>
  </si>
  <si>
    <t>VEAS-03-176</t>
  </si>
  <si>
    <t>VEAS-03-177</t>
  </si>
  <si>
    <t>VEAS-03-178</t>
  </si>
  <si>
    <t>VEAS-03-179</t>
  </si>
  <si>
    <t>VEAS-03-180</t>
  </si>
  <si>
    <t>VEAS-03-181</t>
  </si>
  <si>
    <t>VEAS-03-182</t>
  </si>
  <si>
    <t>VEAS-03-183</t>
  </si>
  <si>
    <t>VEAS-03-184</t>
  </si>
  <si>
    <t>VEAS-03-185</t>
  </si>
  <si>
    <t>VEAS-03-186</t>
  </si>
  <si>
    <t>VEAS-03-187</t>
  </si>
  <si>
    <t>VEAS-03-188</t>
  </si>
  <si>
    <t>VEAS-03-189</t>
  </si>
  <si>
    <t>VEAS-03-190</t>
  </si>
  <si>
    <t>VEAS-03-191</t>
  </si>
  <si>
    <t>VEAS-03-192</t>
  </si>
  <si>
    <t>VEAS-03-193</t>
  </si>
  <si>
    <t>VEAS-03-194</t>
  </si>
  <si>
    <t>VEAS-03-195</t>
  </si>
  <si>
    <t>VEAS-03-196</t>
  </si>
  <si>
    <t>VEAS-03-197</t>
  </si>
  <si>
    <t>VEAS-03-198</t>
  </si>
  <si>
    <t>VEAS-03-199</t>
  </si>
  <si>
    <t>VEAS-03-200</t>
  </si>
  <si>
    <t>VEAS-03-201</t>
  </si>
  <si>
    <t>VEAS-03-202</t>
  </si>
  <si>
    <t>VEAS-03-203</t>
  </si>
  <si>
    <t>VEAS-03-204</t>
  </si>
  <si>
    <t>VEAS-03-205</t>
  </si>
  <si>
    <t>VEAS-03-206</t>
  </si>
  <si>
    <t>VEAS-03-207</t>
  </si>
  <si>
    <t>VEAS-03-208</t>
  </si>
  <si>
    <t>VEAS-03-209</t>
  </si>
  <si>
    <t>VEAS-03-210</t>
  </si>
  <si>
    <t>VEAS-03-211</t>
  </si>
  <si>
    <t>VEAS-03-212</t>
  </si>
  <si>
    <t>VEAS-03-213</t>
  </si>
  <si>
    <t>VEAS-03-214</t>
  </si>
  <si>
    <t>VEAS-03-215</t>
  </si>
  <si>
    <t>VEAS-03-216</t>
  </si>
  <si>
    <t>VEAS-03-217</t>
  </si>
  <si>
    <t>VEAS-03-218</t>
  </si>
  <si>
    <t>VEAS-03-219</t>
  </si>
  <si>
    <t>VEAS-03-220</t>
  </si>
  <si>
    <t>VEAS-03-221</t>
  </si>
  <si>
    <t>VEAS-03-222</t>
  </si>
  <si>
    <t>VEAS-03-223</t>
  </si>
  <si>
    <t>VEAS-03-224</t>
  </si>
  <si>
    <t>VEAS-03-225</t>
  </si>
  <si>
    <t>VEAS-03-226</t>
  </si>
  <si>
    <t>VEAS-03-227</t>
  </si>
  <si>
    <t>VEAS-03-228</t>
  </si>
  <si>
    <t>VEAS-03-229</t>
  </si>
  <si>
    <t>VEAS-03-230</t>
  </si>
  <si>
    <t>VEAS-03-231</t>
  </si>
  <si>
    <t>VEAS-03-232</t>
  </si>
  <si>
    <t>VEAS-03-233</t>
  </si>
  <si>
    <t>VEAS-03-234</t>
  </si>
  <si>
    <t>VEAS-03-235</t>
  </si>
  <si>
    <t>VEAS-03-236</t>
  </si>
  <si>
    <t>VEAS-03-237</t>
  </si>
  <si>
    <t>VEAS-03-238</t>
  </si>
  <si>
    <t>VEAS-03-239</t>
  </si>
  <si>
    <t>VEAS-03-240</t>
  </si>
  <si>
    <t>VEAS-03-241</t>
  </si>
  <si>
    <t>VEAS-03-242</t>
  </si>
  <si>
    <t>VEAS-03-243</t>
  </si>
  <si>
    <t>VEAS-03-244</t>
  </si>
  <si>
    <t>VEAS-03-245</t>
  </si>
  <si>
    <t>VEAS-03-246</t>
  </si>
  <si>
    <t>VEAS-03-247</t>
  </si>
  <si>
    <t>VEAS-03-248</t>
  </si>
  <si>
    <t>VEAS-03-249</t>
  </si>
  <si>
    <t>VEAS-03-250</t>
  </si>
  <si>
    <t>VEAS-03-251</t>
  </si>
  <si>
    <t>VEAS-03-252</t>
  </si>
  <si>
    <t>VEAS-03-253</t>
  </si>
  <si>
    <t>VEAS-03-254</t>
  </si>
  <si>
    <t>VEAS-03-255</t>
  </si>
  <si>
    <t>VEAS-03-256</t>
  </si>
  <si>
    <t>VEAS-03-257</t>
  </si>
  <si>
    <t>VEAS-03-258</t>
  </si>
  <si>
    <t>VEAS-03-259</t>
  </si>
  <si>
    <t>VEAS-03-260</t>
  </si>
  <si>
    <t>VEAS-03-261</t>
  </si>
  <si>
    <t>VEAS-03-262</t>
  </si>
  <si>
    <t>VEAS-03-263</t>
  </si>
  <si>
    <t>VEAS-03-264</t>
  </si>
  <si>
    <t>VEAS-03-265</t>
  </si>
  <si>
    <t>VEAS-03-266</t>
  </si>
  <si>
    <t>VEAS-03-267</t>
  </si>
  <si>
    <t>VEAS-03-268</t>
  </si>
  <si>
    <t>VEAS-03-269</t>
  </si>
  <si>
    <t>VEAS-03-270</t>
  </si>
  <si>
    <t>VEAS-03-271</t>
  </si>
  <si>
    <t>VEAS-03-272</t>
  </si>
  <si>
    <t>VEAS-03-273</t>
  </si>
  <si>
    <t>VEAS-03-274</t>
  </si>
  <si>
    <t>VEAS-03-275</t>
  </si>
  <si>
    <t>VEAS-03-276</t>
  </si>
  <si>
    <t>VEAS-03-277</t>
  </si>
  <si>
    <t>VEAS-03-278</t>
  </si>
  <si>
    <t>VEAS-03-279</t>
  </si>
  <si>
    <t>VEAS-03-280</t>
  </si>
  <si>
    <t>VEAS-03-281</t>
  </si>
  <si>
    <t>VEAS-03-282</t>
  </si>
  <si>
    <t>VEAS-03-283</t>
  </si>
  <si>
    <t>VEAS-03-284</t>
  </si>
  <si>
    <t>VEAS-03-285</t>
  </si>
  <si>
    <t>VEAS-03-286</t>
  </si>
  <si>
    <t>VEAS-03-287</t>
  </si>
  <si>
    <t>VEAS-03-288</t>
  </si>
  <si>
    <t>VEAS-03-289</t>
  </si>
  <si>
    <t>VEAS-03-290</t>
  </si>
  <si>
    <t>VEAS-03-291</t>
  </si>
  <si>
    <t>VEAS-03-292</t>
  </si>
  <si>
    <t>VEAS-03-293</t>
  </si>
  <si>
    <t>VEAS-03-294</t>
  </si>
  <si>
    <t>VEAS-03-295</t>
  </si>
  <si>
    <t>VEAS-03-296</t>
  </si>
  <si>
    <t>VEAS-03-297</t>
  </si>
  <si>
    <t>VEAS-03-298</t>
  </si>
  <si>
    <t>VEAS-03-299</t>
  </si>
  <si>
    <t>VEAS-03-300</t>
  </si>
  <si>
    <t>VEAS-03-301</t>
  </si>
  <si>
    <t>VEAS-03-302</t>
  </si>
  <si>
    <t>VEAS-03-303</t>
  </si>
  <si>
    <t>VEAS-03-304</t>
  </si>
  <si>
    <t>VEAS-05-014</t>
  </si>
  <si>
    <t>VEAS-05-015</t>
  </si>
  <si>
    <t>VEAS-05-016</t>
  </si>
  <si>
    <t>VEAS-05-017</t>
  </si>
  <si>
    <t>VEAS-05-018</t>
  </si>
  <si>
    <t>VEFS-01-012</t>
  </si>
  <si>
    <t>VEFS-01-013</t>
  </si>
  <si>
    <t>VEFS-01-014</t>
  </si>
  <si>
    <t>VEFS-01-015</t>
  </si>
  <si>
    <t>VEFS-02-017</t>
  </si>
  <si>
    <t>VEFS-03-018</t>
  </si>
  <si>
    <t>VEFS-03-019</t>
  </si>
  <si>
    <t>VEFS-03-020</t>
  </si>
  <si>
    <t>VEFS-04-013</t>
  </si>
  <si>
    <t>VEFS-04-014</t>
  </si>
  <si>
    <t>VEFS-04-015</t>
  </si>
  <si>
    <t>VEFS-04-016</t>
  </si>
  <si>
    <t>VEFS-04-017</t>
  </si>
  <si>
    <t>VEFS-04-018</t>
  </si>
  <si>
    <t>VEFS-04-019</t>
  </si>
  <si>
    <t>VEFS-04-020</t>
  </si>
  <si>
    <t>VEFS-04-021</t>
  </si>
  <si>
    <t>VEFS-04-022</t>
  </si>
  <si>
    <t>VEFS-04-023</t>
  </si>
  <si>
    <t>VEFS-06-013</t>
  </si>
  <si>
    <t>VEFS-06-014</t>
  </si>
  <si>
    <t>VEFS-06-015</t>
  </si>
  <si>
    <t>VEFS-06-016</t>
  </si>
  <si>
    <t>VEFS-06-017</t>
  </si>
  <si>
    <t>VEFS-06-018</t>
  </si>
  <si>
    <t>VEFS-06-019</t>
  </si>
  <si>
    <t>VEFS-06-020</t>
  </si>
  <si>
    <t>VEFS-06-021</t>
  </si>
  <si>
    <t>VEFS-06-022</t>
  </si>
  <si>
    <t>VEFS-06-023</t>
  </si>
  <si>
    <t>VEFS-06-024</t>
  </si>
  <si>
    <t>VEFS-06-025</t>
  </si>
  <si>
    <t>VEFS-06-026</t>
  </si>
  <si>
    <t>VEFS-06-027</t>
  </si>
  <si>
    <t>VEFS-06-028</t>
  </si>
  <si>
    <t>VEFS-06-029</t>
  </si>
  <si>
    <t>VEFS-06-030</t>
  </si>
  <si>
    <t>VEFS-06-031</t>
  </si>
  <si>
    <t>VEFS-06-032</t>
  </si>
  <si>
    <t>VEFS-06-033</t>
  </si>
  <si>
    <t>VEFS-06-034</t>
  </si>
  <si>
    <t>VEFS-06-035</t>
  </si>
  <si>
    <t>VEFS-06-036</t>
  </si>
  <si>
    <t>VEFS-06-037</t>
  </si>
  <si>
    <t>VEFS-06-038</t>
  </si>
  <si>
    <t>VEFS-06-039</t>
  </si>
  <si>
    <t>VEFS-06-040</t>
  </si>
  <si>
    <t>VEFS-06-041</t>
  </si>
  <si>
    <t>VEFS-08-014</t>
  </si>
  <si>
    <t>VEFS-08-015</t>
  </si>
  <si>
    <t>VEFS-09-040</t>
  </si>
  <si>
    <t>VEFS-09-041</t>
  </si>
  <si>
    <t>VEFS-09-042</t>
  </si>
  <si>
    <t>VEFS-09-043</t>
  </si>
  <si>
    <t>VEFS-09-044</t>
  </si>
  <si>
    <t>VEFS-09-045</t>
  </si>
  <si>
    <t>VEFS-09-046</t>
  </si>
  <si>
    <t>VEFS-09-047</t>
  </si>
  <si>
    <t>VEFS-09-048</t>
  </si>
  <si>
    <t>VEFS-09-049</t>
  </si>
  <si>
    <t>VEFS-09-050</t>
  </si>
  <si>
    <t>VEFS-09-051</t>
  </si>
  <si>
    <t>VEFS-09-052</t>
  </si>
  <si>
    <t>VEFS-09-053</t>
  </si>
  <si>
    <t>VEFS-09-054</t>
  </si>
  <si>
    <t>VEFS-09-055</t>
  </si>
  <si>
    <t>VEFS-09-056</t>
  </si>
  <si>
    <t>VEFS-09-057</t>
  </si>
  <si>
    <t>VEFS-09-058</t>
  </si>
  <si>
    <t>VEFS-09-059</t>
  </si>
  <si>
    <t>VEFS-09-060</t>
  </si>
  <si>
    <t>VEFS-09-061</t>
  </si>
  <si>
    <t>VEFS-09-062</t>
  </si>
  <si>
    <t>VEFS-09-063</t>
  </si>
  <si>
    <t>VEFS-09-064</t>
  </si>
  <si>
    <t>VEFS-09-065</t>
  </si>
  <si>
    <t>VEFS-09-066</t>
  </si>
  <si>
    <t>VEFS-09-067</t>
  </si>
  <si>
    <t>VEFS-09-068</t>
  </si>
  <si>
    <t>VEFS-09-069</t>
  </si>
  <si>
    <t>VEFS-09-070</t>
  </si>
  <si>
    <t>VEFS-09-071</t>
  </si>
  <si>
    <t>VEFS-09-072</t>
  </si>
  <si>
    <t>VEFS-09-073</t>
  </si>
  <si>
    <t>VEFS-09-074</t>
  </si>
  <si>
    <t>VEFS-09-075</t>
  </si>
  <si>
    <t>VEFS-09-076</t>
  </si>
  <si>
    <t>VEFS-09-077</t>
  </si>
  <si>
    <t>VEFS-09-078</t>
  </si>
  <si>
    <t>VEFS-09-079</t>
  </si>
  <si>
    <t>VEFS-09-080</t>
  </si>
  <si>
    <t>VEFS-09-081</t>
  </si>
  <si>
    <t>VEFS-09-082</t>
  </si>
  <si>
    <t>VEFS-09-083</t>
  </si>
  <si>
    <t>VEFS-09-084</t>
  </si>
  <si>
    <t>VEFS-09-085</t>
  </si>
  <si>
    <t>VEFS-09-086</t>
  </si>
  <si>
    <t>VEFS-09-087</t>
  </si>
  <si>
    <t>VEFS-09-088</t>
  </si>
  <si>
    <t>VEFS-09-089</t>
  </si>
  <si>
    <t>VEFS-09-090</t>
  </si>
  <si>
    <t>VEFS-09-091</t>
  </si>
  <si>
    <t>VEFS-09-092</t>
  </si>
  <si>
    <t>VEFS-10-090</t>
  </si>
  <si>
    <t>VEFS-10-091</t>
  </si>
  <si>
    <t>VEFS-10-092</t>
  </si>
  <si>
    <t>VEFS-10-093</t>
  </si>
  <si>
    <t>VEFS-10-094</t>
  </si>
  <si>
    <t>VEFS-10-095</t>
  </si>
  <si>
    <t>VEFS-10-096</t>
  </si>
  <si>
    <t>VEFS-10-097</t>
  </si>
  <si>
    <t>VEFS-10-098</t>
  </si>
  <si>
    <t>VEFS-10-099</t>
  </si>
  <si>
    <t>VEFS-10-100</t>
  </si>
  <si>
    <t>VEFS-10-101</t>
  </si>
  <si>
    <t>VEFS-10-102</t>
  </si>
  <si>
    <t>VEFS-10-103</t>
  </si>
  <si>
    <t>VEFS-10-104</t>
  </si>
  <si>
    <t>VEFS-10-105</t>
  </si>
  <si>
    <t>VEFS-10-106</t>
  </si>
  <si>
    <t>VEFS-10-107</t>
  </si>
  <si>
    <t>VEFS-10-108</t>
  </si>
  <si>
    <t>VEFS-10-109</t>
  </si>
  <si>
    <t>VEFS-10-110</t>
  </si>
  <si>
    <t>VEFS-10-111</t>
  </si>
  <si>
    <t>VEFS-10-112</t>
  </si>
  <si>
    <t>VEFS-10-113</t>
  </si>
  <si>
    <t>VEFS-10-114</t>
  </si>
  <si>
    <t>VEFS-10-115</t>
  </si>
  <si>
    <t>VEFS-11-026</t>
  </si>
  <si>
    <t>VEFS-11-027</t>
  </si>
  <si>
    <t>VEFS-11-028</t>
  </si>
  <si>
    <t>VEFS-11-029</t>
  </si>
  <si>
    <t>VEFS-11-030</t>
  </si>
  <si>
    <t>VEFS-11-031</t>
  </si>
  <si>
    <t>VEFS-12-011</t>
  </si>
  <si>
    <t>VEFS-12-012</t>
  </si>
  <si>
    <t>VEFS-12-013</t>
  </si>
  <si>
    <t>VEFS-12-014</t>
  </si>
  <si>
    <t>VEFS-12-015</t>
  </si>
  <si>
    <t>VEFS-12-016</t>
  </si>
  <si>
    <t>VEFS-12-017</t>
  </si>
  <si>
    <t>VEFS-13-060</t>
  </si>
  <si>
    <t>VEFS-13-077</t>
  </si>
  <si>
    <t>VEFS-13-078</t>
  </si>
  <si>
    <t>VEFS-13-079</t>
  </si>
  <si>
    <t>VEFS-13-080</t>
  </si>
  <si>
    <t>VEFS-13-081</t>
  </si>
  <si>
    <t>VEFS-13-082</t>
  </si>
  <si>
    <t>VEFS-13-083</t>
  </si>
  <si>
    <t>VEFS-13-084</t>
  </si>
  <si>
    <t>VEFS-13-085</t>
  </si>
  <si>
    <t>VEFS-13-086</t>
  </si>
  <si>
    <t>VEFS-13-087</t>
  </si>
  <si>
    <t>VEFS-13-088</t>
  </si>
  <si>
    <t>VEFS-13-089</t>
  </si>
  <si>
    <t>VEFS-13-090</t>
  </si>
  <si>
    <t>VEFS-13-091</t>
  </si>
  <si>
    <t>VEFS-13-092</t>
  </si>
  <si>
    <t>VEFS-13-093</t>
  </si>
  <si>
    <t>VEFS-13-094</t>
  </si>
  <si>
    <t>VEFS-13-095</t>
  </si>
  <si>
    <t>VEFS-13-096</t>
  </si>
  <si>
    <t>VEFS-13-097</t>
  </si>
  <si>
    <t>VEFS-13-098</t>
  </si>
  <si>
    <t>VEFS-13-099</t>
  </si>
  <si>
    <t>VEFS-13-100</t>
  </si>
  <si>
    <t>VEFS-13-101</t>
  </si>
  <si>
    <t>VEFS-13-102</t>
  </si>
  <si>
    <t>VEFS-13-103</t>
  </si>
  <si>
    <t>VEFS-13-104</t>
  </si>
  <si>
    <t>VEFS-13-105</t>
  </si>
  <si>
    <t>VEFS-13-106</t>
  </si>
  <si>
    <t>VEFS-13-107</t>
  </si>
  <si>
    <t>VEFS-13-108</t>
  </si>
  <si>
    <t>VEFS-13-109</t>
  </si>
  <si>
    <t>VEFS-13-110</t>
  </si>
  <si>
    <t>VEFS-13-111</t>
  </si>
  <si>
    <t>VEFS-14-010</t>
  </si>
  <si>
    <t>VEFS-15-070</t>
  </si>
  <si>
    <t>VEFS-15-071</t>
  </si>
  <si>
    <t>VEFS-15-072</t>
  </si>
  <si>
    <t>VEFS-15-073</t>
  </si>
  <si>
    <t>VEFS-15-074</t>
  </si>
  <si>
    <t>VEFS-15-075</t>
  </si>
  <si>
    <t>VEFS-15-076</t>
  </si>
  <si>
    <t>VEFS-15-077</t>
  </si>
  <si>
    <t>VEFS-15-078</t>
  </si>
  <si>
    <t>VEFS-15-079</t>
  </si>
  <si>
    <t>VEFS-15-080</t>
  </si>
  <si>
    <t>VEFS-15-081</t>
  </si>
  <si>
    <t>VEFS-15-082</t>
  </si>
  <si>
    <t>VEFS-15-083</t>
  </si>
  <si>
    <t>VEFS-15-084</t>
  </si>
  <si>
    <t>VEFS-15-085</t>
  </si>
  <si>
    <t>VEFS-15-086</t>
  </si>
  <si>
    <t>VEFS-15-087</t>
  </si>
  <si>
    <t>VEFS-15-088</t>
  </si>
  <si>
    <t>VEFS-15-089</t>
  </si>
  <si>
    <t>VEFS-15-090</t>
  </si>
  <si>
    <t>VEFS-15-091</t>
  </si>
  <si>
    <t>VEFS-15-092</t>
  </si>
  <si>
    <t>VEFS-15-093</t>
  </si>
  <si>
    <t>VEFS-15-094</t>
  </si>
  <si>
    <t>VEFS-15-095</t>
  </si>
  <si>
    <t>VEFS-15-096</t>
  </si>
  <si>
    <t>VEFS-15-097</t>
  </si>
  <si>
    <t>VEFS-20-011</t>
  </si>
  <si>
    <t>VEFS-20-012</t>
  </si>
  <si>
    <t>VEFS-21-002</t>
  </si>
  <si>
    <t>VEFS-21-001</t>
  </si>
  <si>
    <t>VEFS-21-003</t>
  </si>
  <si>
    <t>VEFS-21-004</t>
  </si>
  <si>
    <t>VEFS-21-005</t>
  </si>
  <si>
    <t>VEFS-21-006</t>
  </si>
  <si>
    <t>VEFS-21-007</t>
  </si>
  <si>
    <t>VEFS-22-015</t>
  </si>
  <si>
    <t>VEFS-22-043</t>
  </si>
  <si>
    <t>VEFS-22-046</t>
  </si>
  <si>
    <t>VEFS-22-048</t>
  </si>
  <si>
    <t>VEFS-22-049</t>
  </si>
  <si>
    <t>VEFS-22-050</t>
  </si>
  <si>
    <t>VEFS-22-051</t>
  </si>
  <si>
    <t>VEFS-22-052</t>
  </si>
  <si>
    <t>VEFS-22-053</t>
  </si>
  <si>
    <t>VEFS-22-054</t>
  </si>
  <si>
    <t>VEFS-22-055</t>
  </si>
  <si>
    <t>VEFS-22-056</t>
  </si>
  <si>
    <t>VEFS-22-057</t>
  </si>
  <si>
    <t>VEFS-22-058</t>
  </si>
  <si>
    <t>VEFS-22-059</t>
  </si>
  <si>
    <t>VEFS-22-060</t>
  </si>
  <si>
    <t>VEFS-22-061</t>
  </si>
  <si>
    <t>VEFS-22-062</t>
  </si>
  <si>
    <t>VEFS-22-063</t>
  </si>
  <si>
    <t>VEFS-22-064</t>
  </si>
  <si>
    <t>VEFS-22-065</t>
  </si>
  <si>
    <t>VEFS-22-066</t>
  </si>
  <si>
    <t>VEFS-22-067</t>
  </si>
  <si>
    <t>VEFS-22-068</t>
  </si>
  <si>
    <t>VEFS-23-013</t>
  </si>
  <si>
    <t>VEFS-23-014</t>
  </si>
  <si>
    <t>VETT-01-025</t>
  </si>
  <si>
    <t>VETT-01-026</t>
  </si>
  <si>
    <t>VETT-01-027</t>
  </si>
  <si>
    <t>VETT-01-028</t>
  </si>
  <si>
    <t>VETT-01-029</t>
  </si>
  <si>
    <t>VETT-01-030</t>
  </si>
  <si>
    <t>VETT-01-031</t>
  </si>
  <si>
    <t>VETT-02-026</t>
  </si>
  <si>
    <t>VETT-02-027</t>
  </si>
  <si>
    <t>VETT-02-028</t>
  </si>
  <si>
    <t>VETT-02-029</t>
  </si>
  <si>
    <t>VETT-02-030</t>
  </si>
  <si>
    <t>VETT-02-031</t>
  </si>
  <si>
    <t>VETT-02-032</t>
  </si>
  <si>
    <t>VETT-02-033</t>
  </si>
  <si>
    <t>VETT-02-034</t>
  </si>
  <si>
    <t>VETT-02-035</t>
  </si>
  <si>
    <t>VETT-02-036</t>
  </si>
  <si>
    <t>VETT-02-037</t>
  </si>
  <si>
    <t>VETT-02-038</t>
  </si>
  <si>
    <t>VETT-02-039</t>
  </si>
  <si>
    <t>VETT-02-040</t>
  </si>
  <si>
    <t>VETT-02-041</t>
  </si>
  <si>
    <t>VETT-02-042</t>
  </si>
  <si>
    <t>VETT-02-043</t>
  </si>
  <si>
    <t>VETT-02-044</t>
  </si>
  <si>
    <t>VETT-02-045</t>
  </si>
  <si>
    <t>VETT-02-046</t>
  </si>
  <si>
    <t>VETT-02-047</t>
  </si>
  <si>
    <t>VETT-02-048</t>
  </si>
  <si>
    <t>VETT-02-049</t>
  </si>
  <si>
    <t>VETT-02-050</t>
  </si>
  <si>
    <t>VETT-02-051</t>
  </si>
  <si>
    <t>VETT-02-052</t>
  </si>
  <si>
    <t>VETT-02-053</t>
  </si>
  <si>
    <t>VETT-02-054</t>
  </si>
  <si>
    <t>VETT-03-186</t>
  </si>
  <si>
    <t>VETT-03-187</t>
  </si>
  <si>
    <t>VETT-03-188</t>
  </si>
  <si>
    <t>VETT-03-189</t>
  </si>
  <si>
    <t>VETT-03-190</t>
  </si>
  <si>
    <t>VETT-03-191</t>
  </si>
  <si>
    <t>VETT-03-192</t>
  </si>
  <si>
    <t>VETT-03-193</t>
  </si>
  <si>
    <t>VETT-03-194</t>
  </si>
  <si>
    <t>VETT-03-195</t>
  </si>
  <si>
    <t>VETT-03-196</t>
  </si>
  <si>
    <t>VETT-03-197</t>
  </si>
  <si>
    <t>VETT-03-198</t>
  </si>
  <si>
    <t>VETT-03-199</t>
  </si>
  <si>
    <t>VETT-03-200</t>
  </si>
  <si>
    <t>VETT-03-201</t>
  </si>
  <si>
    <t>VETT-03-202</t>
  </si>
  <si>
    <t>VETT-03-203</t>
  </si>
  <si>
    <t>VETT-03-204</t>
  </si>
  <si>
    <t>VETT-03-205</t>
  </si>
  <si>
    <t>VETT-03-206</t>
  </si>
  <si>
    <t>VETT-03-207</t>
  </si>
  <si>
    <t>VETT-03-208</t>
  </si>
  <si>
    <t>VETT-03-209</t>
  </si>
  <si>
    <t>VETT-03-210</t>
  </si>
  <si>
    <t>VETT-03-211</t>
  </si>
  <si>
    <t>VETT-03-212</t>
  </si>
  <si>
    <t>VETT-03-213</t>
  </si>
  <si>
    <t>VETT-03-214</t>
  </si>
  <si>
    <t>VETT-03-215</t>
  </si>
  <si>
    <t>VETT-03-216</t>
  </si>
  <si>
    <t>VETT-03-217</t>
  </si>
  <si>
    <t>VETT-03-218</t>
  </si>
  <si>
    <t>VETT-03-219</t>
  </si>
  <si>
    <t>VETT-03-220</t>
  </si>
  <si>
    <t>VETT-03-221</t>
  </si>
  <si>
    <t>VETT-03-222</t>
  </si>
  <si>
    <t>VETT-03-223</t>
  </si>
  <si>
    <t>VETT-03-224</t>
  </si>
  <si>
    <t>VETT-03-225</t>
  </si>
  <si>
    <t>VETT-03-226</t>
  </si>
  <si>
    <t>VETT-03-227</t>
  </si>
  <si>
    <t>VETT-03-228</t>
  </si>
  <si>
    <t>VETT-03-229</t>
  </si>
  <si>
    <t>VETT-03-230</t>
  </si>
  <si>
    <t>VETT-03-231</t>
  </si>
  <si>
    <t>VETT-03-232</t>
  </si>
  <si>
    <t>VETT-03-233</t>
  </si>
  <si>
    <t>VETT-03-234</t>
  </si>
  <si>
    <t>VETT-03-235</t>
  </si>
  <si>
    <t>VETT-03-236</t>
  </si>
  <si>
    <t>VETT-03-237</t>
  </si>
  <si>
    <t>VETT-03-238</t>
  </si>
  <si>
    <t>VETT-03-239</t>
  </si>
  <si>
    <t>VETT-03-240</t>
  </si>
  <si>
    <t>VETT-03-241</t>
  </si>
  <si>
    <t>VETT-03-242</t>
  </si>
  <si>
    <t>VETT-03-243</t>
  </si>
  <si>
    <t>VETT-03-244</t>
  </si>
  <si>
    <t>VETT-03-245</t>
  </si>
  <si>
    <t>VETT-03-246</t>
  </si>
  <si>
    <t>VETT-03-247</t>
  </si>
  <si>
    <t>VETT-03-248</t>
  </si>
  <si>
    <t>VETT-03-249</t>
  </si>
  <si>
    <t>VETT-03-250</t>
  </si>
  <si>
    <t>VETT-03-251</t>
  </si>
  <si>
    <t>VETT-03-252</t>
  </si>
  <si>
    <t>VETT-03-253</t>
  </si>
  <si>
    <t>VETT-03-254</t>
  </si>
  <si>
    <t>VETT-03-255</t>
  </si>
  <si>
    <t>VETT-03-256</t>
  </si>
  <si>
    <t>VETT-03-257</t>
  </si>
  <si>
    <t>VETT-03-258</t>
  </si>
  <si>
    <t>VETT-03-259</t>
  </si>
  <si>
    <t>VETT-03-260</t>
  </si>
  <si>
    <t>VETT-03-261</t>
  </si>
  <si>
    <t>VETT-03-262</t>
  </si>
  <si>
    <t>VETT-03-263</t>
  </si>
  <si>
    <t>VETT-03-264</t>
  </si>
  <si>
    <t>VETT-03-265</t>
  </si>
  <si>
    <t>VETT-03-266</t>
  </si>
  <si>
    <t>VETT-03-267</t>
  </si>
  <si>
    <t>VETT-03-268</t>
  </si>
  <si>
    <t>VETT-03-269</t>
  </si>
  <si>
    <t>VETT-03-270</t>
  </si>
  <si>
    <t>VETT-03-271</t>
  </si>
  <si>
    <t>VETT-03-272</t>
  </si>
  <si>
    <t>VETT-03-273</t>
  </si>
  <si>
    <t>VETT-03-274</t>
  </si>
  <si>
    <t>VETT-03-275</t>
  </si>
  <si>
    <t>VETT-04-063</t>
  </si>
  <si>
    <t>VETT-04-075</t>
  </si>
  <si>
    <t>VETT-04-076</t>
  </si>
  <si>
    <t>VETT-04-077</t>
  </si>
  <si>
    <t>VETT-04-078</t>
  </si>
  <si>
    <t>VETT-04-079</t>
  </si>
  <si>
    <t>VETT-04-080</t>
  </si>
  <si>
    <t>VETT-04-081</t>
  </si>
  <si>
    <t>VETT-04-082</t>
  </si>
  <si>
    <t>VETT-04-083</t>
  </si>
  <si>
    <t>VETT-04-084</t>
  </si>
  <si>
    <t>VETT-04-085</t>
  </si>
  <si>
    <t>VETT-04-086</t>
  </si>
  <si>
    <t>VETT-04-087</t>
  </si>
  <si>
    <t>VETT-04-088</t>
  </si>
  <si>
    <t>VETT-04-089</t>
  </si>
  <si>
    <t>VETT-04-090</t>
  </si>
  <si>
    <t>VETT-05-033</t>
  </si>
  <si>
    <t>VETT-05-034</t>
  </si>
  <si>
    <t>VETT-05-035</t>
  </si>
  <si>
    <t>VETT-05-036</t>
  </si>
  <si>
    <t>VETT-05-037</t>
  </si>
  <si>
    <t>VETT-05-038</t>
  </si>
  <si>
    <t>VETT-05-039</t>
  </si>
  <si>
    <t>VETT-05-040</t>
  </si>
  <si>
    <t>VETT-05-041</t>
  </si>
  <si>
    <t>VETT-05-042</t>
  </si>
  <si>
    <t>VETT-05-043</t>
  </si>
  <si>
    <t>VETT-05-044</t>
  </si>
  <si>
    <t>VETT-05-045</t>
  </si>
  <si>
    <t>VETT-05-046</t>
  </si>
  <si>
    <t>VETT-05-047</t>
  </si>
  <si>
    <t>VETT-05-048</t>
  </si>
  <si>
    <t>VETT-05-049</t>
  </si>
  <si>
    <t>VETT-05-050</t>
  </si>
  <si>
    <t>VETT-05-051</t>
  </si>
  <si>
    <t>VETT-05-052</t>
  </si>
  <si>
    <t>VETT-06-007</t>
  </si>
  <si>
    <t>VETT-06-008</t>
  </si>
  <si>
    <t>VETT-06-009</t>
  </si>
  <si>
    <t>VETT-06-010</t>
  </si>
  <si>
    <t>VETT-06-011</t>
  </si>
  <si>
    <t>VETT-06-012</t>
  </si>
  <si>
    <t>VETT-06-013</t>
  </si>
  <si>
    <t>VETT-06-014</t>
  </si>
  <si>
    <t>VETT-06-015</t>
  </si>
  <si>
    <t>VETT-06-017</t>
  </si>
  <si>
    <t>VETT-06-018</t>
  </si>
  <si>
    <t>VETT-06-019</t>
  </si>
  <si>
    <t>VETT-06-020</t>
  </si>
  <si>
    <t>VETT-06-021</t>
  </si>
  <si>
    <t>VETT-06-022</t>
  </si>
  <si>
    <t>VETT-06-023</t>
  </si>
  <si>
    <t>VETT-06-024</t>
  </si>
  <si>
    <t>VETT-06-025</t>
  </si>
  <si>
    <t>VETT-06-026</t>
  </si>
  <si>
    <t>VETT-06-027</t>
  </si>
  <si>
    <t>VETT-06-028</t>
  </si>
  <si>
    <t>VETT-06-029</t>
  </si>
  <si>
    <t>VETT-06-030</t>
  </si>
  <si>
    <t>VETT-06-031</t>
  </si>
  <si>
    <t>VETT-06-032</t>
  </si>
  <si>
    <t>VETT-06-033</t>
  </si>
  <si>
    <t>VETT-06-034</t>
  </si>
  <si>
    <t>VETT-06-035</t>
  </si>
  <si>
    <t>VETT-06-036</t>
  </si>
  <si>
    <t>VETT-06-037</t>
  </si>
  <si>
    <t>VETT-06-038</t>
  </si>
  <si>
    <t>VETT-06-039</t>
  </si>
  <si>
    <t>VETT-06-040</t>
  </si>
  <si>
    <t>VETT-06-041</t>
  </si>
  <si>
    <t>VETT-06-042</t>
  </si>
  <si>
    <t>VETT-06-043</t>
  </si>
  <si>
    <t>VETT-06-044</t>
  </si>
  <si>
    <t>VETT-06-045</t>
  </si>
  <si>
    <t>VETT-06-046</t>
  </si>
  <si>
    <t>VETT-06-047</t>
  </si>
  <si>
    <t>VETT-06-048</t>
  </si>
  <si>
    <t>VETT-06-049</t>
  </si>
  <si>
    <t>VETT-06-050</t>
  </si>
  <si>
    <t>VETT-06-051</t>
  </si>
  <si>
    <t>VETT-06-052</t>
  </si>
  <si>
    <t>VETT-06-053</t>
  </si>
  <si>
    <t>VETT-06-054</t>
  </si>
  <si>
    <t>VETT-06-055</t>
  </si>
  <si>
    <t>VETT-06-056</t>
  </si>
  <si>
    <t>VETT-06-057</t>
  </si>
  <si>
    <t>VETT-06-058</t>
  </si>
  <si>
    <t>VETT-06-059</t>
  </si>
  <si>
    <t>VETT-06-060</t>
  </si>
  <si>
    <t>VETT-06-061</t>
  </si>
  <si>
    <t>VETT-06-062</t>
  </si>
  <si>
    <t>VETT-06-063</t>
  </si>
  <si>
    <t>VETT-06-064</t>
  </si>
  <si>
    <t>VETT-06-065</t>
  </si>
  <si>
    <t>VETT-06-066</t>
  </si>
  <si>
    <t>VETT-06-067</t>
  </si>
  <si>
    <t>VETT-06-068</t>
  </si>
  <si>
    <t>VETT-06-069</t>
  </si>
  <si>
    <t>VETT-06-070</t>
  </si>
  <si>
    <t>VETT-06-071</t>
  </si>
  <si>
    <t>VETT-06-072</t>
  </si>
  <si>
    <t>VETT-06-073</t>
  </si>
  <si>
    <t>VETT-06-074</t>
  </si>
  <si>
    <t>VETT-06-075</t>
  </si>
  <si>
    <t>VETT-06-076</t>
  </si>
  <si>
    <t>VETT-06-077</t>
  </si>
  <si>
    <t>VETT-06-078</t>
  </si>
  <si>
    <t>VETT-06-079</t>
  </si>
  <si>
    <t>VETT-06-080</t>
  </si>
  <si>
    <t>VETT-06-081</t>
  </si>
  <si>
    <t>VETT-06-082</t>
  </si>
  <si>
    <t>VETT-06-083</t>
  </si>
  <si>
    <t>VETT-06-084</t>
  </si>
  <si>
    <t>VETT-06-085</t>
  </si>
  <si>
    <t>VETT-06-086</t>
  </si>
  <si>
    <t>VETT-06-087</t>
  </si>
  <si>
    <t>VETT-07-024</t>
  </si>
  <si>
    <t>VETT-07-025</t>
  </si>
  <si>
    <t>VETT-07-026</t>
  </si>
  <si>
    <t>VETT-07-027</t>
  </si>
  <si>
    <t>VETT-07-028</t>
  </si>
  <si>
    <t>VETT-07-029</t>
  </si>
  <si>
    <t>VETT-07-030</t>
  </si>
  <si>
    <t>VETT-07-031</t>
  </si>
  <si>
    <t>VETT-07-032</t>
  </si>
  <si>
    <t>VETT-07-033</t>
  </si>
  <si>
    <t>VETT-07-034</t>
  </si>
  <si>
    <t>VETT-07-035</t>
  </si>
  <si>
    <t>VETT-08-017</t>
  </si>
  <si>
    <t>VETT-08-018</t>
  </si>
  <si>
    <t>VETT-08-019</t>
  </si>
  <si>
    <t>VETT-08-020</t>
  </si>
  <si>
    <t>VETT-08-021</t>
  </si>
  <si>
    <t>VETT-08-022</t>
  </si>
  <si>
    <t>VETT-08-023</t>
  </si>
  <si>
    <t>VETT-08-024</t>
  </si>
  <si>
    <t>VETT-08-025</t>
  </si>
  <si>
    <t>VETT-08-026</t>
  </si>
  <si>
    <t>VETT-08-027</t>
  </si>
  <si>
    <t>VETT-08-028</t>
  </si>
  <si>
    <t>VETT-08-029</t>
  </si>
  <si>
    <t>VETT-08-030</t>
  </si>
  <si>
    <t>VETT-08-031</t>
  </si>
  <si>
    <t>VETT-08-032</t>
  </si>
  <si>
    <t>VETT-08-033</t>
  </si>
  <si>
    <t>VETT-08-034</t>
  </si>
  <si>
    <t>VETT-08-035</t>
  </si>
  <si>
    <t>VETT-08-036</t>
  </si>
  <si>
    <t>VETT-08-037</t>
  </si>
  <si>
    <t>VETT-08-038</t>
  </si>
  <si>
    <t>VETT-08-039</t>
  </si>
  <si>
    <t>VETT-08-040</t>
  </si>
  <si>
    <t>VETT-08-041</t>
  </si>
  <si>
    <t>VETT-08-042</t>
  </si>
  <si>
    <t>VETT-08-043</t>
  </si>
  <si>
    <t>VETT-08-044</t>
  </si>
  <si>
    <t>VETT-08-045</t>
  </si>
  <si>
    <t>VETT-08-046</t>
  </si>
  <si>
    <t>VETT-08-047</t>
  </si>
  <si>
    <t>VETT-08-048</t>
  </si>
  <si>
    <t>VETT-08-049</t>
  </si>
  <si>
    <t>VETT-08-050</t>
  </si>
  <si>
    <t>VETT-08-051</t>
  </si>
  <si>
    <t>VETT-08-052</t>
  </si>
  <si>
    <t>VETT-08-053</t>
  </si>
  <si>
    <t>VETT-08-054</t>
  </si>
  <si>
    <t>VETT-08-055</t>
  </si>
  <si>
    <t>VETT-08-056</t>
  </si>
  <si>
    <t>VETT-08-057</t>
  </si>
  <si>
    <t>VETT-08-058</t>
  </si>
  <si>
    <t>VETT-08-059</t>
  </si>
  <si>
    <t>VETT-08-060</t>
  </si>
  <si>
    <t>VETT-08-061</t>
  </si>
  <si>
    <t>VETT-08-062</t>
  </si>
  <si>
    <t>VETT-08-063</t>
  </si>
  <si>
    <t>VETT-08-064</t>
  </si>
  <si>
    <t>VETT-08-065</t>
  </si>
  <si>
    <t>VETT-08-066</t>
  </si>
  <si>
    <t>VETT-08-067</t>
  </si>
  <si>
    <t>VETT-08-068</t>
  </si>
  <si>
    <t>VETT-08-069</t>
  </si>
  <si>
    <t>VETT-08-070</t>
  </si>
  <si>
    <t>VETT-08-071</t>
  </si>
  <si>
    <t>VETT-08-072</t>
  </si>
  <si>
    <t>VETT-08-073</t>
  </si>
  <si>
    <t>VETT-08-074</t>
  </si>
  <si>
    <t>VETT-08-075</t>
  </si>
  <si>
    <t>VETT-08-076</t>
  </si>
  <si>
    <t>VETT-08-077</t>
  </si>
  <si>
    <t>VETT-08-078</t>
  </si>
  <si>
    <t>VETT-08-079</t>
  </si>
  <si>
    <t>VETT-08-080</t>
  </si>
  <si>
    <t>VETT-08-081</t>
  </si>
  <si>
    <t>VETT-08-082</t>
  </si>
  <si>
    <t>VETT-08-083</t>
  </si>
  <si>
    <t>VETT-08-084</t>
  </si>
  <si>
    <t>VETT-08-085</t>
  </si>
  <si>
    <t>VETT-08-086</t>
  </si>
  <si>
    <t>VETT-08-087</t>
  </si>
  <si>
    <t>VETT-08-088</t>
  </si>
  <si>
    <t>VETT-08-089</t>
  </si>
  <si>
    <t>VETT-08-090</t>
  </si>
  <si>
    <t>VETT-08-091</t>
  </si>
  <si>
    <t>VETT-08-092</t>
  </si>
  <si>
    <t>VETT-08-093</t>
  </si>
  <si>
    <t>VETT-08-094</t>
  </si>
  <si>
    <t>VETT-08-095</t>
  </si>
  <si>
    <t>VETT-08-096</t>
  </si>
  <si>
    <t>VETT-08-097</t>
  </si>
  <si>
    <t>Angle Protector</t>
  </si>
  <si>
    <t>VETT-08-098</t>
  </si>
  <si>
    <t>Thermometer Digital</t>
  </si>
  <si>
    <t>VETT-08-099</t>
  </si>
  <si>
    <t>Tempreture Gun</t>
  </si>
  <si>
    <t>VETT-08-100</t>
  </si>
  <si>
    <t>Pinhole Detector</t>
  </si>
  <si>
    <t>VETT-08-101</t>
  </si>
  <si>
    <t>Micrometer 0-45MM</t>
  </si>
  <si>
    <t>VETT-08-102</t>
  </si>
  <si>
    <t>Humidity Meter</t>
  </si>
  <si>
    <t>VETT-08-103</t>
  </si>
  <si>
    <t>Micrometer Surface Depth Gauge</t>
  </si>
  <si>
    <t>VETT-08-104</t>
  </si>
  <si>
    <t>Highlow Gauge</t>
  </si>
  <si>
    <t>VETT-08-105</t>
  </si>
  <si>
    <t>VETT-08-106</t>
  </si>
  <si>
    <t>Digital Sprite Level</t>
  </si>
  <si>
    <t>VETT-08-107</t>
  </si>
  <si>
    <t>Step Gauge 2MM To 10MM</t>
  </si>
  <si>
    <t>VETT-08-108</t>
  </si>
  <si>
    <t>Dial Gauge 0.001 To 200</t>
  </si>
  <si>
    <t>VETT-08-109</t>
  </si>
  <si>
    <t>BCG Gauge</t>
  </si>
  <si>
    <t>VETT-08-110</t>
  </si>
  <si>
    <t>Vernier Caliper 200MM</t>
  </si>
  <si>
    <t>V2 Block (u.T)</t>
  </si>
  <si>
    <t>VETT-08-111</t>
  </si>
  <si>
    <t>Measuring Tape - 15Mtr</t>
  </si>
  <si>
    <t>VETT-08-112</t>
  </si>
  <si>
    <t>Measuring Tape - 30Mtr</t>
  </si>
  <si>
    <t>VETT-08-113</t>
  </si>
  <si>
    <t>Measuring Tape - 5Mtr</t>
  </si>
  <si>
    <t>VETT-08-114</t>
  </si>
  <si>
    <t>Protable Hardness Tester</t>
  </si>
  <si>
    <t>VETT-08-115</t>
  </si>
  <si>
    <t>Righter Line Aliment Kit</t>
  </si>
  <si>
    <t>VETT-08-116</t>
  </si>
  <si>
    <t>Castron Straight Edge Exp</t>
  </si>
  <si>
    <t>VETT-08-117</t>
  </si>
  <si>
    <t>Luthra</t>
  </si>
  <si>
    <t>VETT-08-118</t>
  </si>
  <si>
    <t>Luthra Precision ID No-89676,Size 1/Sec 1000mm</t>
  </si>
  <si>
    <t>Luthra Precision ID No-89676,Size 1/Sec 500mm</t>
  </si>
  <si>
    <t>VETT-08-119</t>
  </si>
  <si>
    <t>Cast Iron Straight Edges Exp</t>
  </si>
  <si>
    <t>VETT-08-120</t>
  </si>
  <si>
    <t>Cast Iron Straight Edges Exp 
Luthra Precision 2000mm</t>
  </si>
  <si>
    <t>VETT-08-121</t>
  </si>
  <si>
    <t>Gate Valve 1"-800CS</t>
  </si>
  <si>
    <t>VEFS-13-112</t>
  </si>
  <si>
    <t>Plasma Cutting Nozzle - 1/16</t>
  </si>
  <si>
    <t>VEFS-06-042</t>
  </si>
  <si>
    <t>Plasma Cutting Nozzle - 3/64</t>
  </si>
  <si>
    <t>VEFS-06-043</t>
  </si>
  <si>
    <t>Plasma Cutting Nozzle - 5/64</t>
  </si>
  <si>
    <t>VEFS-06-044</t>
  </si>
  <si>
    <t>Plasma Contents 220977(30A-105A)</t>
  </si>
  <si>
    <t>VEFS-06-045</t>
  </si>
  <si>
    <t>Plasma Contents Retaining Cap 220977(30A-125A)</t>
  </si>
  <si>
    <t>VEFS-06-046</t>
  </si>
  <si>
    <t>Plasma Contents Swirl Ring 2209997(30A-125A)</t>
  </si>
  <si>
    <t>VEFS-06-047</t>
  </si>
  <si>
    <t>Plasma Contents Nozzle 220975(105A-125A)</t>
  </si>
  <si>
    <t>VEFS-06-048</t>
  </si>
  <si>
    <t>Plasma Contents Nozzle 420169 (65A)</t>
  </si>
  <si>
    <t>VEFS-06-049</t>
  </si>
  <si>
    <t>Plasma Contents Electrode 220971 (30A-125A)</t>
  </si>
  <si>
    <t>VEFS-06-050</t>
  </si>
  <si>
    <t>Plasma Contents Shield 420168 (45A-65A)</t>
  </si>
  <si>
    <t>VEFS-06-051</t>
  </si>
  <si>
    <t>Plasma Contents Shield 220975 (105A-125A)</t>
  </si>
  <si>
    <t>VEFS-06-052</t>
  </si>
  <si>
    <t>Plasma Contents Nozzle 220975(125A)</t>
  </si>
  <si>
    <t>VEFS-06-053</t>
  </si>
  <si>
    <t>Armature For Drill M/C KBM-38</t>
  </si>
  <si>
    <t>VEFS-09-093</t>
  </si>
  <si>
    <t>Armature For Drill M/C KBM-50-2</t>
  </si>
  <si>
    <t>VEFS-09-094</t>
  </si>
  <si>
    <t xml:space="preserve">HS Grub Screw M10 x 8 </t>
  </si>
  <si>
    <t>VEFS-09-095</t>
  </si>
  <si>
    <t>HS Grub Screw M10 x 6</t>
  </si>
  <si>
    <t>VEFS-09-096</t>
  </si>
  <si>
    <t>Hyundai</t>
  </si>
  <si>
    <t>Payment Voucher Book</t>
  </si>
  <si>
    <t>VEFS-15-098</t>
  </si>
  <si>
    <t>Material Issue Book</t>
  </si>
  <si>
    <t>VEFS-15-099</t>
  </si>
  <si>
    <t>Cardless wrench 21x350 NM With Battery And Charger</t>
  </si>
  <si>
    <t>VETT-03-276</t>
  </si>
  <si>
    <t>Torque WRENCH 50 TO 225 NM</t>
  </si>
  <si>
    <t>VETT-03-277</t>
  </si>
  <si>
    <t>Torque WRENCH 25 - 135 NM</t>
  </si>
  <si>
    <t>VETT-03-278</t>
  </si>
  <si>
    <t>Torque WRENCH 50 To 250 NM</t>
  </si>
  <si>
    <t>VETT-03-279</t>
  </si>
  <si>
    <t>Torque WRENCH 135 To 675 NM</t>
  </si>
  <si>
    <t>VETT-03-280</t>
  </si>
  <si>
    <t>Torque WRENCH 14 To 68 NM</t>
  </si>
  <si>
    <t>VETT-03-281</t>
  </si>
  <si>
    <t>Torque WRENCH 30 - 150 NM</t>
  </si>
  <si>
    <t>VETT-03-282</t>
  </si>
  <si>
    <t>Pipe Wrench - 24"</t>
  </si>
  <si>
    <t>VETT-03-283</t>
  </si>
  <si>
    <t>Pipe Wrench - 18"</t>
  </si>
  <si>
    <t>VETT-03-284</t>
  </si>
  <si>
    <t>Pipe Wrench - 12"</t>
  </si>
  <si>
    <t>VETT-03-285</t>
  </si>
  <si>
    <t>Pipe Wrench - 36"</t>
  </si>
  <si>
    <t>VETT-03-286</t>
  </si>
  <si>
    <t>Pipe Wrench - 10"</t>
  </si>
  <si>
    <t>VETT-03-287</t>
  </si>
  <si>
    <t>Spanner Ring 113/36</t>
  </si>
  <si>
    <t>VETT-03-288</t>
  </si>
  <si>
    <t>Spanner D - 70</t>
  </si>
  <si>
    <t>VETT-03-289</t>
  </si>
  <si>
    <t>Spanner Ring &amp; D - 41</t>
  </si>
  <si>
    <t>VETT-03-290</t>
  </si>
  <si>
    <t>Spanner Ring &amp; D - 25</t>
  </si>
  <si>
    <t>VETT-03-291</t>
  </si>
  <si>
    <t>Spanner Ring &amp; D - 30</t>
  </si>
  <si>
    <t>VETT-03-292</t>
  </si>
  <si>
    <t>Spanner Ring &amp; D - 23</t>
  </si>
  <si>
    <t>VETT-03-293</t>
  </si>
  <si>
    <t>Spanner Ring &amp; D - 65</t>
  </si>
  <si>
    <t>VETT-03-294</t>
  </si>
  <si>
    <t>ADJUSTABLE WRENCH 18"</t>
  </si>
  <si>
    <t>VETT-03-295</t>
  </si>
  <si>
    <t>Malti Meter</t>
  </si>
  <si>
    <t>VETT-08-122</t>
  </si>
  <si>
    <t>Stailess Steel Marker (SS)</t>
  </si>
  <si>
    <t>VETT-03-296</t>
  </si>
  <si>
    <t>Calculator Big (old)</t>
  </si>
  <si>
    <t>VETT-03-297</t>
  </si>
  <si>
    <t>Heater For Gas Line</t>
  </si>
  <si>
    <t>VEFS-13-113</t>
  </si>
  <si>
    <t>AC Remote</t>
  </si>
  <si>
    <t>VEFS-13-114</t>
  </si>
  <si>
    <t>Oxygen Valve</t>
  </si>
  <si>
    <t>VEFS-06-054</t>
  </si>
  <si>
    <t>CO2 Valve</t>
  </si>
  <si>
    <t>VEFS-06-055</t>
  </si>
  <si>
    <t>Transmission Rubber Belt</t>
  </si>
  <si>
    <t>VEFS-12-018</t>
  </si>
  <si>
    <t>Wireless Router (Net)</t>
  </si>
  <si>
    <t>VEFS-12-019</t>
  </si>
  <si>
    <t>Stamp VEPL (Sikka)</t>
  </si>
  <si>
    <t>VEFS-15-100</t>
  </si>
  <si>
    <t>Thirumalai</t>
  </si>
  <si>
    <t>Dispatch Thirumalai</t>
  </si>
  <si>
    <t>Torch (Chargeble)</t>
  </si>
  <si>
    <t>VETT-03-298</t>
  </si>
  <si>
    <t>Consumable Issue Book</t>
  </si>
  <si>
    <t>VEFS-15-101</t>
  </si>
  <si>
    <t>Half Round File CS</t>
  </si>
  <si>
    <t>VETT-03-299</t>
  </si>
  <si>
    <t>Flate File Cs</t>
  </si>
  <si>
    <t>VETT-03-300</t>
  </si>
  <si>
    <t>Hose Pipe 4500 PSI For Hydra</t>
  </si>
  <si>
    <t>VETT-02-055</t>
  </si>
  <si>
    <t>Locker-3</t>
  </si>
  <si>
    <t>Taparia Socket Set 22</t>
  </si>
  <si>
    <t>VETT-05-053</t>
  </si>
  <si>
    <t>D Shackle 1Ton</t>
  </si>
  <si>
    <t>VETT-05-054</t>
  </si>
  <si>
    <t>D Shackle 2 Ton</t>
  </si>
  <si>
    <t>VETT-05-055</t>
  </si>
  <si>
    <t>Bottom Jack 5Ton</t>
  </si>
  <si>
    <t>VETT-05-056</t>
  </si>
  <si>
    <t>Copline 1.5"</t>
  </si>
  <si>
    <t>VETT-05-057</t>
  </si>
  <si>
    <t xml:space="preserve">Plastic Folder  </t>
  </si>
  <si>
    <t>VEFS-15-102</t>
  </si>
  <si>
    <t>Welder Card</t>
  </si>
  <si>
    <t>VEFS-15-103</t>
  </si>
  <si>
    <t>Brass Hammer</t>
  </si>
  <si>
    <t>VETT-03-301</t>
  </si>
  <si>
    <t xml:space="preserve">Tapper Drill Bit </t>
  </si>
  <si>
    <t>VETT-06-088</t>
  </si>
  <si>
    <t>Welding Goggle</t>
  </si>
  <si>
    <t>VEFS-22-069</t>
  </si>
  <si>
    <t>Paint Roller</t>
  </si>
  <si>
    <t>VETT-03-302</t>
  </si>
  <si>
    <t>Crane 5Ton Nut &amp; Bolt</t>
  </si>
  <si>
    <t>VETT-08-123</t>
  </si>
  <si>
    <t>Pressure Gauge - 700Kg</t>
  </si>
  <si>
    <t>VETT-08-124</t>
  </si>
  <si>
    <t xml:space="preserve">Crimping Tools </t>
  </si>
  <si>
    <t>VETT-08-125</t>
  </si>
  <si>
    <t>PVC Torch</t>
  </si>
  <si>
    <t>VETT-03-303</t>
  </si>
  <si>
    <t>Charger Makita (Cardless M/C)</t>
  </si>
  <si>
    <t>VETT-04-091</t>
  </si>
  <si>
    <t>TORCH</t>
  </si>
  <si>
    <t>VETT-04-092</t>
  </si>
  <si>
    <t xml:space="preserve">Portable Oven </t>
  </si>
  <si>
    <t>305</t>
  </si>
  <si>
    <t>VEAS-03-305</t>
  </si>
  <si>
    <t>007/23/24</t>
  </si>
  <si>
    <t>Core Cut Drill Machine</t>
  </si>
  <si>
    <t>306</t>
  </si>
  <si>
    <t>VEAS-03-306</t>
  </si>
  <si>
    <t>Plasma Nozzle</t>
  </si>
  <si>
    <t>VEFS-06-056</t>
  </si>
  <si>
    <t>Plasma Electrode</t>
  </si>
  <si>
    <t>VEFS-06-057</t>
  </si>
  <si>
    <t>receive from nayara</t>
  </si>
  <si>
    <t>Toner (Ricco)</t>
  </si>
  <si>
    <t>VEAS-05-019</t>
  </si>
  <si>
    <t>Plasma Cutting Nozzle Electrode</t>
  </si>
  <si>
    <t>VEFS-06-058</t>
  </si>
  <si>
    <t>Spanner D 19x22</t>
  </si>
  <si>
    <t>VETT-03-304</t>
  </si>
  <si>
    <t>Spanner Ring &amp; D 1/2"</t>
  </si>
  <si>
    <t>VETT-03-305</t>
  </si>
  <si>
    <t>Spanner Ring &amp; D 22</t>
  </si>
  <si>
    <t>VETT-03-306</t>
  </si>
  <si>
    <t>Scaffolding T-Bolt</t>
  </si>
  <si>
    <t>VETT-07-036</t>
  </si>
  <si>
    <t>2000</t>
  </si>
  <si>
    <t xml:space="preserve">Vrishal Engineering Pvt Ltd </t>
  </si>
  <si>
    <t>VEPL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</si>
</sst>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lgerian"/>
      <family val="5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Algerian"/>
      <family val="5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143">
    <xf numFmtId="0" fontId="0" fillId="0" borderId="0" xfId="0"/>
    <xf numFmtId="0" fontId="0" fillId="0" borderId="0" xfId="0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7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49" fontId="10" fillId="0" borderId="4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8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center" vertical="center" wrapText="1"/>
    </xf>
    <xf numFmtId="49" fontId="15" fillId="0" borderId="4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164" fontId="9" fillId="0" borderId="4" xfId="0" applyNumberFormat="1" applyFont="1" applyFill="1" applyBorder="1" applyAlignment="1">
      <alignment horizontal="left" vertical="center" wrapText="1"/>
    </xf>
    <xf numFmtId="164" fontId="9" fillId="0" borderId="4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6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center" vertical="center"/>
    </xf>
    <xf numFmtId="49" fontId="19" fillId="0" borderId="4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 wrapText="1"/>
    </xf>
    <xf numFmtId="49" fontId="16" fillId="0" borderId="4" xfId="0" applyNumberFormat="1" applyFont="1" applyFill="1" applyBorder="1" applyAlignment="1">
      <alignment horizontal="center" vertical="center"/>
    </xf>
    <xf numFmtId="49" fontId="16" fillId="0" borderId="4" xfId="0" applyNumberFormat="1" applyFont="1" applyFill="1" applyBorder="1" applyAlignment="1">
      <alignment horizontal="left" vertical="center"/>
    </xf>
    <xf numFmtId="49" fontId="7" fillId="0" borderId="4" xfId="0" applyNumberFormat="1" applyFont="1" applyFill="1" applyBorder="1" applyAlignment="1">
      <alignment horizontal="left" vertical="center"/>
    </xf>
    <xf numFmtId="49" fontId="7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wrapText="1"/>
    </xf>
    <xf numFmtId="0" fontId="26" fillId="0" borderId="4" xfId="1" applyFill="1" applyBorder="1" applyAlignment="1">
      <alignment horizontal="center" vertical="center"/>
    </xf>
    <xf numFmtId="49" fontId="26" fillId="0" borderId="4" xfId="1" applyNumberForma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 wrapText="1"/>
    </xf>
    <xf numFmtId="0" fontId="26" fillId="0" borderId="4" xfId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6" fillId="0" borderId="4" xfId="1" applyFill="1" applyBorder="1" applyAlignment="1">
      <alignment horizontal="center" vertical="center" wrapText="1"/>
    </xf>
    <xf numFmtId="0" fontId="26" fillId="0" borderId="4" xfId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16" fillId="0" borderId="4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0" fontId="26" fillId="0" borderId="0" xfId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0" fillId="0" borderId="4" xfId="0" quotePrefix="1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7" fillId="0" borderId="4" xfId="0" applyFont="1" applyFill="1" applyBorder="1" applyAlignment="1">
      <alignment horizontal="left" wrapText="1"/>
    </xf>
    <xf numFmtId="0" fontId="19" fillId="3" borderId="0" xfId="0" applyFont="1" applyFill="1" applyAlignment="1">
      <alignment horizontal="center" vertical="center"/>
    </xf>
    <xf numFmtId="0" fontId="0" fillId="0" borderId="4" xfId="0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9" fillId="0" borderId="5" xfId="0" applyFont="1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27" fillId="0" borderId="4" xfId="0" applyFont="1" applyFill="1" applyBorder="1" applyAlignment="1">
      <alignment horizontal="left" vertical="center" wrapText="1"/>
    </xf>
    <xf numFmtId="49" fontId="28" fillId="0" borderId="4" xfId="0" applyNumberFormat="1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8" fillId="0" borderId="4" xfId="0" applyFont="1" applyFill="1" applyBorder="1" applyAlignment="1">
      <alignment horizontal="left" vertical="center" wrapText="1"/>
    </xf>
    <xf numFmtId="0" fontId="28" fillId="0" borderId="0" xfId="0" applyFont="1" applyFill="1"/>
    <xf numFmtId="0" fontId="3" fillId="0" borderId="2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 wrapText="1"/>
    </xf>
    <xf numFmtId="49" fontId="13" fillId="0" borderId="4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13138</xdr:colOff>
      <xdr:row>4</xdr:row>
      <xdr:rowOff>11685</xdr:rowOff>
    </xdr:from>
    <xdr:to>
      <xdr:col>1</xdr:col>
      <xdr:colOff>2130709</xdr:colOff>
      <xdr:row>12</xdr:row>
      <xdr:rowOff>94237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778" y="1314705"/>
          <a:ext cx="2117571" cy="1545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pane ySplit="4" topLeftCell="A8" activePane="bottomLeft" state="frozen"/>
      <selection pane="bottomLeft" activeCell="F31" sqref="F31"/>
    </sheetView>
  </sheetViews>
  <sheetFormatPr defaultColWidth="9.140625" defaultRowHeight="15" x14ac:dyDescent="0.25"/>
  <cols>
    <col min="1" max="1" width="13.5703125" style="60" bestFit="1" customWidth="1"/>
    <col min="2" max="2" width="33.28515625" style="60" customWidth="1"/>
    <col min="3" max="3" width="17.5703125" style="60" customWidth="1"/>
    <col min="4" max="4" width="15.85546875" style="60" customWidth="1"/>
    <col min="5" max="16384" width="9.140625" style="60"/>
  </cols>
  <sheetData>
    <row r="1" spans="1:6" ht="39.75" thickBot="1" x14ac:dyDescent="0.3">
      <c r="A1" s="123" t="s">
        <v>0</v>
      </c>
      <c r="B1" s="124"/>
      <c r="C1" s="124"/>
      <c r="D1" s="124"/>
      <c r="E1" s="125"/>
    </row>
    <row r="2" spans="1:6" ht="24" thickBot="1" x14ac:dyDescent="0.3">
      <c r="A2" s="126" t="s">
        <v>2190</v>
      </c>
      <c r="B2" s="127"/>
      <c r="C2" s="127"/>
      <c r="D2" s="127"/>
      <c r="E2" s="128"/>
    </row>
    <row r="3" spans="1:6" ht="23.25" x14ac:dyDescent="0.25">
      <c r="A3" s="61" t="s">
        <v>2191</v>
      </c>
      <c r="B3" s="62"/>
      <c r="C3" s="62"/>
      <c r="D3" s="62"/>
    </row>
    <row r="4" spans="1:6" x14ac:dyDescent="0.25">
      <c r="A4" s="60">
        <v>1</v>
      </c>
      <c r="B4" s="63" t="s">
        <v>2192</v>
      </c>
      <c r="C4" s="64"/>
    </row>
    <row r="6" spans="1:6" x14ac:dyDescent="0.25">
      <c r="B6" s="65"/>
      <c r="C6" s="65"/>
      <c r="D6" s="65"/>
      <c r="E6" s="65"/>
    </row>
    <row r="9" spans="1:6" x14ac:dyDescent="0.25">
      <c r="C9" s="66"/>
    </row>
    <row r="10" spans="1:6" x14ac:dyDescent="0.25">
      <c r="C10" s="66"/>
    </row>
    <row r="11" spans="1:6" x14ac:dyDescent="0.25">
      <c r="C11" s="66"/>
    </row>
    <row r="12" spans="1:6" x14ac:dyDescent="0.25">
      <c r="C12" s="66"/>
    </row>
    <row r="13" spans="1:6" x14ac:dyDescent="0.25">
      <c r="C13" s="66"/>
      <c r="E13" s="66"/>
      <c r="F13" s="67"/>
    </row>
    <row r="14" spans="1:6" x14ac:dyDescent="0.25">
      <c r="B14" s="63" t="s">
        <v>2193</v>
      </c>
      <c r="C14" s="66"/>
      <c r="E14" s="66"/>
      <c r="F14" s="67"/>
    </row>
    <row r="15" spans="1:6" x14ac:dyDescent="0.25">
      <c r="B15" s="68" t="s">
        <v>2194</v>
      </c>
    </row>
    <row r="16" spans="1:6" x14ac:dyDescent="0.25">
      <c r="A16" s="60">
        <v>2</v>
      </c>
      <c r="B16" s="63" t="s">
        <v>2195</v>
      </c>
    </row>
    <row r="18" spans="1:3" x14ac:dyDescent="0.25">
      <c r="A18" s="130" t="s">
        <v>2196</v>
      </c>
      <c r="B18" s="130"/>
      <c r="C18" s="69"/>
    </row>
    <row r="19" spans="1:3" x14ac:dyDescent="0.25">
      <c r="A19" s="70" t="s">
        <v>2197</v>
      </c>
      <c r="B19" s="70" t="s">
        <v>2198</v>
      </c>
      <c r="C19" s="70" t="s">
        <v>2199</v>
      </c>
    </row>
    <row r="20" spans="1:3" x14ac:dyDescent="0.25">
      <c r="A20" s="71">
        <v>1</v>
      </c>
      <c r="B20" s="71" t="s">
        <v>2200</v>
      </c>
      <c r="C20" s="71" t="s">
        <v>2201</v>
      </c>
    </row>
    <row r="21" spans="1:3" x14ac:dyDescent="0.25">
      <c r="A21" s="71">
        <v>2</v>
      </c>
      <c r="B21" s="71" t="s">
        <v>4643</v>
      </c>
      <c r="C21" s="71" t="s">
        <v>4644</v>
      </c>
    </row>
    <row r="22" spans="1:3" x14ac:dyDescent="0.25">
      <c r="A22" s="69"/>
      <c r="B22" s="69"/>
      <c r="C22" s="69"/>
    </row>
    <row r="23" spans="1:3" x14ac:dyDescent="0.25">
      <c r="A23" s="130" t="s">
        <v>2202</v>
      </c>
      <c r="B23" s="130"/>
    </row>
    <row r="24" spans="1:3" x14ac:dyDescent="0.25">
      <c r="A24" s="70" t="s">
        <v>2203</v>
      </c>
      <c r="B24" s="70" t="s">
        <v>2204</v>
      </c>
      <c r="C24" s="70" t="s">
        <v>2205</v>
      </c>
    </row>
    <row r="25" spans="1:3" x14ac:dyDescent="0.25">
      <c r="A25" s="71">
        <v>1</v>
      </c>
      <c r="B25" s="71" t="s">
        <v>2206</v>
      </c>
      <c r="C25" s="71" t="s">
        <v>2207</v>
      </c>
    </row>
    <row r="26" spans="1:3" x14ac:dyDescent="0.25">
      <c r="A26" s="71">
        <v>2</v>
      </c>
      <c r="B26" s="71" t="s">
        <v>2208</v>
      </c>
      <c r="C26" s="71" t="s">
        <v>2209</v>
      </c>
    </row>
    <row r="27" spans="1:3" x14ac:dyDescent="0.25">
      <c r="A27" s="71">
        <v>3</v>
      </c>
      <c r="B27" s="71" t="s">
        <v>2210</v>
      </c>
      <c r="C27" s="71" t="s">
        <v>2211</v>
      </c>
    </row>
    <row r="30" spans="1:3" x14ac:dyDescent="0.25">
      <c r="A30" s="131" t="s">
        <v>2212</v>
      </c>
      <c r="B30" s="131"/>
    </row>
    <row r="31" spans="1:3" x14ac:dyDescent="0.25">
      <c r="A31" s="129">
        <v>1</v>
      </c>
      <c r="B31" s="129" t="s">
        <v>2213</v>
      </c>
      <c r="C31" s="129"/>
    </row>
    <row r="32" spans="1:3" x14ac:dyDescent="0.25">
      <c r="A32" s="129"/>
      <c r="B32" s="129"/>
      <c r="C32" s="129"/>
    </row>
    <row r="33" spans="1:3" s="69" customFormat="1" ht="15.75" x14ac:dyDescent="0.25">
      <c r="A33" s="3" t="s">
        <v>4</v>
      </c>
      <c r="B33" s="70" t="s">
        <v>2214</v>
      </c>
      <c r="C33" s="70" t="s">
        <v>10</v>
      </c>
    </row>
    <row r="34" spans="1:3" x14ac:dyDescent="0.25">
      <c r="A34" s="72" t="s">
        <v>2215</v>
      </c>
      <c r="B34" s="73" t="s">
        <v>2216</v>
      </c>
      <c r="C34" s="71"/>
    </row>
    <row r="35" spans="1:3" x14ac:dyDescent="0.25">
      <c r="A35" s="72" t="s">
        <v>2217</v>
      </c>
      <c r="B35" s="73" t="s">
        <v>1992</v>
      </c>
      <c r="C35" s="71"/>
    </row>
    <row r="36" spans="1:3" x14ac:dyDescent="0.25">
      <c r="A36" s="72" t="s">
        <v>2218</v>
      </c>
      <c r="B36" s="73" t="s">
        <v>2219</v>
      </c>
      <c r="C36" s="71"/>
    </row>
    <row r="37" spans="1:3" x14ac:dyDescent="0.25">
      <c r="A37" s="72" t="s">
        <v>2220</v>
      </c>
      <c r="B37" s="73" t="s">
        <v>2221</v>
      </c>
      <c r="C37" s="71"/>
    </row>
    <row r="38" spans="1:3" x14ac:dyDescent="0.25">
      <c r="A38" s="72" t="s">
        <v>2222</v>
      </c>
      <c r="B38" s="73" t="s">
        <v>2126</v>
      </c>
      <c r="C38" s="71"/>
    </row>
    <row r="39" spans="1:3" x14ac:dyDescent="0.25">
      <c r="A39" s="72" t="s">
        <v>2223</v>
      </c>
      <c r="B39" s="73" t="s">
        <v>2224</v>
      </c>
      <c r="C39" s="71"/>
    </row>
    <row r="40" spans="1:3" x14ac:dyDescent="0.25">
      <c r="A40" s="72" t="s">
        <v>2225</v>
      </c>
      <c r="B40" s="73" t="s">
        <v>2226</v>
      </c>
      <c r="C40" s="71"/>
    </row>
    <row r="41" spans="1:3" x14ac:dyDescent="0.25">
      <c r="A41" s="72" t="s">
        <v>2227</v>
      </c>
      <c r="B41" s="73" t="s">
        <v>2228</v>
      </c>
      <c r="C41" s="71"/>
    </row>
    <row r="42" spans="1:3" x14ac:dyDescent="0.25">
      <c r="A42" s="72" t="s">
        <v>2229</v>
      </c>
      <c r="B42" s="74" t="s">
        <v>2230</v>
      </c>
      <c r="C42" s="71"/>
    </row>
    <row r="43" spans="1:3" x14ac:dyDescent="0.25">
      <c r="A43" s="72" t="s">
        <v>2231</v>
      </c>
      <c r="B43" s="73" t="s">
        <v>2232</v>
      </c>
      <c r="C43" s="71"/>
    </row>
    <row r="44" spans="1:3" x14ac:dyDescent="0.25">
      <c r="A44" s="72" t="s">
        <v>2233</v>
      </c>
      <c r="B44" s="73" t="s">
        <v>2234</v>
      </c>
      <c r="C44" s="71"/>
    </row>
    <row r="45" spans="1:3" x14ac:dyDescent="0.25">
      <c r="A45" s="75"/>
      <c r="B45" s="76"/>
    </row>
    <row r="46" spans="1:3" x14ac:dyDescent="0.25">
      <c r="A46" s="129">
        <v>2</v>
      </c>
      <c r="B46" s="129" t="s">
        <v>2235</v>
      </c>
      <c r="C46" s="129"/>
    </row>
    <row r="47" spans="1:3" x14ac:dyDescent="0.25">
      <c r="A47" s="129"/>
      <c r="B47" s="129"/>
      <c r="C47" s="129"/>
    </row>
    <row r="48" spans="1:3" s="69" customFormat="1" ht="15.75" x14ac:dyDescent="0.25">
      <c r="A48" s="3" t="s">
        <v>4</v>
      </c>
      <c r="B48" s="70" t="s">
        <v>2214</v>
      </c>
      <c r="C48" s="70" t="s">
        <v>10</v>
      </c>
    </row>
    <row r="49" spans="1:3" x14ac:dyDescent="0.25">
      <c r="A49" s="77" t="s">
        <v>2215</v>
      </c>
      <c r="B49" s="78" t="s">
        <v>2236</v>
      </c>
      <c r="C49" s="79"/>
    </row>
    <row r="50" spans="1:3" x14ac:dyDescent="0.25">
      <c r="A50" s="77" t="s">
        <v>2217</v>
      </c>
      <c r="B50" s="78" t="s">
        <v>353</v>
      </c>
      <c r="C50" s="79"/>
    </row>
    <row r="51" spans="1:3" x14ac:dyDescent="0.25">
      <c r="A51" s="77" t="s">
        <v>2218</v>
      </c>
      <c r="B51" s="78" t="s">
        <v>2237</v>
      </c>
      <c r="C51" s="79"/>
    </row>
    <row r="52" spans="1:3" x14ac:dyDescent="0.25">
      <c r="A52" s="72" t="s">
        <v>2220</v>
      </c>
      <c r="B52" s="80" t="s">
        <v>2238</v>
      </c>
      <c r="C52" s="79"/>
    </row>
    <row r="53" spans="1:3" x14ac:dyDescent="0.25">
      <c r="A53" s="77" t="s">
        <v>2222</v>
      </c>
      <c r="B53" s="80" t="s">
        <v>2239</v>
      </c>
      <c r="C53" s="79"/>
    </row>
    <row r="54" spans="1:3" x14ac:dyDescent="0.25">
      <c r="A54" s="72" t="s">
        <v>2223</v>
      </c>
      <c r="B54" s="80" t="s">
        <v>2240</v>
      </c>
      <c r="C54" s="79"/>
    </row>
    <row r="55" spans="1:3" x14ac:dyDescent="0.25">
      <c r="A55" s="9" t="s">
        <v>2225</v>
      </c>
      <c r="B55" s="81" t="s">
        <v>2241</v>
      </c>
      <c r="C55" s="79"/>
    </row>
    <row r="56" spans="1:3" x14ac:dyDescent="0.25">
      <c r="A56" s="82" t="s">
        <v>2227</v>
      </c>
      <c r="B56" s="73" t="s">
        <v>2242</v>
      </c>
      <c r="C56" s="79"/>
    </row>
    <row r="58" spans="1:3" x14ac:dyDescent="0.25">
      <c r="A58" s="129">
        <v>3</v>
      </c>
      <c r="B58" s="129" t="s">
        <v>2243</v>
      </c>
      <c r="C58" s="129"/>
    </row>
    <row r="59" spans="1:3" x14ac:dyDescent="0.25">
      <c r="A59" s="129"/>
      <c r="B59" s="129"/>
      <c r="C59" s="129"/>
    </row>
    <row r="60" spans="1:3" s="69" customFormat="1" ht="15.75" x14ac:dyDescent="0.25">
      <c r="A60" s="3" t="s">
        <v>4</v>
      </c>
      <c r="B60" s="70" t="s">
        <v>2214</v>
      </c>
      <c r="C60" s="70" t="s">
        <v>10</v>
      </c>
    </row>
    <row r="61" spans="1:3" x14ac:dyDescent="0.25">
      <c r="A61" s="83" t="s">
        <v>2215</v>
      </c>
      <c r="B61" s="80" t="s">
        <v>2244</v>
      </c>
      <c r="C61" s="79"/>
    </row>
    <row r="62" spans="1:3" x14ac:dyDescent="0.25">
      <c r="A62" s="84" t="s">
        <v>2217</v>
      </c>
      <c r="B62" s="80" t="s">
        <v>48</v>
      </c>
      <c r="C62" s="79"/>
    </row>
    <row r="63" spans="1:3" x14ac:dyDescent="0.25">
      <c r="A63" s="84" t="s">
        <v>2218</v>
      </c>
      <c r="B63" s="80" t="s">
        <v>2245</v>
      </c>
      <c r="C63" s="79"/>
    </row>
    <row r="64" spans="1:3" x14ac:dyDescent="0.25">
      <c r="A64" s="84" t="s">
        <v>2220</v>
      </c>
      <c r="B64" s="80" t="s">
        <v>125</v>
      </c>
      <c r="C64" s="79"/>
    </row>
    <row r="65" spans="1:3" x14ac:dyDescent="0.25">
      <c r="A65" s="83" t="s">
        <v>2222</v>
      </c>
      <c r="B65" s="80" t="s">
        <v>2246</v>
      </c>
      <c r="C65" s="79"/>
    </row>
    <row r="66" spans="1:3" x14ac:dyDescent="0.25">
      <c r="A66" s="84" t="s">
        <v>2223</v>
      </c>
      <c r="B66" s="80" t="s">
        <v>2247</v>
      </c>
      <c r="C66" s="79"/>
    </row>
    <row r="67" spans="1:3" x14ac:dyDescent="0.25">
      <c r="A67" s="84" t="s">
        <v>2225</v>
      </c>
      <c r="B67" s="80" t="s">
        <v>2236</v>
      </c>
      <c r="C67" s="79"/>
    </row>
    <row r="68" spans="1:3" x14ac:dyDescent="0.25">
      <c r="A68" s="84" t="s">
        <v>2227</v>
      </c>
      <c r="B68" s="80" t="s">
        <v>2248</v>
      </c>
      <c r="C68" s="79"/>
    </row>
    <row r="69" spans="1:3" x14ac:dyDescent="0.25">
      <c r="A69" s="83" t="s">
        <v>2229</v>
      </c>
      <c r="B69" s="80" t="s">
        <v>2249</v>
      </c>
      <c r="C69" s="79"/>
    </row>
    <row r="70" spans="1:3" x14ac:dyDescent="0.25">
      <c r="A70" s="84" t="s">
        <v>2231</v>
      </c>
      <c r="B70" s="80" t="s">
        <v>2250</v>
      </c>
      <c r="C70" s="79"/>
    </row>
    <row r="71" spans="1:3" x14ac:dyDescent="0.25">
      <c r="A71" s="84" t="s">
        <v>2233</v>
      </c>
      <c r="B71" s="80" t="s">
        <v>2251</v>
      </c>
      <c r="C71" s="79"/>
    </row>
    <row r="72" spans="1:3" ht="30" x14ac:dyDescent="0.25">
      <c r="A72" s="84" t="s">
        <v>2252</v>
      </c>
      <c r="B72" s="80" t="s">
        <v>2253</v>
      </c>
      <c r="C72" s="79"/>
    </row>
    <row r="73" spans="1:3" x14ac:dyDescent="0.25">
      <c r="A73" s="83" t="s">
        <v>2254</v>
      </c>
      <c r="B73" s="85" t="s">
        <v>2255</v>
      </c>
      <c r="C73" s="79"/>
    </row>
    <row r="74" spans="1:3" x14ac:dyDescent="0.25">
      <c r="A74" s="84" t="s">
        <v>2256</v>
      </c>
      <c r="B74" s="80" t="s">
        <v>802</v>
      </c>
      <c r="C74" s="79"/>
    </row>
    <row r="75" spans="1:3" x14ac:dyDescent="0.25">
      <c r="A75" s="84" t="s">
        <v>2257</v>
      </c>
      <c r="B75" s="80" t="s">
        <v>2258</v>
      </c>
      <c r="C75" s="79"/>
    </row>
    <row r="76" spans="1:3" x14ac:dyDescent="0.25">
      <c r="A76" s="84" t="s">
        <v>2259</v>
      </c>
      <c r="B76" s="80" t="s">
        <v>2260</v>
      </c>
      <c r="C76" s="79"/>
    </row>
    <row r="77" spans="1:3" x14ac:dyDescent="0.25">
      <c r="A77" s="83" t="s">
        <v>2261</v>
      </c>
      <c r="B77" s="80" t="s">
        <v>2262</v>
      </c>
      <c r="C77" s="79"/>
    </row>
    <row r="78" spans="1:3" x14ac:dyDescent="0.25">
      <c r="A78" s="84" t="s">
        <v>2263</v>
      </c>
      <c r="B78" s="80" t="s">
        <v>2264</v>
      </c>
      <c r="C78" s="79"/>
    </row>
    <row r="79" spans="1:3" x14ac:dyDescent="0.25">
      <c r="A79" s="84" t="s">
        <v>2265</v>
      </c>
      <c r="B79" s="80" t="s">
        <v>2266</v>
      </c>
      <c r="C79" s="79"/>
    </row>
    <row r="80" spans="1:3" x14ac:dyDescent="0.25">
      <c r="A80" s="84" t="s">
        <v>2267</v>
      </c>
      <c r="B80" s="80" t="s">
        <v>2268</v>
      </c>
      <c r="C80" s="79"/>
    </row>
    <row r="81" spans="1:3" x14ac:dyDescent="0.25">
      <c r="A81" s="83" t="s">
        <v>2269</v>
      </c>
      <c r="B81" s="73" t="s">
        <v>2270</v>
      </c>
      <c r="C81" s="79"/>
    </row>
    <row r="82" spans="1:3" x14ac:dyDescent="0.25">
      <c r="A82" s="84" t="s">
        <v>2271</v>
      </c>
      <c r="B82" s="78" t="s">
        <v>2272</v>
      </c>
      <c r="C82" s="79"/>
    </row>
    <row r="84" spans="1:3" ht="15.75" x14ac:dyDescent="0.25">
      <c r="A84" s="86"/>
    </row>
  </sheetData>
  <mergeCells count="11">
    <mergeCell ref="A1:E1"/>
    <mergeCell ref="A2:E2"/>
    <mergeCell ref="A46:A47"/>
    <mergeCell ref="B46:C47"/>
    <mergeCell ref="A58:A59"/>
    <mergeCell ref="B58:C59"/>
    <mergeCell ref="A18:B18"/>
    <mergeCell ref="A23:B23"/>
    <mergeCell ref="A30:B30"/>
    <mergeCell ref="A31:A32"/>
    <mergeCell ref="B31:C32"/>
  </mergeCells>
  <conditionalFormatting sqref="B4:C4">
    <cfRule type="duplicateValues" dxfId="11" priority="1"/>
    <cfRule type="duplicateValues" dxfId="10" priority="2"/>
    <cfRule type="duplicateValues" dxfId="9" priority="3"/>
  </conditionalFormatting>
  <hyperlinks>
    <hyperlink ref="B42" location="Asset!B103" display="CANTEEN FACILITY " xr:uid="{00000000-0004-0000-0000-000000000000}"/>
    <hyperlink ref="B43" location="Asset!B106" display="VEHICLES " xr:uid="{00000000-0004-0000-0000-000001000000}"/>
    <hyperlink ref="B44" location="Asset!B107" display="BICYCLE " xr:uid="{00000000-0004-0000-0000-000002000000}"/>
    <hyperlink ref="B49" location="'Tools &amp; Tackles'!B4" display="GAS CUTTING ACCESSORIES " xr:uid="{00000000-0004-0000-0000-000003000000}"/>
    <hyperlink ref="B50" location="'Tools &amp; Tackles'!B27" display="WELDING ACCESSORIES" xr:uid="{00000000-0004-0000-0000-000004000000}"/>
    <hyperlink ref="B51" location="'Tools &amp; Tackles'!B52" display="GENERAL &amp; MISC TOOLS " xr:uid="{00000000-0004-0000-0000-000005000000}"/>
    <hyperlink ref="B52" location="'Tools &amp; Tackles'!B133" display="ELECTRICAL ITEM " xr:uid="{00000000-0004-0000-0000-000006000000}"/>
    <hyperlink ref="B53" location="'Tools &amp; Tackles'!B207" display="LIFTING TOOLS " xr:uid="{00000000-0004-0000-0000-000007000000}"/>
    <hyperlink ref="B54" location="'Tools &amp; Tackles'!B237" display="DRILLING ACCESSORIES " xr:uid="{00000000-0004-0000-0000-000008000000}"/>
    <hyperlink ref="B55" location="'Tools &amp; Tackles'!B243" display="Scaffolding " xr:uid="{00000000-0004-0000-0000-000009000000}"/>
    <hyperlink ref="B61" location="FOS!B4" display="CUTTING WHEEL " xr:uid="{00000000-0004-0000-0000-00000A000000}"/>
    <hyperlink ref="B62" location="FOS!B14" display="GRINDING WHEEL" xr:uid="{00000000-0004-0000-0000-00000B000000}"/>
    <hyperlink ref="B63" location="FOS!B32" display="WELDING ELECTRODE " xr:uid="{00000000-0004-0000-0000-00000C000000}"/>
    <hyperlink ref="B65" location="FOS!B60" display="GAS " xr:uid="{00000000-0004-0000-0000-00000D000000}"/>
    <hyperlink ref="B66" location="FOS!B67" display="FUEL &amp; LUB " xr:uid="{00000000-0004-0000-0000-00000E000000}"/>
    <hyperlink ref="B67" location="FOS!B80" display="GAS CUTTING ACCESSORIES " xr:uid="{00000000-0004-0000-0000-00000F000000}"/>
    <hyperlink ref="B68" location="FOS!B111" display="FITUP ACCESSORIES " xr:uid="{00000000-0004-0000-0000-000010000000}"/>
    <hyperlink ref="B69" location="FOS!B121" display="GRINDING/DRILLING ACCESSORIES " xr:uid="{00000000-0004-0000-0000-000011000000}"/>
    <hyperlink ref="B70" location="FOS!B155" display="WELDING ACCESSORIES " xr:uid="{00000000-0004-0000-0000-000012000000}"/>
    <hyperlink ref="B71" location="FOS!B226" display="GENERAL &amp; MISC " xr:uid="{00000000-0004-0000-0000-000013000000}"/>
    <hyperlink ref="B72" location="FOS!B250" display="GENERAL &amp; MISC TOOLS CONSUMABLE " xr:uid="{00000000-0004-0000-0000-000014000000}"/>
    <hyperlink ref="B74" location="FOS!B335" display="PAINTING  CONSUMABLE ITEMS" xr:uid="{00000000-0004-0000-0000-000015000000}"/>
    <hyperlink ref="B75" location="FOS!B345" display="STATIONARY " xr:uid="{00000000-0004-0000-0000-000016000000}"/>
    <hyperlink ref="B76" location="FOS!B399" display="CARPENTRY ITEMS " xr:uid="{00000000-0004-0000-0000-000017000000}"/>
    <hyperlink ref="B77" location="FOS!B401" display="PLUMBIBG &amp; SANITARY ITEMS " xr:uid="{00000000-0004-0000-0000-000018000000}"/>
    <hyperlink ref="B78" location="FOS!B402" display="CIVIL &amp; CONSTRUCTION MATERIALS " xr:uid="{00000000-0004-0000-0000-000019000000}"/>
    <hyperlink ref="B79" location="FOS!B403" display="FIRST AID BOX KIT " xr:uid="{00000000-0004-0000-0000-00001A000000}"/>
    <hyperlink ref="B80" location="FOS!B418" display="BLASTING &amp; PAINTING " xr:uid="{00000000-0004-0000-0000-00001B000000}"/>
    <hyperlink ref="B81" location="FOS!B429" display="FASTENERS " xr:uid="{00000000-0004-0000-0000-00001C000000}"/>
    <hyperlink ref="B73" location="FOS!B260" display="ELECTRICAL CONSUMABLE " xr:uid="{00000000-0004-0000-0000-00001D000000}"/>
    <hyperlink ref="B36" location="Asset!B28" display="EQUIPMENT " xr:uid="{00000000-0004-0000-0000-00001E000000}"/>
    <hyperlink ref="B56" location="'Tools &amp; Tackles'!A266" display="Quality Instruments" xr:uid="{00000000-0004-0000-0000-00001F000000}"/>
    <hyperlink ref="B82" location="FOS!B430" display="PPE " xr:uid="{00000000-0004-0000-0000-000020000000}"/>
    <hyperlink ref="B34" location="Asset!B4" display="CONTAINER OFFICES " xr:uid="{00000000-0004-0000-0000-000021000000}"/>
    <hyperlink ref="B35" location="Asset!B11" display="OFFICE OPERATING ITEMS" xr:uid="{00000000-0004-0000-0000-000022000000}"/>
    <hyperlink ref="B37" location="Asset!B68" display="MATERIAL HANDLING EQUIPMENT " xr:uid="{00000000-0004-0000-0000-000023000000}"/>
    <hyperlink ref="B38" location="Asset!B75" display="COMPUTER SYSTEM (IT)" xr:uid="{00000000-0004-0000-0000-000024000000}"/>
    <hyperlink ref="B39" location="Asset!B89" display="DIESEL POWER GENERATOR " xr:uid="{00000000-0004-0000-0000-000025000000}"/>
    <hyperlink ref="B40" location="Asset!B90" display="AIR CONDITIONERS " xr:uid="{00000000-0004-0000-0000-000026000000}"/>
    <hyperlink ref="B41" location="Asset!B91" display="ACCOMODATION " xr:uid="{00000000-0004-0000-0000-000027000000}"/>
    <hyperlink ref="B64" location="FOS!B48" display="FILLER WIRE" xr:uid="{00000000-0004-0000-0000-00002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2"/>
  <sheetViews>
    <sheetView zoomScale="85" zoomScaleNormal="85" workbookViewId="0">
      <pane ySplit="4" topLeftCell="A708" activePane="bottomLeft" state="frozen"/>
      <selection pane="bottomLeft" activeCell="B717" sqref="B717"/>
    </sheetView>
  </sheetViews>
  <sheetFormatPr defaultColWidth="9.140625" defaultRowHeight="15" x14ac:dyDescent="0.25"/>
  <cols>
    <col min="1" max="1" width="15.140625" style="33" bestFit="1" customWidth="1"/>
    <col min="2" max="2" width="44.140625" style="23" bestFit="1" customWidth="1"/>
    <col min="3" max="3" width="14.28515625" style="1" bestFit="1" customWidth="1"/>
    <col min="4" max="4" width="13.7109375" style="50" customWidth="1"/>
    <col min="5" max="7" width="17" style="50" customWidth="1"/>
    <col min="8" max="9" width="14.28515625" style="1" customWidth="1"/>
    <col min="10" max="10" width="16.85546875" style="1" customWidth="1"/>
    <col min="11" max="13" width="9.140625" style="5"/>
    <col min="14" max="16384" width="9.140625" style="1"/>
  </cols>
  <sheetData>
    <row r="1" spans="1:13" ht="28.5" x14ac:dyDescent="0.2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4"/>
      <c r="K1" s="1"/>
      <c r="L1" s="1"/>
      <c r="M1" s="1"/>
    </row>
    <row r="2" spans="1:13" ht="21" x14ac:dyDescent="0.25">
      <c r="A2" s="135" t="s">
        <v>1</v>
      </c>
      <c r="B2" s="136"/>
      <c r="C2" s="136"/>
      <c r="D2" s="136"/>
      <c r="E2" s="136"/>
      <c r="F2" s="136"/>
      <c r="G2" s="136"/>
      <c r="H2" s="136"/>
      <c r="I2" s="136"/>
      <c r="J2" s="137"/>
      <c r="K2" s="1"/>
      <c r="L2" s="1"/>
      <c r="M2" s="1"/>
    </row>
    <row r="3" spans="1:13" ht="21" x14ac:dyDescent="0.25">
      <c r="A3" s="138" t="s">
        <v>2</v>
      </c>
      <c r="B3" s="139"/>
      <c r="C3" s="118"/>
      <c r="D3" s="118"/>
      <c r="E3" s="118"/>
      <c r="F3" s="118"/>
      <c r="G3" s="118"/>
      <c r="H3" s="136" t="s">
        <v>3</v>
      </c>
      <c r="I3" s="136"/>
      <c r="J3" s="137"/>
      <c r="K3" s="1"/>
      <c r="L3" s="1"/>
      <c r="M3" s="1"/>
    </row>
    <row r="4" spans="1:13" ht="15.75" x14ac:dyDescent="0.25">
      <c r="A4" s="3" t="s">
        <v>4</v>
      </c>
      <c r="B4" s="3" t="s">
        <v>5</v>
      </c>
      <c r="C4" s="3" t="s">
        <v>6</v>
      </c>
      <c r="D4" s="4" t="s">
        <v>7</v>
      </c>
      <c r="E4" s="4" t="s">
        <v>8</v>
      </c>
      <c r="F4" s="4" t="s">
        <v>2275</v>
      </c>
      <c r="G4" s="4" t="s">
        <v>2274</v>
      </c>
      <c r="H4" s="4" t="s">
        <v>9</v>
      </c>
      <c r="I4" s="4" t="s">
        <v>2273</v>
      </c>
      <c r="J4" s="3" t="s">
        <v>10</v>
      </c>
      <c r="K4" s="1"/>
      <c r="L4" s="1"/>
    </row>
    <row r="5" spans="1:13" x14ac:dyDescent="0.25">
      <c r="A5" s="6">
        <v>1</v>
      </c>
      <c r="B5" s="7" t="s">
        <v>11</v>
      </c>
      <c r="C5" s="8" t="s">
        <v>12</v>
      </c>
      <c r="D5" s="9"/>
      <c r="E5" s="9"/>
      <c r="F5" s="9"/>
      <c r="G5" s="9"/>
      <c r="H5" s="10"/>
      <c r="I5" s="10"/>
      <c r="J5" s="10"/>
      <c r="K5" s="1"/>
      <c r="L5" s="1"/>
      <c r="M5" s="1"/>
    </row>
    <row r="6" spans="1:13" x14ac:dyDescent="0.25">
      <c r="A6" s="13"/>
      <c r="B6" s="21" t="s">
        <v>30</v>
      </c>
      <c r="C6" s="14" t="s">
        <v>12</v>
      </c>
      <c r="D6" s="15" t="s">
        <v>14</v>
      </c>
      <c r="E6" s="15" t="s">
        <v>15</v>
      </c>
      <c r="F6" s="15"/>
      <c r="G6" s="15"/>
      <c r="H6" s="16" t="s">
        <v>16</v>
      </c>
      <c r="I6" s="16"/>
      <c r="J6" s="16" t="s">
        <v>17</v>
      </c>
      <c r="K6" s="1"/>
      <c r="L6" s="1"/>
      <c r="M6" s="1"/>
    </row>
    <row r="7" spans="1:13" s="115" customFormat="1" x14ac:dyDescent="0.25">
      <c r="A7" s="114"/>
      <c r="B7" s="116" t="s">
        <v>45</v>
      </c>
      <c r="C7" s="114" t="s">
        <v>12</v>
      </c>
      <c r="D7" s="112" t="s">
        <v>19</v>
      </c>
      <c r="E7" s="112" t="s">
        <v>20</v>
      </c>
      <c r="F7" s="112"/>
      <c r="G7" s="112" t="s">
        <v>2981</v>
      </c>
      <c r="H7" s="113" t="s">
        <v>16</v>
      </c>
      <c r="I7" s="113">
        <v>32</v>
      </c>
      <c r="J7" s="113" t="s">
        <v>17</v>
      </c>
    </row>
    <row r="8" spans="1:13" s="11" customFormat="1" x14ac:dyDescent="0.25">
      <c r="A8" s="13"/>
      <c r="B8" s="21" t="s">
        <v>18</v>
      </c>
      <c r="C8" s="14" t="s">
        <v>12</v>
      </c>
      <c r="D8" s="15" t="s">
        <v>22</v>
      </c>
      <c r="E8" s="15" t="s">
        <v>23</v>
      </c>
      <c r="F8" s="15"/>
      <c r="G8" s="15" t="s">
        <v>2978</v>
      </c>
      <c r="H8" s="16" t="s">
        <v>16</v>
      </c>
      <c r="I8" s="16">
        <v>575</v>
      </c>
      <c r="J8" s="16" t="s">
        <v>17</v>
      </c>
    </row>
    <row r="9" spans="1:13" x14ac:dyDescent="0.25">
      <c r="A9" s="13"/>
      <c r="B9" s="21" t="s">
        <v>33</v>
      </c>
      <c r="C9" s="14" t="s">
        <v>12</v>
      </c>
      <c r="D9" s="112" t="s">
        <v>25</v>
      </c>
      <c r="E9" s="112" t="s">
        <v>26</v>
      </c>
      <c r="F9" s="15"/>
      <c r="G9" s="16" t="s">
        <v>2978</v>
      </c>
      <c r="H9" s="16" t="s">
        <v>16</v>
      </c>
      <c r="I9" s="16">
        <v>500</v>
      </c>
      <c r="J9" s="16" t="s">
        <v>17</v>
      </c>
      <c r="K9" s="1"/>
      <c r="L9" s="1"/>
      <c r="M9" s="1"/>
    </row>
    <row r="10" spans="1:13" x14ac:dyDescent="0.25">
      <c r="A10" s="13"/>
      <c r="B10" s="21" t="s">
        <v>21</v>
      </c>
      <c r="C10" s="14" t="s">
        <v>12</v>
      </c>
      <c r="D10" s="15" t="s">
        <v>28</v>
      </c>
      <c r="E10" s="15" t="s">
        <v>29</v>
      </c>
      <c r="F10" s="15"/>
      <c r="G10" s="16" t="s">
        <v>2980</v>
      </c>
      <c r="H10" s="16" t="s">
        <v>16</v>
      </c>
      <c r="I10" s="16">
        <v>550</v>
      </c>
      <c r="J10" s="16" t="s">
        <v>17</v>
      </c>
      <c r="K10" s="1"/>
      <c r="L10" s="1"/>
      <c r="M10" s="1"/>
    </row>
    <row r="11" spans="1:13" x14ac:dyDescent="0.25">
      <c r="A11" s="13"/>
      <c r="B11" s="21" t="s">
        <v>24</v>
      </c>
      <c r="C11" s="14" t="s">
        <v>12</v>
      </c>
      <c r="D11" s="112" t="s">
        <v>31</v>
      </c>
      <c r="E11" s="112" t="s">
        <v>32</v>
      </c>
      <c r="F11" s="15"/>
      <c r="G11" s="15" t="s">
        <v>2980</v>
      </c>
      <c r="H11" s="16" t="s">
        <v>16</v>
      </c>
      <c r="I11" s="16">
        <v>230</v>
      </c>
      <c r="J11" s="16" t="s">
        <v>17</v>
      </c>
      <c r="K11" s="1"/>
      <c r="L11" s="1"/>
      <c r="M11" s="1"/>
    </row>
    <row r="12" spans="1:13" x14ac:dyDescent="0.25">
      <c r="A12" s="13"/>
      <c r="B12" s="21" t="s">
        <v>39</v>
      </c>
      <c r="C12" s="14" t="s">
        <v>12</v>
      </c>
      <c r="D12" s="15" t="s">
        <v>34</v>
      </c>
      <c r="E12" s="15" t="s">
        <v>35</v>
      </c>
      <c r="F12" s="15"/>
      <c r="G12" s="15" t="s">
        <v>2979</v>
      </c>
      <c r="H12" s="16" t="s">
        <v>16</v>
      </c>
      <c r="I12" s="16">
        <v>80</v>
      </c>
      <c r="J12" s="16" t="s">
        <v>17</v>
      </c>
      <c r="K12" s="1"/>
      <c r="L12" s="1"/>
      <c r="M12" s="1"/>
    </row>
    <row r="13" spans="1:13" x14ac:dyDescent="0.25">
      <c r="A13" s="13"/>
      <c r="B13" s="21" t="s">
        <v>27</v>
      </c>
      <c r="C13" s="14" t="s">
        <v>12</v>
      </c>
      <c r="D13" s="112" t="s">
        <v>37</v>
      </c>
      <c r="E13" s="112" t="s">
        <v>38</v>
      </c>
      <c r="F13" s="15"/>
      <c r="G13" s="15" t="s">
        <v>2970</v>
      </c>
      <c r="H13" s="16" t="s">
        <v>16</v>
      </c>
      <c r="I13" s="16">
        <v>100</v>
      </c>
      <c r="J13" s="16" t="s">
        <v>17</v>
      </c>
      <c r="K13" s="1"/>
      <c r="L13" s="1"/>
      <c r="M13" s="1"/>
    </row>
    <row r="14" spans="1:13" x14ac:dyDescent="0.25">
      <c r="A14" s="13"/>
      <c r="B14" s="21" t="s">
        <v>42</v>
      </c>
      <c r="C14" s="14" t="s">
        <v>12</v>
      </c>
      <c r="D14" s="15" t="s">
        <v>40</v>
      </c>
      <c r="E14" s="15" t="s">
        <v>41</v>
      </c>
      <c r="F14" s="15"/>
      <c r="G14" s="15"/>
      <c r="H14" s="16" t="s">
        <v>16</v>
      </c>
      <c r="I14" s="16"/>
      <c r="J14" s="16" t="s">
        <v>17</v>
      </c>
      <c r="K14" s="1"/>
      <c r="L14" s="1"/>
      <c r="M14" s="1"/>
    </row>
    <row r="15" spans="1:13" x14ac:dyDescent="0.25">
      <c r="A15" s="13"/>
      <c r="B15" s="21" t="s">
        <v>13</v>
      </c>
      <c r="C15" s="14" t="s">
        <v>12</v>
      </c>
      <c r="D15" s="112" t="s">
        <v>43</v>
      </c>
      <c r="E15" s="112" t="s">
        <v>44</v>
      </c>
      <c r="F15" s="15"/>
      <c r="G15" s="15"/>
      <c r="H15" s="16" t="s">
        <v>16</v>
      </c>
      <c r="I15" s="16"/>
      <c r="J15" s="16" t="s">
        <v>17</v>
      </c>
      <c r="K15" s="1"/>
      <c r="L15" s="1"/>
      <c r="M15" s="1"/>
    </row>
    <row r="16" spans="1:13" x14ac:dyDescent="0.25">
      <c r="A16" s="20"/>
      <c r="B16" s="22" t="s">
        <v>3030</v>
      </c>
      <c r="C16" s="14" t="s">
        <v>12</v>
      </c>
      <c r="D16" s="15" t="s">
        <v>46</v>
      </c>
      <c r="E16" s="15" t="s">
        <v>47</v>
      </c>
      <c r="F16" s="15"/>
      <c r="G16" s="15" t="s">
        <v>2813</v>
      </c>
      <c r="H16" s="16" t="s">
        <v>16</v>
      </c>
      <c r="I16" s="16">
        <v>9</v>
      </c>
      <c r="J16" s="16"/>
      <c r="K16" s="1"/>
      <c r="L16" s="1"/>
      <c r="M16" s="1"/>
    </row>
    <row r="17" spans="1:13" x14ac:dyDescent="0.25">
      <c r="A17" s="20"/>
      <c r="B17" s="22" t="s">
        <v>3029</v>
      </c>
      <c r="C17" s="14" t="s">
        <v>12</v>
      </c>
      <c r="D17" s="112" t="s">
        <v>72</v>
      </c>
      <c r="E17" s="112" t="s">
        <v>3845</v>
      </c>
      <c r="F17" s="15"/>
      <c r="G17" s="15" t="s">
        <v>2813</v>
      </c>
      <c r="H17" s="16" t="s">
        <v>16</v>
      </c>
      <c r="I17" s="16">
        <v>9</v>
      </c>
      <c r="J17" s="16"/>
      <c r="K17" s="1"/>
      <c r="L17" s="1"/>
      <c r="M17" s="1"/>
    </row>
    <row r="18" spans="1:13" x14ac:dyDescent="0.25">
      <c r="A18" s="13"/>
      <c r="B18" s="21" t="s">
        <v>36</v>
      </c>
      <c r="C18" s="14" t="s">
        <v>12</v>
      </c>
      <c r="D18" s="15" t="s">
        <v>75</v>
      </c>
      <c r="E18" s="15" t="s">
        <v>3846</v>
      </c>
      <c r="F18" s="15"/>
      <c r="G18" s="15" t="s">
        <v>2804</v>
      </c>
      <c r="H18" s="16" t="s">
        <v>16</v>
      </c>
      <c r="I18" s="16">
        <v>240</v>
      </c>
      <c r="J18" s="16" t="s">
        <v>17</v>
      </c>
      <c r="K18" s="1"/>
      <c r="L18" s="1"/>
      <c r="M18" s="1"/>
    </row>
    <row r="19" spans="1:13" x14ac:dyDescent="0.25">
      <c r="A19" s="20"/>
      <c r="B19" s="22" t="s">
        <v>3027</v>
      </c>
      <c r="C19" s="14" t="s">
        <v>12</v>
      </c>
      <c r="D19" s="112" t="s">
        <v>77</v>
      </c>
      <c r="E19" s="112" t="s">
        <v>3847</v>
      </c>
      <c r="F19" s="15"/>
      <c r="G19" s="15" t="s">
        <v>2813</v>
      </c>
      <c r="H19" s="16" t="s">
        <v>16</v>
      </c>
      <c r="I19" s="16">
        <v>19</v>
      </c>
      <c r="J19" s="16"/>
      <c r="K19" s="1"/>
      <c r="L19" s="1"/>
      <c r="M19" s="1"/>
    </row>
    <row r="20" spans="1:13" s="11" customFormat="1" x14ac:dyDescent="0.25">
      <c r="A20" s="20"/>
      <c r="B20" s="22" t="s">
        <v>3028</v>
      </c>
      <c r="C20" s="14" t="s">
        <v>12</v>
      </c>
      <c r="D20" s="15" t="s">
        <v>80</v>
      </c>
      <c r="E20" s="15" t="s">
        <v>3848</v>
      </c>
      <c r="F20" s="15"/>
      <c r="G20" s="15" t="s">
        <v>2813</v>
      </c>
      <c r="H20" s="16" t="s">
        <v>16</v>
      </c>
      <c r="I20" s="16">
        <v>12</v>
      </c>
      <c r="J20" s="16"/>
    </row>
    <row r="21" spans="1:13" x14ac:dyDescent="0.25">
      <c r="A21" s="8">
        <v>2</v>
      </c>
      <c r="B21" s="7" t="s">
        <v>48</v>
      </c>
      <c r="C21" s="8"/>
      <c r="D21" s="9"/>
      <c r="E21" s="9"/>
      <c r="F21" s="9"/>
      <c r="G21" s="9"/>
      <c r="H21" s="10"/>
      <c r="I21" s="10"/>
      <c r="J21" s="10"/>
      <c r="K21" s="1"/>
      <c r="L21" s="1"/>
      <c r="M21" s="1"/>
    </row>
    <row r="22" spans="1:13" x14ac:dyDescent="0.25">
      <c r="A22" s="20"/>
      <c r="B22" s="21" t="s">
        <v>49</v>
      </c>
      <c r="C22" s="14" t="s">
        <v>12</v>
      </c>
      <c r="D22" s="15" t="s">
        <v>14</v>
      </c>
      <c r="E22" s="15" t="s">
        <v>50</v>
      </c>
      <c r="F22" s="15"/>
      <c r="G22" s="15" t="s">
        <v>2979</v>
      </c>
      <c r="H22" s="16" t="s">
        <v>16</v>
      </c>
      <c r="I22" s="16">
        <v>100</v>
      </c>
      <c r="J22" s="16" t="s">
        <v>17</v>
      </c>
      <c r="K22" s="1"/>
      <c r="L22" s="1"/>
      <c r="M22" s="1"/>
    </row>
    <row r="23" spans="1:13" x14ac:dyDescent="0.25">
      <c r="A23" s="20"/>
      <c r="B23" s="21" t="s">
        <v>57</v>
      </c>
      <c r="C23" s="14" t="s">
        <v>12</v>
      </c>
      <c r="D23" s="15" t="s">
        <v>19</v>
      </c>
      <c r="E23" s="15" t="s">
        <v>52</v>
      </c>
      <c r="F23" s="15"/>
      <c r="G23" s="15" t="s">
        <v>2978</v>
      </c>
      <c r="H23" s="16" t="s">
        <v>16</v>
      </c>
      <c r="I23" s="16">
        <v>375</v>
      </c>
      <c r="J23" s="16" t="s">
        <v>17</v>
      </c>
      <c r="K23" s="1"/>
      <c r="L23" s="1"/>
      <c r="M23" s="1"/>
    </row>
    <row r="24" spans="1:13" x14ac:dyDescent="0.25">
      <c r="A24" s="20"/>
      <c r="B24" s="21" t="s">
        <v>53</v>
      </c>
      <c r="C24" s="14" t="s">
        <v>12</v>
      </c>
      <c r="D24" s="15" t="s">
        <v>22</v>
      </c>
      <c r="E24" s="15" t="s">
        <v>54</v>
      </c>
      <c r="F24" s="15"/>
      <c r="G24" s="15" t="s">
        <v>2979</v>
      </c>
      <c r="H24" s="16" t="s">
        <v>16</v>
      </c>
      <c r="I24" s="16">
        <f>350+69</f>
        <v>419</v>
      </c>
      <c r="J24" s="16" t="s">
        <v>17</v>
      </c>
      <c r="K24" s="1"/>
      <c r="L24" s="1"/>
      <c r="M24" s="1"/>
    </row>
    <row r="25" spans="1:13" x14ac:dyDescent="0.25">
      <c r="A25" s="20"/>
      <c r="B25" s="21" t="s">
        <v>61</v>
      </c>
      <c r="C25" s="14" t="s">
        <v>12</v>
      </c>
      <c r="D25" s="15" t="s">
        <v>25</v>
      </c>
      <c r="E25" s="15" t="s">
        <v>56</v>
      </c>
      <c r="F25" s="15"/>
      <c r="G25" s="15" t="s">
        <v>2979</v>
      </c>
      <c r="H25" s="16" t="s">
        <v>16</v>
      </c>
      <c r="I25" s="16">
        <v>671</v>
      </c>
      <c r="J25" s="16" t="s">
        <v>17</v>
      </c>
      <c r="K25" s="1"/>
      <c r="L25" s="1"/>
      <c r="M25" s="1"/>
    </row>
    <row r="26" spans="1:13" x14ac:dyDescent="0.25">
      <c r="A26" s="20"/>
      <c r="B26" s="21" t="s">
        <v>55</v>
      </c>
      <c r="C26" s="14" t="s">
        <v>12</v>
      </c>
      <c r="D26" s="15" t="s">
        <v>28</v>
      </c>
      <c r="E26" s="15" t="s">
        <v>58</v>
      </c>
      <c r="F26" s="15"/>
      <c r="G26" s="15" t="s">
        <v>2970</v>
      </c>
      <c r="H26" s="16" t="s">
        <v>16</v>
      </c>
      <c r="I26" s="16">
        <v>90</v>
      </c>
      <c r="J26" s="16" t="s">
        <v>17</v>
      </c>
      <c r="K26" s="1"/>
      <c r="L26" s="1"/>
      <c r="M26" s="1"/>
    </row>
    <row r="27" spans="1:13" x14ac:dyDescent="0.25">
      <c r="A27" s="20"/>
      <c r="B27" s="21" t="s">
        <v>63</v>
      </c>
      <c r="C27" s="14" t="s">
        <v>12</v>
      </c>
      <c r="D27" s="15" t="s">
        <v>31</v>
      </c>
      <c r="E27" s="15" t="s">
        <v>60</v>
      </c>
      <c r="F27" s="15"/>
      <c r="G27" s="15"/>
      <c r="H27" s="16" t="s">
        <v>16</v>
      </c>
      <c r="I27" s="16"/>
      <c r="J27" s="16" t="s">
        <v>17</v>
      </c>
      <c r="K27" s="1"/>
      <c r="L27" s="1"/>
      <c r="M27" s="1"/>
    </row>
    <row r="28" spans="1:13" x14ac:dyDescent="0.25">
      <c r="A28" s="17"/>
      <c r="B28" s="22" t="s">
        <v>79</v>
      </c>
      <c r="C28" s="14" t="s">
        <v>12</v>
      </c>
      <c r="D28" s="15" t="s">
        <v>34</v>
      </c>
      <c r="E28" s="15" t="s">
        <v>62</v>
      </c>
      <c r="F28" s="15"/>
      <c r="G28" s="15" t="s">
        <v>2398</v>
      </c>
      <c r="H28" s="16" t="s">
        <v>267</v>
      </c>
      <c r="I28" s="16">
        <v>2</v>
      </c>
      <c r="J28" s="19" t="s">
        <v>17</v>
      </c>
      <c r="K28" s="1"/>
      <c r="L28" s="1"/>
      <c r="M28" s="1"/>
    </row>
    <row r="29" spans="1:13" x14ac:dyDescent="0.25">
      <c r="A29" s="20"/>
      <c r="B29" s="22" t="s">
        <v>2982</v>
      </c>
      <c r="C29" s="14" t="s">
        <v>12</v>
      </c>
      <c r="D29" s="15" t="s">
        <v>37</v>
      </c>
      <c r="E29" s="15" t="s">
        <v>64</v>
      </c>
      <c r="F29" s="15"/>
      <c r="G29" s="15" t="s">
        <v>2984</v>
      </c>
      <c r="H29" s="16" t="s">
        <v>16</v>
      </c>
      <c r="I29" s="16">
        <v>400</v>
      </c>
      <c r="J29" s="16" t="s">
        <v>17</v>
      </c>
      <c r="K29" s="1"/>
      <c r="L29" s="1"/>
      <c r="M29" s="1"/>
    </row>
    <row r="30" spans="1:13" x14ac:dyDescent="0.25">
      <c r="A30" s="20"/>
      <c r="B30" s="22" t="s">
        <v>2983</v>
      </c>
      <c r="C30" s="14" t="s">
        <v>12</v>
      </c>
      <c r="D30" s="15" t="s">
        <v>40</v>
      </c>
      <c r="E30" s="15" t="s">
        <v>66</v>
      </c>
      <c r="F30" s="15"/>
      <c r="G30" s="15" t="s">
        <v>2980</v>
      </c>
      <c r="H30" s="16" t="s">
        <v>16</v>
      </c>
      <c r="I30" s="16">
        <v>320</v>
      </c>
      <c r="J30" s="16"/>
      <c r="K30" s="1"/>
      <c r="L30" s="1"/>
      <c r="M30" s="1"/>
    </row>
    <row r="31" spans="1:13" x14ac:dyDescent="0.25">
      <c r="A31" s="20" t="s">
        <v>82</v>
      </c>
      <c r="B31" s="21" t="s">
        <v>83</v>
      </c>
      <c r="C31" s="14" t="s">
        <v>12</v>
      </c>
      <c r="D31" s="15" t="s">
        <v>43</v>
      </c>
      <c r="E31" s="15" t="s">
        <v>68</v>
      </c>
      <c r="F31" s="15"/>
      <c r="G31" s="15"/>
      <c r="H31" s="16" t="s">
        <v>16</v>
      </c>
      <c r="I31" s="16"/>
      <c r="J31" s="16" t="s">
        <v>17</v>
      </c>
      <c r="K31" s="1"/>
      <c r="L31" s="1"/>
      <c r="M31" s="1"/>
    </row>
    <row r="32" spans="1:13" ht="30" x14ac:dyDescent="0.25">
      <c r="A32" s="20"/>
      <c r="B32" s="21" t="s">
        <v>65</v>
      </c>
      <c r="C32" s="14" t="s">
        <v>12</v>
      </c>
      <c r="D32" s="15" t="s">
        <v>46</v>
      </c>
      <c r="E32" s="15" t="s">
        <v>70</v>
      </c>
      <c r="F32" s="15"/>
      <c r="G32" s="15"/>
      <c r="H32" s="16" t="s">
        <v>16</v>
      </c>
      <c r="I32" s="16"/>
      <c r="J32" s="16" t="s">
        <v>17</v>
      </c>
      <c r="K32" s="1"/>
      <c r="L32" s="1"/>
      <c r="M32" s="1"/>
    </row>
    <row r="33" spans="1:13" x14ac:dyDescent="0.25">
      <c r="A33" s="20"/>
      <c r="B33" s="22" t="s">
        <v>71</v>
      </c>
      <c r="C33" s="14" t="s">
        <v>12</v>
      </c>
      <c r="D33" s="15" t="s">
        <v>72</v>
      </c>
      <c r="E33" s="15" t="s">
        <v>73</v>
      </c>
      <c r="F33" s="15"/>
      <c r="G33" s="15"/>
      <c r="H33" s="16" t="s">
        <v>16</v>
      </c>
      <c r="I33" s="16"/>
      <c r="J33" s="16"/>
      <c r="K33" s="1"/>
      <c r="L33" s="1"/>
    </row>
    <row r="34" spans="1:13" x14ac:dyDescent="0.25">
      <c r="A34" s="20"/>
      <c r="B34" s="22" t="s">
        <v>67</v>
      </c>
      <c r="C34" s="14" t="s">
        <v>12</v>
      </c>
      <c r="D34" s="15" t="s">
        <v>75</v>
      </c>
      <c r="E34" s="15" t="s">
        <v>76</v>
      </c>
      <c r="F34" s="15"/>
      <c r="G34" s="15"/>
      <c r="H34" s="16" t="s">
        <v>16</v>
      </c>
      <c r="I34" s="16"/>
      <c r="J34" s="16" t="s">
        <v>17</v>
      </c>
      <c r="K34" s="1"/>
      <c r="L34" s="1"/>
    </row>
    <row r="35" spans="1:13" x14ac:dyDescent="0.25">
      <c r="A35" s="20"/>
      <c r="B35" s="22" t="s">
        <v>69</v>
      </c>
      <c r="C35" s="14" t="s">
        <v>12</v>
      </c>
      <c r="D35" s="15" t="s">
        <v>77</v>
      </c>
      <c r="E35" s="15" t="s">
        <v>78</v>
      </c>
      <c r="F35" s="15"/>
      <c r="G35" s="15"/>
      <c r="H35" s="16" t="s">
        <v>16</v>
      </c>
      <c r="I35" s="16"/>
      <c r="J35" s="16" t="s">
        <v>17</v>
      </c>
      <c r="K35" s="1"/>
      <c r="L35" s="1"/>
    </row>
    <row r="36" spans="1:13" x14ac:dyDescent="0.25">
      <c r="A36" s="20"/>
      <c r="B36" s="22" t="s">
        <v>74</v>
      </c>
      <c r="C36" s="14" t="s">
        <v>12</v>
      </c>
      <c r="D36" s="15" t="s">
        <v>80</v>
      </c>
      <c r="E36" s="15" t="s">
        <v>81</v>
      </c>
      <c r="F36" s="15"/>
      <c r="G36" s="15"/>
      <c r="H36" s="16" t="s">
        <v>16</v>
      </c>
      <c r="I36" s="16"/>
      <c r="J36" s="16"/>
      <c r="K36" s="1"/>
      <c r="L36" s="1"/>
    </row>
    <row r="37" spans="1:13" x14ac:dyDescent="0.25">
      <c r="A37" s="20"/>
      <c r="B37" s="21" t="s">
        <v>51</v>
      </c>
      <c r="C37" s="14" t="s">
        <v>12</v>
      </c>
      <c r="D37" s="15" t="s">
        <v>84</v>
      </c>
      <c r="E37" s="15" t="s">
        <v>85</v>
      </c>
      <c r="F37" s="15"/>
      <c r="G37" s="15" t="s">
        <v>2978</v>
      </c>
      <c r="H37" s="16" t="s">
        <v>16</v>
      </c>
      <c r="I37" s="16">
        <v>1120</v>
      </c>
      <c r="J37" s="16" t="s">
        <v>17</v>
      </c>
      <c r="K37" s="1"/>
      <c r="L37" s="1"/>
      <c r="M37" s="1"/>
    </row>
    <row r="38" spans="1:13" x14ac:dyDescent="0.25">
      <c r="A38" s="20"/>
      <c r="B38" s="21" t="s">
        <v>59</v>
      </c>
      <c r="C38" s="14" t="s">
        <v>12</v>
      </c>
      <c r="D38" s="15" t="s">
        <v>123</v>
      </c>
      <c r="E38" s="15" t="s">
        <v>3849</v>
      </c>
      <c r="F38" s="15"/>
      <c r="G38" s="15" t="s">
        <v>2804</v>
      </c>
      <c r="H38" s="16" t="s">
        <v>16</v>
      </c>
      <c r="I38" s="16">
        <v>320</v>
      </c>
      <c r="J38" s="16" t="s">
        <v>17</v>
      </c>
      <c r="K38" s="1"/>
      <c r="L38" s="1"/>
      <c r="M38" s="1"/>
    </row>
    <row r="39" spans="1:13" x14ac:dyDescent="0.25">
      <c r="A39" s="8">
        <v>3</v>
      </c>
      <c r="B39" s="7" t="s">
        <v>86</v>
      </c>
      <c r="C39" s="10"/>
      <c r="D39" s="10"/>
      <c r="E39" s="10"/>
      <c r="F39" s="10"/>
      <c r="G39" s="10"/>
      <c r="H39" s="10"/>
      <c r="I39" s="10"/>
      <c r="J39" s="10"/>
      <c r="K39" s="1"/>
      <c r="L39" s="1"/>
      <c r="M39" s="1"/>
    </row>
    <row r="40" spans="1:13" x14ac:dyDescent="0.25">
      <c r="A40" s="20"/>
      <c r="B40" s="97" t="s">
        <v>105</v>
      </c>
      <c r="C40" s="14" t="s">
        <v>88</v>
      </c>
      <c r="D40" s="15" t="s">
        <v>14</v>
      </c>
      <c r="E40" s="15" t="s">
        <v>89</v>
      </c>
      <c r="F40" s="15"/>
      <c r="G40" s="15"/>
      <c r="H40" s="16" t="s">
        <v>90</v>
      </c>
      <c r="I40" s="16"/>
      <c r="J40" s="16"/>
      <c r="K40" s="1"/>
      <c r="L40" s="1"/>
      <c r="M40" s="1"/>
    </row>
    <row r="41" spans="1:13" x14ac:dyDescent="0.25">
      <c r="A41" s="20"/>
      <c r="B41" s="97" t="s">
        <v>101</v>
      </c>
      <c r="C41" s="14" t="s">
        <v>88</v>
      </c>
      <c r="D41" s="15" t="s">
        <v>19</v>
      </c>
      <c r="E41" s="15" t="s">
        <v>92</v>
      </c>
      <c r="F41" s="15"/>
      <c r="G41" s="15" t="s">
        <v>3001</v>
      </c>
      <c r="H41" s="16" t="s">
        <v>90</v>
      </c>
      <c r="I41" s="16">
        <v>150</v>
      </c>
      <c r="J41" s="16"/>
      <c r="K41" s="1"/>
      <c r="L41" s="1"/>
      <c r="M41" s="1"/>
    </row>
    <row r="42" spans="1:13" x14ac:dyDescent="0.25">
      <c r="A42" s="20"/>
      <c r="B42" s="97" t="s">
        <v>103</v>
      </c>
      <c r="C42" s="14" t="s">
        <v>88</v>
      </c>
      <c r="D42" s="15" t="s">
        <v>22</v>
      </c>
      <c r="E42" s="15" t="s">
        <v>94</v>
      </c>
      <c r="F42" s="15"/>
      <c r="G42" s="15" t="s">
        <v>3001</v>
      </c>
      <c r="H42" s="16" t="s">
        <v>90</v>
      </c>
      <c r="I42" s="16">
        <v>98</v>
      </c>
      <c r="J42" s="16"/>
      <c r="K42" s="1"/>
      <c r="L42" s="1"/>
      <c r="M42" s="1"/>
    </row>
    <row r="43" spans="1:13" x14ac:dyDescent="0.25">
      <c r="A43" s="20"/>
      <c r="B43" s="97" t="s">
        <v>111</v>
      </c>
      <c r="C43" s="14" t="s">
        <v>88</v>
      </c>
      <c r="D43" s="15" t="s">
        <v>25</v>
      </c>
      <c r="E43" s="15" t="s">
        <v>96</v>
      </c>
      <c r="F43" s="15"/>
      <c r="G43" s="15"/>
      <c r="H43" s="16" t="s">
        <v>90</v>
      </c>
      <c r="I43" s="16"/>
      <c r="J43" s="16"/>
      <c r="K43" s="1"/>
      <c r="L43" s="1"/>
    </row>
    <row r="44" spans="1:13" x14ac:dyDescent="0.25">
      <c r="A44" s="20"/>
      <c r="B44" s="97" t="s">
        <v>107</v>
      </c>
      <c r="C44" s="14" t="s">
        <v>88</v>
      </c>
      <c r="D44" s="15" t="s">
        <v>28</v>
      </c>
      <c r="E44" s="15" t="s">
        <v>98</v>
      </c>
      <c r="F44" s="15"/>
      <c r="G44" s="15"/>
      <c r="H44" s="16" t="s">
        <v>90</v>
      </c>
      <c r="I44" s="16"/>
      <c r="J44" s="16"/>
      <c r="K44" s="1"/>
      <c r="L44" s="1"/>
      <c r="M44" s="1"/>
    </row>
    <row r="45" spans="1:13" x14ac:dyDescent="0.25">
      <c r="A45" s="20"/>
      <c r="B45" s="97" t="s">
        <v>109</v>
      </c>
      <c r="C45" s="14" t="s">
        <v>88</v>
      </c>
      <c r="D45" s="15" t="s">
        <v>31</v>
      </c>
      <c r="E45" s="15" t="s">
        <v>100</v>
      </c>
      <c r="F45" s="15"/>
      <c r="G45" s="15"/>
      <c r="H45" s="16" t="s">
        <v>90</v>
      </c>
      <c r="I45" s="16"/>
      <c r="J45" s="16"/>
      <c r="K45" s="1"/>
      <c r="L45" s="1"/>
      <c r="M45" s="1"/>
    </row>
    <row r="46" spans="1:13" x14ac:dyDescent="0.25">
      <c r="A46" s="20"/>
      <c r="B46" s="97" t="s">
        <v>117</v>
      </c>
      <c r="C46" s="14" t="s">
        <v>88</v>
      </c>
      <c r="D46" s="15" t="s">
        <v>34</v>
      </c>
      <c r="E46" s="15" t="s">
        <v>102</v>
      </c>
      <c r="F46" s="15"/>
      <c r="G46" s="15"/>
      <c r="H46" s="16" t="s">
        <v>90</v>
      </c>
      <c r="I46" s="16"/>
      <c r="J46" s="16"/>
      <c r="K46" s="1"/>
      <c r="L46" s="1"/>
      <c r="M46" s="1"/>
    </row>
    <row r="47" spans="1:13" x14ac:dyDescent="0.25">
      <c r="A47" s="20"/>
      <c r="B47" s="97" t="s">
        <v>113</v>
      </c>
      <c r="C47" s="14" t="s">
        <v>88</v>
      </c>
      <c r="D47" s="15" t="s">
        <v>37</v>
      </c>
      <c r="E47" s="15" t="s">
        <v>104</v>
      </c>
      <c r="F47" s="15"/>
      <c r="G47" s="15" t="s">
        <v>2952</v>
      </c>
      <c r="H47" s="16" t="s">
        <v>90</v>
      </c>
      <c r="I47" s="16">
        <v>6</v>
      </c>
      <c r="J47" s="16"/>
      <c r="K47" s="1"/>
      <c r="L47" s="1"/>
      <c r="M47" s="1"/>
    </row>
    <row r="48" spans="1:13" x14ac:dyDescent="0.25">
      <c r="A48" s="20"/>
      <c r="B48" s="97" t="s">
        <v>115</v>
      </c>
      <c r="C48" s="14" t="s">
        <v>88</v>
      </c>
      <c r="D48" s="15" t="s">
        <v>40</v>
      </c>
      <c r="E48" s="15" t="s">
        <v>106</v>
      </c>
      <c r="F48" s="15"/>
      <c r="G48" s="15" t="s">
        <v>3001</v>
      </c>
      <c r="H48" s="16" t="s">
        <v>90</v>
      </c>
      <c r="I48" s="16">
        <v>30</v>
      </c>
      <c r="J48" s="16"/>
      <c r="K48" s="1"/>
      <c r="L48" s="1"/>
      <c r="M48" s="1"/>
    </row>
    <row r="49" spans="1:13" x14ac:dyDescent="0.25">
      <c r="A49" s="20"/>
      <c r="B49" s="97" t="s">
        <v>3000</v>
      </c>
      <c r="C49" s="14" t="s">
        <v>88</v>
      </c>
      <c r="D49" s="15" t="s">
        <v>43</v>
      </c>
      <c r="E49" s="15" t="s">
        <v>108</v>
      </c>
      <c r="F49" s="15"/>
      <c r="G49" s="15" t="s">
        <v>2981</v>
      </c>
      <c r="H49" s="16" t="s">
        <v>90</v>
      </c>
      <c r="I49" s="16">
        <v>750</v>
      </c>
      <c r="J49" s="16"/>
      <c r="K49" s="1"/>
      <c r="L49" s="1"/>
      <c r="M49" s="1"/>
    </row>
    <row r="50" spans="1:13" x14ac:dyDescent="0.25">
      <c r="A50" s="20"/>
      <c r="B50" s="97" t="s">
        <v>2999</v>
      </c>
      <c r="C50" s="14" t="s">
        <v>88</v>
      </c>
      <c r="D50" s="15" t="s">
        <v>46</v>
      </c>
      <c r="E50" s="15" t="s">
        <v>110</v>
      </c>
      <c r="F50" s="15"/>
      <c r="G50" s="15" t="s">
        <v>2981</v>
      </c>
      <c r="H50" s="16" t="s">
        <v>90</v>
      </c>
      <c r="I50" s="16">
        <v>10</v>
      </c>
      <c r="J50" s="16"/>
      <c r="K50" s="1"/>
      <c r="L50" s="1"/>
      <c r="M50" s="1"/>
    </row>
    <row r="51" spans="1:13" x14ac:dyDescent="0.25">
      <c r="A51" s="20"/>
      <c r="B51" s="97" t="s">
        <v>99</v>
      </c>
      <c r="C51" s="14" t="s">
        <v>88</v>
      </c>
      <c r="D51" s="15" t="s">
        <v>72</v>
      </c>
      <c r="E51" s="15" t="s">
        <v>112</v>
      </c>
      <c r="F51" s="15"/>
      <c r="G51" s="15"/>
      <c r="H51" s="16" t="s">
        <v>90</v>
      </c>
      <c r="I51" s="16"/>
      <c r="J51" s="16"/>
      <c r="K51" s="1"/>
      <c r="L51" s="1"/>
      <c r="M51" s="1"/>
    </row>
    <row r="52" spans="1:13" x14ac:dyDescent="0.25">
      <c r="A52" s="20"/>
      <c r="B52" s="97" t="s">
        <v>95</v>
      </c>
      <c r="C52" s="14" t="s">
        <v>88</v>
      </c>
      <c r="D52" s="15" t="s">
        <v>75</v>
      </c>
      <c r="E52" s="15" t="s">
        <v>114</v>
      </c>
      <c r="F52" s="15"/>
      <c r="G52" s="15"/>
      <c r="H52" s="16" t="s">
        <v>90</v>
      </c>
      <c r="I52" s="16"/>
      <c r="J52" s="16"/>
      <c r="K52" s="1"/>
      <c r="L52" s="1"/>
      <c r="M52" s="1"/>
    </row>
    <row r="53" spans="1:13" x14ac:dyDescent="0.25">
      <c r="A53" s="20"/>
      <c r="B53" s="97" t="s">
        <v>97</v>
      </c>
      <c r="C53" s="14" t="s">
        <v>88</v>
      </c>
      <c r="D53" s="15" t="s">
        <v>77</v>
      </c>
      <c r="E53" s="15" t="s">
        <v>116</v>
      </c>
      <c r="F53" s="15"/>
      <c r="G53" s="15"/>
      <c r="H53" s="16" t="s">
        <v>90</v>
      </c>
      <c r="I53" s="16"/>
      <c r="J53" s="16"/>
      <c r="K53" s="1"/>
      <c r="L53" s="1"/>
      <c r="M53" s="1"/>
    </row>
    <row r="54" spans="1:13" x14ac:dyDescent="0.25">
      <c r="A54" s="20"/>
      <c r="B54" s="97" t="s">
        <v>93</v>
      </c>
      <c r="C54" s="14" t="s">
        <v>88</v>
      </c>
      <c r="D54" s="15" t="s">
        <v>80</v>
      </c>
      <c r="E54" s="15" t="s">
        <v>118</v>
      </c>
      <c r="F54" s="15"/>
      <c r="G54" s="15" t="s">
        <v>2978</v>
      </c>
      <c r="H54" s="16" t="s">
        <v>90</v>
      </c>
      <c r="I54" s="16">
        <v>504</v>
      </c>
      <c r="J54" s="16"/>
      <c r="K54" s="1"/>
      <c r="L54" s="1"/>
      <c r="M54" s="1"/>
    </row>
    <row r="55" spans="1:13" x14ac:dyDescent="0.25">
      <c r="A55" s="20"/>
      <c r="B55" s="97" t="s">
        <v>87</v>
      </c>
      <c r="C55" s="14" t="s">
        <v>88</v>
      </c>
      <c r="D55" s="15" t="s">
        <v>84</v>
      </c>
      <c r="E55" s="15" t="s">
        <v>121</v>
      </c>
      <c r="F55" s="15"/>
      <c r="G55" s="15" t="s">
        <v>2978</v>
      </c>
      <c r="H55" s="16" t="s">
        <v>90</v>
      </c>
      <c r="I55" s="16">
        <v>1216</v>
      </c>
      <c r="J55" s="16"/>
      <c r="K55" s="1"/>
      <c r="L55" s="1"/>
      <c r="M55" s="1"/>
    </row>
    <row r="56" spans="1:13" x14ac:dyDescent="0.25">
      <c r="A56" s="20"/>
      <c r="B56" s="97" t="s">
        <v>87</v>
      </c>
      <c r="C56" s="14" t="s">
        <v>88</v>
      </c>
      <c r="D56" s="15" t="s">
        <v>123</v>
      </c>
      <c r="E56" s="15" t="s">
        <v>124</v>
      </c>
      <c r="F56" s="15" t="s">
        <v>3004</v>
      </c>
      <c r="G56" s="15" t="s">
        <v>2978</v>
      </c>
      <c r="H56" s="16" t="s">
        <v>90</v>
      </c>
      <c r="I56" s="16">
        <v>100</v>
      </c>
      <c r="J56" s="16"/>
      <c r="K56" s="1"/>
      <c r="L56" s="1"/>
      <c r="M56" s="1"/>
    </row>
    <row r="57" spans="1:13" x14ac:dyDescent="0.25">
      <c r="A57" s="20"/>
      <c r="B57" s="97" t="s">
        <v>91</v>
      </c>
      <c r="C57" s="14" t="s">
        <v>88</v>
      </c>
      <c r="D57" s="15" t="s">
        <v>212</v>
      </c>
      <c r="E57" s="15" t="s">
        <v>3850</v>
      </c>
      <c r="F57" s="15"/>
      <c r="G57" s="15" t="s">
        <v>2978</v>
      </c>
      <c r="H57" s="16" t="s">
        <v>90</v>
      </c>
      <c r="I57" s="16">
        <v>860</v>
      </c>
      <c r="J57" s="16"/>
      <c r="K57" s="1"/>
      <c r="L57" s="1"/>
      <c r="M57" s="1"/>
    </row>
    <row r="58" spans="1:13" x14ac:dyDescent="0.25">
      <c r="A58" s="20" t="s">
        <v>82</v>
      </c>
      <c r="B58" s="97" t="s">
        <v>122</v>
      </c>
      <c r="C58" s="14" t="s">
        <v>88</v>
      </c>
      <c r="D58" s="15" t="s">
        <v>214</v>
      </c>
      <c r="E58" s="15" t="s">
        <v>3851</v>
      </c>
      <c r="F58" s="15"/>
      <c r="G58" s="15"/>
      <c r="H58" s="16" t="s">
        <v>90</v>
      </c>
      <c r="I58" s="16"/>
      <c r="J58" s="16" t="s">
        <v>17</v>
      </c>
      <c r="K58" s="1"/>
      <c r="L58" s="1"/>
      <c r="M58" s="1"/>
    </row>
    <row r="59" spans="1:13" x14ac:dyDescent="0.25">
      <c r="A59" s="20" t="s">
        <v>82</v>
      </c>
      <c r="B59" s="97" t="s">
        <v>120</v>
      </c>
      <c r="C59" s="14" t="s">
        <v>88</v>
      </c>
      <c r="D59" s="15" t="s">
        <v>216</v>
      </c>
      <c r="E59" s="15" t="s">
        <v>3852</v>
      </c>
      <c r="F59" s="15"/>
      <c r="G59" s="15" t="s">
        <v>2981</v>
      </c>
      <c r="H59" s="16" t="s">
        <v>90</v>
      </c>
      <c r="I59" s="16">
        <v>10</v>
      </c>
      <c r="J59" s="16" t="s">
        <v>17</v>
      </c>
      <c r="K59" s="1"/>
      <c r="L59" s="1"/>
      <c r="M59" s="1"/>
    </row>
    <row r="60" spans="1:13" x14ac:dyDescent="0.25">
      <c r="A60" s="8">
        <v>4</v>
      </c>
      <c r="B60" s="98" t="s">
        <v>125</v>
      </c>
      <c r="C60" s="24"/>
      <c r="D60" s="9"/>
      <c r="E60" s="9"/>
      <c r="F60" s="9"/>
      <c r="G60" s="9"/>
      <c r="H60" s="10"/>
      <c r="I60" s="10"/>
      <c r="J60" s="10"/>
      <c r="K60" s="1"/>
      <c r="L60" s="1"/>
    </row>
    <row r="61" spans="1:13" x14ac:dyDescent="0.25">
      <c r="A61" s="20"/>
      <c r="B61" s="97" t="s">
        <v>128</v>
      </c>
      <c r="C61" s="14" t="s">
        <v>88</v>
      </c>
      <c r="D61" s="15" t="s">
        <v>14</v>
      </c>
      <c r="E61" s="15" t="s">
        <v>127</v>
      </c>
      <c r="F61" s="15"/>
      <c r="G61" s="15" t="s">
        <v>2981</v>
      </c>
      <c r="H61" s="16" t="s">
        <v>90</v>
      </c>
      <c r="I61" s="16">
        <v>4</v>
      </c>
      <c r="J61" s="16"/>
      <c r="K61" s="1"/>
      <c r="L61" s="1"/>
    </row>
    <row r="62" spans="1:13" x14ac:dyDescent="0.25">
      <c r="A62" s="93"/>
      <c r="B62" s="97" t="s">
        <v>130</v>
      </c>
      <c r="C62" s="14" t="s">
        <v>88</v>
      </c>
      <c r="D62" s="15" t="s">
        <v>19</v>
      </c>
      <c r="E62" s="15" t="s">
        <v>129</v>
      </c>
      <c r="F62" s="15"/>
      <c r="G62" s="15" t="s">
        <v>2981</v>
      </c>
      <c r="H62" s="16" t="s">
        <v>90</v>
      </c>
      <c r="I62" s="16">
        <v>140</v>
      </c>
      <c r="J62" s="16"/>
      <c r="K62" s="1"/>
      <c r="L62" s="1"/>
    </row>
    <row r="63" spans="1:13" x14ac:dyDescent="0.25">
      <c r="A63" s="93"/>
      <c r="B63" s="97" t="s">
        <v>142</v>
      </c>
      <c r="C63" s="14" t="s">
        <v>88</v>
      </c>
      <c r="D63" s="15" t="s">
        <v>22</v>
      </c>
      <c r="E63" s="15" t="s">
        <v>131</v>
      </c>
      <c r="F63" s="15"/>
      <c r="G63" s="15" t="s">
        <v>2981</v>
      </c>
      <c r="H63" s="16" t="s">
        <v>90</v>
      </c>
      <c r="I63" s="16">
        <v>8</v>
      </c>
      <c r="J63" s="16"/>
      <c r="K63" s="1"/>
      <c r="L63" s="1"/>
    </row>
    <row r="64" spans="1:13" x14ac:dyDescent="0.25">
      <c r="A64" s="20"/>
      <c r="B64" s="97" t="s">
        <v>132</v>
      </c>
      <c r="C64" s="14" t="s">
        <v>88</v>
      </c>
      <c r="D64" s="15" t="s">
        <v>25</v>
      </c>
      <c r="E64" s="15" t="s">
        <v>133</v>
      </c>
      <c r="F64" s="15"/>
      <c r="G64" s="15"/>
      <c r="H64" s="16" t="s">
        <v>90</v>
      </c>
      <c r="I64" s="16"/>
      <c r="J64" s="16"/>
      <c r="K64" s="1"/>
      <c r="L64" s="1"/>
    </row>
    <row r="65" spans="1:13" x14ac:dyDescent="0.25">
      <c r="A65" s="20"/>
      <c r="B65" s="97" t="s">
        <v>134</v>
      </c>
      <c r="C65" s="14" t="s">
        <v>88</v>
      </c>
      <c r="D65" s="15" t="s">
        <v>28</v>
      </c>
      <c r="E65" s="15" t="s">
        <v>135</v>
      </c>
      <c r="F65" s="15"/>
      <c r="G65" s="15" t="s">
        <v>2981</v>
      </c>
      <c r="H65" s="16" t="s">
        <v>90</v>
      </c>
      <c r="I65" s="16">
        <v>110</v>
      </c>
      <c r="J65" s="16"/>
      <c r="K65" s="1"/>
      <c r="L65" s="1"/>
    </row>
    <row r="66" spans="1:13" x14ac:dyDescent="0.25">
      <c r="A66" s="20"/>
      <c r="B66" s="97" t="s">
        <v>2994</v>
      </c>
      <c r="C66" s="14" t="s">
        <v>88</v>
      </c>
      <c r="D66" s="15" t="s">
        <v>31</v>
      </c>
      <c r="E66" s="15" t="s">
        <v>137</v>
      </c>
      <c r="F66" s="15"/>
      <c r="G66" s="15" t="s">
        <v>2981</v>
      </c>
      <c r="H66" s="16" t="s">
        <v>90</v>
      </c>
      <c r="I66" s="16">
        <v>17</v>
      </c>
      <c r="J66" s="16"/>
      <c r="K66" s="1"/>
      <c r="L66" s="1"/>
      <c r="M66" s="1"/>
    </row>
    <row r="67" spans="1:13" x14ac:dyDescent="0.25">
      <c r="A67" s="20"/>
      <c r="B67" s="99" t="s">
        <v>140</v>
      </c>
      <c r="C67" s="100" t="s">
        <v>88</v>
      </c>
      <c r="D67" s="15" t="s">
        <v>34</v>
      </c>
      <c r="E67" s="15" t="s">
        <v>139</v>
      </c>
      <c r="F67" s="101"/>
      <c r="G67" s="101"/>
      <c r="H67" s="16" t="s">
        <v>90</v>
      </c>
      <c r="I67" s="34"/>
      <c r="J67" s="34"/>
      <c r="K67" s="1"/>
      <c r="L67" s="1"/>
      <c r="M67" s="1"/>
    </row>
    <row r="68" spans="1:13" s="11" customFormat="1" x14ac:dyDescent="0.25">
      <c r="A68" s="20"/>
      <c r="B68" s="97" t="s">
        <v>2990</v>
      </c>
      <c r="C68" s="14" t="s">
        <v>88</v>
      </c>
      <c r="D68" s="15" t="s">
        <v>37</v>
      </c>
      <c r="E68" s="15" t="s">
        <v>141</v>
      </c>
      <c r="F68" s="15"/>
      <c r="G68" s="15" t="s">
        <v>2981</v>
      </c>
      <c r="H68" s="16" t="s">
        <v>90</v>
      </c>
      <c r="I68" s="16">
        <v>5</v>
      </c>
      <c r="J68" s="16"/>
    </row>
    <row r="69" spans="1:13" x14ac:dyDescent="0.25">
      <c r="A69" s="20"/>
      <c r="B69" s="97" t="s">
        <v>2991</v>
      </c>
      <c r="C69" s="14" t="s">
        <v>88</v>
      </c>
      <c r="D69" s="15" t="s">
        <v>40</v>
      </c>
      <c r="E69" s="15" t="s">
        <v>143</v>
      </c>
      <c r="F69" s="15"/>
      <c r="G69" s="15" t="s">
        <v>2981</v>
      </c>
      <c r="H69" s="16" t="s">
        <v>90</v>
      </c>
      <c r="I69" s="16">
        <v>55</v>
      </c>
      <c r="J69" s="16"/>
      <c r="K69" s="1"/>
      <c r="L69" s="1"/>
      <c r="M69" s="1"/>
    </row>
    <row r="70" spans="1:13" x14ac:dyDescent="0.25">
      <c r="A70" s="20"/>
      <c r="B70" s="97" t="s">
        <v>3005</v>
      </c>
      <c r="C70" s="14" t="s">
        <v>88</v>
      </c>
      <c r="D70" s="15" t="s">
        <v>43</v>
      </c>
      <c r="E70" s="15" t="s">
        <v>145</v>
      </c>
      <c r="F70" s="15"/>
      <c r="G70" s="15" t="s">
        <v>3001</v>
      </c>
      <c r="H70" s="16" t="s">
        <v>90</v>
      </c>
      <c r="I70" s="16">
        <v>590</v>
      </c>
      <c r="J70" s="16"/>
      <c r="K70" s="1"/>
      <c r="L70" s="1"/>
      <c r="M70" s="1"/>
    </row>
    <row r="71" spans="1:13" x14ac:dyDescent="0.25">
      <c r="A71" s="20"/>
      <c r="B71" s="97" t="s">
        <v>126</v>
      </c>
      <c r="C71" s="14" t="s">
        <v>88</v>
      </c>
      <c r="D71" s="15" t="s">
        <v>46</v>
      </c>
      <c r="E71" s="15" t="s">
        <v>147</v>
      </c>
      <c r="F71" s="15"/>
      <c r="G71" s="15" t="s">
        <v>2981</v>
      </c>
      <c r="H71" s="16" t="s">
        <v>90</v>
      </c>
      <c r="I71" s="16">
        <v>490</v>
      </c>
      <c r="J71" s="16"/>
      <c r="K71" s="1"/>
      <c r="L71" s="1"/>
      <c r="M71" s="1"/>
    </row>
    <row r="72" spans="1:13" x14ac:dyDescent="0.25">
      <c r="A72" s="20"/>
      <c r="B72" s="97" t="s">
        <v>2989</v>
      </c>
      <c r="C72" s="14" t="s">
        <v>88</v>
      </c>
      <c r="D72" s="15" t="s">
        <v>72</v>
      </c>
      <c r="E72" s="15" t="s">
        <v>150</v>
      </c>
      <c r="F72" s="15"/>
      <c r="G72" s="15" t="s">
        <v>2981</v>
      </c>
      <c r="H72" s="16" t="s">
        <v>90</v>
      </c>
      <c r="I72" s="16">
        <v>4</v>
      </c>
      <c r="J72" s="16"/>
      <c r="K72" s="1"/>
      <c r="L72" s="1"/>
      <c r="M72" s="1"/>
    </row>
    <row r="73" spans="1:13" x14ac:dyDescent="0.25">
      <c r="A73" s="20"/>
      <c r="B73" s="97" t="s">
        <v>144</v>
      </c>
      <c r="C73" s="14" t="s">
        <v>88</v>
      </c>
      <c r="D73" s="15" t="s">
        <v>75</v>
      </c>
      <c r="E73" s="15" t="s">
        <v>3853</v>
      </c>
      <c r="F73" s="15"/>
      <c r="G73" s="15"/>
      <c r="H73" s="16" t="s">
        <v>90</v>
      </c>
      <c r="I73" s="16"/>
      <c r="J73" s="16"/>
      <c r="K73" s="1"/>
      <c r="L73" s="1"/>
      <c r="M73" s="1"/>
    </row>
    <row r="74" spans="1:13" x14ac:dyDescent="0.25">
      <c r="A74" s="20"/>
      <c r="B74" s="97" t="s">
        <v>2992</v>
      </c>
      <c r="C74" s="14" t="s">
        <v>88</v>
      </c>
      <c r="D74" s="15" t="s">
        <v>77</v>
      </c>
      <c r="E74" s="15" t="s">
        <v>3854</v>
      </c>
      <c r="F74" s="15"/>
      <c r="G74" s="15" t="s">
        <v>2970</v>
      </c>
      <c r="H74" s="16" t="s">
        <v>90</v>
      </c>
      <c r="I74" s="16">
        <v>5</v>
      </c>
      <c r="J74" s="16"/>
      <c r="K74" s="1"/>
      <c r="L74" s="1"/>
      <c r="M74" s="1"/>
    </row>
    <row r="75" spans="1:13" x14ac:dyDescent="0.25">
      <c r="A75" s="20"/>
      <c r="B75" s="97" t="s">
        <v>2993</v>
      </c>
      <c r="C75" s="14" t="s">
        <v>88</v>
      </c>
      <c r="D75" s="15" t="s">
        <v>80</v>
      </c>
      <c r="E75" s="15" t="s">
        <v>3855</v>
      </c>
      <c r="F75" s="15"/>
      <c r="G75" s="15" t="s">
        <v>2970</v>
      </c>
      <c r="H75" s="16" t="s">
        <v>90</v>
      </c>
      <c r="I75" s="16">
        <v>7</v>
      </c>
      <c r="J75" s="16"/>
      <c r="K75" s="1"/>
      <c r="L75" s="1"/>
      <c r="M75" s="1"/>
    </row>
    <row r="76" spans="1:13" x14ac:dyDescent="0.25">
      <c r="A76" s="20"/>
      <c r="B76" s="97" t="s">
        <v>2995</v>
      </c>
      <c r="C76" s="14" t="s">
        <v>88</v>
      </c>
      <c r="D76" s="15" t="s">
        <v>84</v>
      </c>
      <c r="E76" s="15" t="s">
        <v>3856</v>
      </c>
      <c r="F76" s="15"/>
      <c r="G76" s="15" t="s">
        <v>2996</v>
      </c>
      <c r="H76" s="16" t="s">
        <v>90</v>
      </c>
      <c r="I76" s="16">
        <v>20</v>
      </c>
      <c r="J76" s="16"/>
      <c r="K76" s="1"/>
      <c r="L76" s="1"/>
      <c r="M76" s="1"/>
    </row>
    <row r="77" spans="1:13" x14ac:dyDescent="0.25">
      <c r="A77" s="20"/>
      <c r="B77" s="97" t="s">
        <v>146</v>
      </c>
      <c r="C77" s="14" t="s">
        <v>88</v>
      </c>
      <c r="D77" s="15" t="s">
        <v>123</v>
      </c>
      <c r="E77" s="15" t="s">
        <v>3857</v>
      </c>
      <c r="F77" s="15"/>
      <c r="G77" s="15"/>
      <c r="H77" s="16" t="s">
        <v>90</v>
      </c>
      <c r="I77" s="16"/>
      <c r="J77" s="16"/>
      <c r="K77" s="1"/>
      <c r="L77" s="1"/>
      <c r="M77" s="1"/>
    </row>
    <row r="78" spans="1:13" x14ac:dyDescent="0.25">
      <c r="A78" s="20" t="s">
        <v>82</v>
      </c>
      <c r="B78" s="97" t="s">
        <v>149</v>
      </c>
      <c r="C78" s="14" t="s">
        <v>88</v>
      </c>
      <c r="D78" s="15" t="s">
        <v>212</v>
      </c>
      <c r="E78" s="15" t="s">
        <v>3858</v>
      </c>
      <c r="F78" s="15"/>
      <c r="G78" s="15"/>
      <c r="H78" s="16" t="s">
        <v>90</v>
      </c>
      <c r="I78" s="16"/>
      <c r="J78" s="16" t="s">
        <v>17</v>
      </c>
      <c r="K78" s="1"/>
      <c r="L78" s="1"/>
      <c r="M78" s="1"/>
    </row>
    <row r="79" spans="1:13" x14ac:dyDescent="0.25">
      <c r="A79" s="20"/>
      <c r="B79" s="97" t="s">
        <v>2988</v>
      </c>
      <c r="C79" s="14" t="s">
        <v>88</v>
      </c>
      <c r="D79" s="15" t="s">
        <v>214</v>
      </c>
      <c r="E79" s="15" t="s">
        <v>3859</v>
      </c>
      <c r="F79" s="15"/>
      <c r="G79" s="15" t="s">
        <v>2981</v>
      </c>
      <c r="H79" s="16" t="s">
        <v>90</v>
      </c>
      <c r="I79" s="16">
        <v>3</v>
      </c>
      <c r="J79" s="16"/>
      <c r="K79" s="1"/>
      <c r="L79" s="1"/>
      <c r="M79" s="1"/>
    </row>
    <row r="80" spans="1:13" x14ac:dyDescent="0.25">
      <c r="A80" s="20"/>
      <c r="B80" s="97" t="s">
        <v>2997</v>
      </c>
      <c r="C80" s="14" t="s">
        <v>88</v>
      </c>
      <c r="D80" s="15" t="s">
        <v>216</v>
      </c>
      <c r="E80" s="15" t="s">
        <v>3860</v>
      </c>
      <c r="F80" s="15"/>
      <c r="G80" s="15" t="s">
        <v>2981</v>
      </c>
      <c r="H80" s="16" t="s">
        <v>90</v>
      </c>
      <c r="I80" s="16">
        <v>23</v>
      </c>
      <c r="J80" s="16"/>
      <c r="K80" s="1"/>
      <c r="L80" s="1"/>
      <c r="M80" s="1"/>
    </row>
    <row r="81" spans="1:13" x14ac:dyDescent="0.25">
      <c r="A81" s="20"/>
      <c r="B81" s="97" t="s">
        <v>2998</v>
      </c>
      <c r="C81" s="14" t="s">
        <v>88</v>
      </c>
      <c r="D81" s="15" t="s">
        <v>218</v>
      </c>
      <c r="E81" s="15" t="s">
        <v>3861</v>
      </c>
      <c r="F81" s="15"/>
      <c r="G81" s="15" t="s">
        <v>2981</v>
      </c>
      <c r="H81" s="16" t="s">
        <v>90</v>
      </c>
      <c r="I81" s="16">
        <v>10</v>
      </c>
      <c r="J81" s="16"/>
      <c r="K81" s="1"/>
      <c r="L81" s="1"/>
      <c r="M81" s="1"/>
    </row>
    <row r="82" spans="1:13" x14ac:dyDescent="0.25">
      <c r="A82" s="20"/>
      <c r="B82" s="97" t="s">
        <v>136</v>
      </c>
      <c r="C82" s="14" t="s">
        <v>88</v>
      </c>
      <c r="D82" s="15" t="s">
        <v>220</v>
      </c>
      <c r="E82" s="15" t="s">
        <v>3862</v>
      </c>
      <c r="F82" s="15"/>
      <c r="G82" s="15" t="s">
        <v>2970</v>
      </c>
      <c r="H82" s="16" t="s">
        <v>90</v>
      </c>
      <c r="I82" s="16">
        <v>47</v>
      </c>
      <c r="J82" s="16"/>
      <c r="K82" s="1"/>
      <c r="L82" s="1"/>
      <c r="M82" s="1"/>
    </row>
    <row r="83" spans="1:13" x14ac:dyDescent="0.25">
      <c r="A83" s="20"/>
      <c r="B83" s="97" t="s">
        <v>138</v>
      </c>
      <c r="C83" s="14" t="s">
        <v>88</v>
      </c>
      <c r="D83" s="15" t="s">
        <v>222</v>
      </c>
      <c r="E83" s="15" t="s">
        <v>3863</v>
      </c>
      <c r="F83" s="15"/>
      <c r="G83" s="15" t="s">
        <v>2970</v>
      </c>
      <c r="H83" s="16" t="s">
        <v>90</v>
      </c>
      <c r="I83" s="16">
        <v>80</v>
      </c>
      <c r="J83" s="16"/>
      <c r="K83" s="1"/>
      <c r="L83" s="1"/>
      <c r="M83" s="1"/>
    </row>
    <row r="84" spans="1:13" x14ac:dyDescent="0.25">
      <c r="A84" s="8">
        <v>5</v>
      </c>
      <c r="B84" s="7" t="s">
        <v>151</v>
      </c>
      <c r="C84" s="8"/>
      <c r="D84" s="9"/>
      <c r="E84" s="9"/>
      <c r="F84" s="9"/>
      <c r="G84" s="9"/>
      <c r="H84" s="10"/>
      <c r="I84" s="10"/>
      <c r="J84" s="10"/>
      <c r="K84" s="1"/>
      <c r="L84" s="1"/>
      <c r="M84" s="1"/>
    </row>
    <row r="85" spans="1:13" x14ac:dyDescent="0.25">
      <c r="A85" s="20"/>
      <c r="B85" s="22" t="s">
        <v>152</v>
      </c>
      <c r="C85" s="14" t="s">
        <v>88</v>
      </c>
      <c r="D85" s="15" t="s">
        <v>14</v>
      </c>
      <c r="E85" s="15" t="s">
        <v>153</v>
      </c>
      <c r="F85" s="15"/>
      <c r="G85" s="15"/>
      <c r="H85" s="16" t="s">
        <v>16</v>
      </c>
      <c r="I85" s="16"/>
      <c r="J85" s="16"/>
      <c r="K85" s="1"/>
      <c r="L85" s="1"/>
      <c r="M85" s="1"/>
    </row>
    <row r="86" spans="1:13" x14ac:dyDescent="0.25">
      <c r="A86" s="20"/>
      <c r="B86" s="22" t="s">
        <v>154</v>
      </c>
      <c r="C86" s="14" t="s">
        <v>88</v>
      </c>
      <c r="D86" s="15" t="s">
        <v>19</v>
      </c>
      <c r="E86" s="15" t="s">
        <v>155</v>
      </c>
      <c r="F86" s="15"/>
      <c r="G86" s="15"/>
      <c r="H86" s="16" t="s">
        <v>16</v>
      </c>
      <c r="I86" s="16"/>
      <c r="J86" s="16"/>
      <c r="K86" s="1"/>
      <c r="L86" s="1"/>
      <c r="M86" s="1"/>
    </row>
    <row r="87" spans="1:13" x14ac:dyDescent="0.25">
      <c r="A87" s="20"/>
      <c r="B87" s="22" t="s">
        <v>156</v>
      </c>
      <c r="C87" s="14" t="s">
        <v>88</v>
      </c>
      <c r="D87" s="15" t="s">
        <v>22</v>
      </c>
      <c r="E87" s="15" t="s">
        <v>157</v>
      </c>
      <c r="F87" s="15"/>
      <c r="G87" s="15"/>
      <c r="H87" s="16" t="s">
        <v>16</v>
      </c>
      <c r="I87" s="16"/>
      <c r="J87" s="16"/>
      <c r="K87" s="1"/>
      <c r="L87" s="1"/>
      <c r="M87" s="1"/>
    </row>
    <row r="88" spans="1:13" x14ac:dyDescent="0.25">
      <c r="A88" s="20" t="s">
        <v>82</v>
      </c>
      <c r="B88" s="22" t="s">
        <v>164</v>
      </c>
      <c r="C88" s="14" t="s">
        <v>88</v>
      </c>
      <c r="D88" s="15" t="s">
        <v>25</v>
      </c>
      <c r="E88" s="15" t="s">
        <v>159</v>
      </c>
      <c r="F88" s="15"/>
      <c r="G88" s="15"/>
      <c r="H88" s="16" t="s">
        <v>16</v>
      </c>
      <c r="I88" s="16"/>
      <c r="J88" s="16" t="s">
        <v>17</v>
      </c>
      <c r="K88" s="1"/>
      <c r="L88" s="1"/>
      <c r="M88" s="1"/>
    </row>
    <row r="89" spans="1:13" x14ac:dyDescent="0.25">
      <c r="A89" s="20"/>
      <c r="B89" s="22" t="s">
        <v>158</v>
      </c>
      <c r="C89" s="14" t="s">
        <v>88</v>
      </c>
      <c r="D89" s="15" t="s">
        <v>28</v>
      </c>
      <c r="E89" s="15" t="s">
        <v>161</v>
      </c>
      <c r="F89" s="15"/>
      <c r="G89" s="15"/>
      <c r="H89" s="16" t="s">
        <v>16</v>
      </c>
      <c r="I89" s="16"/>
      <c r="J89" s="16"/>
      <c r="K89" s="1"/>
      <c r="L89" s="1"/>
      <c r="M89" s="1"/>
    </row>
    <row r="90" spans="1:13" x14ac:dyDescent="0.25">
      <c r="A90" s="20"/>
      <c r="B90" s="22" t="s">
        <v>160</v>
      </c>
      <c r="C90" s="14" t="s">
        <v>88</v>
      </c>
      <c r="D90" s="15" t="s">
        <v>31</v>
      </c>
      <c r="E90" s="15" t="s">
        <v>163</v>
      </c>
      <c r="F90" s="15"/>
      <c r="G90" s="15"/>
      <c r="H90" s="16" t="s">
        <v>16</v>
      </c>
      <c r="I90" s="16"/>
      <c r="J90" s="16"/>
      <c r="K90" s="1"/>
      <c r="L90" s="1"/>
      <c r="M90" s="1"/>
    </row>
    <row r="91" spans="1:13" x14ac:dyDescent="0.25">
      <c r="A91" s="20"/>
      <c r="B91" s="22" t="s">
        <v>162</v>
      </c>
      <c r="C91" s="14" t="s">
        <v>88</v>
      </c>
      <c r="D91" s="15" t="s">
        <v>34</v>
      </c>
      <c r="E91" s="15" t="s">
        <v>165</v>
      </c>
      <c r="F91" s="15"/>
      <c r="G91" s="15"/>
      <c r="H91" s="16" t="s">
        <v>16</v>
      </c>
      <c r="I91" s="16"/>
      <c r="J91" s="16"/>
      <c r="K91" s="1"/>
      <c r="L91" s="1"/>
      <c r="M91" s="1"/>
    </row>
    <row r="92" spans="1:13" x14ac:dyDescent="0.25">
      <c r="A92" s="8">
        <v>6</v>
      </c>
      <c r="B92" s="7" t="s">
        <v>166</v>
      </c>
      <c r="C92" s="8"/>
      <c r="D92" s="9"/>
      <c r="E92" s="9"/>
      <c r="F92" s="9"/>
      <c r="G92" s="9"/>
      <c r="H92" s="10"/>
      <c r="I92" s="10"/>
      <c r="J92" s="10"/>
      <c r="K92" s="1"/>
      <c r="L92" s="1"/>
      <c r="M92" s="1"/>
    </row>
    <row r="93" spans="1:13" x14ac:dyDescent="0.25">
      <c r="A93" s="20"/>
      <c r="B93" s="22" t="s">
        <v>167</v>
      </c>
      <c r="C93" s="14" t="s">
        <v>88</v>
      </c>
      <c r="D93" s="15" t="s">
        <v>14</v>
      </c>
      <c r="E93" s="15" t="s">
        <v>168</v>
      </c>
      <c r="F93" s="15"/>
      <c r="G93" s="15"/>
      <c r="H93" s="16" t="s">
        <v>169</v>
      </c>
      <c r="I93" s="16"/>
      <c r="J93" s="16"/>
      <c r="K93" s="1"/>
      <c r="L93" s="1"/>
    </row>
    <row r="94" spans="1:13" x14ac:dyDescent="0.25">
      <c r="A94" s="20"/>
      <c r="B94" s="22" t="s">
        <v>170</v>
      </c>
      <c r="C94" s="14" t="s">
        <v>88</v>
      </c>
      <c r="D94" s="15" t="s">
        <v>19</v>
      </c>
      <c r="E94" s="15" t="s">
        <v>171</v>
      </c>
      <c r="F94" s="15"/>
      <c r="G94" s="15"/>
      <c r="H94" s="16" t="s">
        <v>169</v>
      </c>
      <c r="I94" s="16"/>
      <c r="J94" s="16"/>
      <c r="K94" s="1"/>
      <c r="L94" s="1"/>
      <c r="M94" s="1"/>
    </row>
    <row r="95" spans="1:13" x14ac:dyDescent="0.25">
      <c r="A95" s="20"/>
      <c r="B95" s="22" t="s">
        <v>172</v>
      </c>
      <c r="C95" s="14" t="s">
        <v>88</v>
      </c>
      <c r="D95" s="15" t="s">
        <v>22</v>
      </c>
      <c r="E95" s="15" t="s">
        <v>173</v>
      </c>
      <c r="F95" s="15"/>
      <c r="G95" s="15"/>
      <c r="H95" s="16" t="s">
        <v>169</v>
      </c>
      <c r="I95" s="16"/>
      <c r="J95" s="16"/>
      <c r="K95" s="1"/>
      <c r="L95" s="1"/>
      <c r="M95" s="1"/>
    </row>
    <row r="96" spans="1:13" x14ac:dyDescent="0.25">
      <c r="A96" s="20"/>
      <c r="B96" s="22" t="s">
        <v>174</v>
      </c>
      <c r="C96" s="14" t="s">
        <v>88</v>
      </c>
      <c r="D96" s="15" t="s">
        <v>25</v>
      </c>
      <c r="E96" s="15" t="s">
        <v>175</v>
      </c>
      <c r="F96" s="15"/>
      <c r="G96" s="15"/>
      <c r="H96" s="16" t="s">
        <v>169</v>
      </c>
      <c r="I96" s="16"/>
      <c r="J96" s="16"/>
      <c r="K96" s="1"/>
      <c r="L96" s="1"/>
      <c r="M96" s="1"/>
    </row>
    <row r="97" spans="1:13" x14ac:dyDescent="0.25">
      <c r="A97" s="20"/>
      <c r="B97" s="22" t="s">
        <v>176</v>
      </c>
      <c r="C97" s="14" t="s">
        <v>88</v>
      </c>
      <c r="D97" s="15" t="s">
        <v>28</v>
      </c>
      <c r="E97" s="15" t="s">
        <v>177</v>
      </c>
      <c r="F97" s="15"/>
      <c r="G97" s="15"/>
      <c r="H97" s="16" t="s">
        <v>169</v>
      </c>
      <c r="I97" s="16"/>
      <c r="J97" s="16"/>
      <c r="K97" s="1"/>
      <c r="L97" s="1"/>
      <c r="M97" s="1"/>
    </row>
    <row r="98" spans="1:13" x14ac:dyDescent="0.25">
      <c r="A98" s="20"/>
      <c r="B98" s="22" t="s">
        <v>178</v>
      </c>
      <c r="C98" s="14" t="s">
        <v>88</v>
      </c>
      <c r="D98" s="15" t="s">
        <v>31</v>
      </c>
      <c r="E98" s="15" t="s">
        <v>179</v>
      </c>
      <c r="F98" s="15"/>
      <c r="G98" s="15"/>
      <c r="H98" s="16" t="s">
        <v>169</v>
      </c>
      <c r="I98" s="16"/>
      <c r="J98" s="16"/>
      <c r="K98" s="1"/>
      <c r="L98" s="1"/>
      <c r="M98" s="1"/>
    </row>
    <row r="99" spans="1:13" x14ac:dyDescent="0.25">
      <c r="A99" s="20"/>
      <c r="B99" s="22" t="s">
        <v>180</v>
      </c>
      <c r="C99" s="14" t="s">
        <v>88</v>
      </c>
      <c r="D99" s="15" t="s">
        <v>34</v>
      </c>
      <c r="E99" s="15" t="s">
        <v>181</v>
      </c>
      <c r="F99" s="15"/>
      <c r="G99" s="15"/>
      <c r="H99" s="16" t="s">
        <v>169</v>
      </c>
      <c r="I99" s="16"/>
      <c r="J99" s="16"/>
      <c r="K99" s="1"/>
      <c r="L99" s="1"/>
      <c r="M99" s="1"/>
    </row>
    <row r="100" spans="1:13" x14ac:dyDescent="0.25">
      <c r="A100" s="20"/>
      <c r="B100" s="22" t="s">
        <v>182</v>
      </c>
      <c r="C100" s="14" t="s">
        <v>88</v>
      </c>
      <c r="D100" s="15" t="s">
        <v>37</v>
      </c>
      <c r="E100" s="15" t="s">
        <v>183</v>
      </c>
      <c r="F100" s="15"/>
      <c r="G100" s="15"/>
      <c r="H100" s="16" t="s">
        <v>169</v>
      </c>
      <c r="I100" s="16"/>
      <c r="J100" s="16"/>
      <c r="K100" s="1"/>
      <c r="L100" s="1"/>
      <c r="M100" s="1"/>
    </row>
    <row r="101" spans="1:13" x14ac:dyDescent="0.25">
      <c r="A101" s="20"/>
      <c r="B101" s="22" t="s">
        <v>184</v>
      </c>
      <c r="C101" s="14" t="s">
        <v>88</v>
      </c>
      <c r="D101" s="15" t="s">
        <v>40</v>
      </c>
      <c r="E101" s="15" t="s">
        <v>185</v>
      </c>
      <c r="F101" s="15"/>
      <c r="G101" s="15"/>
      <c r="H101" s="16" t="s">
        <v>90</v>
      </c>
      <c r="I101" s="16"/>
      <c r="J101" s="16"/>
      <c r="K101" s="1"/>
      <c r="L101" s="1"/>
      <c r="M101" s="1"/>
    </row>
    <row r="102" spans="1:13" x14ac:dyDescent="0.25">
      <c r="A102" s="20"/>
      <c r="B102" s="22" t="s">
        <v>186</v>
      </c>
      <c r="C102" s="14" t="s">
        <v>88</v>
      </c>
      <c r="D102" s="15" t="s">
        <v>43</v>
      </c>
      <c r="E102" s="15" t="s">
        <v>187</v>
      </c>
      <c r="F102" s="15"/>
      <c r="G102" s="15"/>
      <c r="H102" s="16" t="s">
        <v>90</v>
      </c>
      <c r="I102" s="16"/>
      <c r="J102" s="16"/>
      <c r="K102" s="1"/>
      <c r="L102" s="1"/>
      <c r="M102" s="1"/>
    </row>
    <row r="103" spans="1:13" x14ac:dyDescent="0.25">
      <c r="A103" s="20"/>
      <c r="B103" s="22" t="s">
        <v>188</v>
      </c>
      <c r="C103" s="14" t="s">
        <v>88</v>
      </c>
      <c r="D103" s="15" t="s">
        <v>46</v>
      </c>
      <c r="E103" s="15" t="s">
        <v>189</v>
      </c>
      <c r="F103" s="15"/>
      <c r="G103" s="15"/>
      <c r="H103" s="16" t="s">
        <v>169</v>
      </c>
      <c r="I103" s="16"/>
      <c r="J103" s="16"/>
      <c r="K103" s="1"/>
      <c r="L103" s="1"/>
    </row>
    <row r="104" spans="1:13" x14ac:dyDescent="0.25">
      <c r="A104" s="20"/>
      <c r="B104" s="22" t="s">
        <v>190</v>
      </c>
      <c r="C104" s="14" t="s">
        <v>88</v>
      </c>
      <c r="D104" s="15" t="s">
        <v>72</v>
      </c>
      <c r="E104" s="15" t="s">
        <v>191</v>
      </c>
      <c r="F104" s="15"/>
      <c r="G104" s="15"/>
      <c r="H104" s="16" t="s">
        <v>169</v>
      </c>
      <c r="I104" s="16"/>
      <c r="J104" s="16"/>
      <c r="K104" s="1"/>
      <c r="L104" s="1"/>
      <c r="M104" s="1"/>
    </row>
    <row r="105" spans="1:13" x14ac:dyDescent="0.25">
      <c r="A105" s="25">
        <v>7</v>
      </c>
      <c r="B105" s="7" t="s">
        <v>192</v>
      </c>
      <c r="C105" s="8"/>
      <c r="D105" s="9"/>
      <c r="E105" s="9"/>
      <c r="F105" s="9"/>
      <c r="G105" s="9"/>
      <c r="H105" s="10"/>
      <c r="I105" s="10"/>
      <c r="J105" s="10"/>
      <c r="K105" s="1"/>
      <c r="L105" s="1"/>
      <c r="M105" s="1"/>
    </row>
    <row r="106" spans="1:13" x14ac:dyDescent="0.25">
      <c r="A106" s="25"/>
      <c r="B106" s="21" t="s">
        <v>2886</v>
      </c>
      <c r="C106" s="14" t="s">
        <v>12</v>
      </c>
      <c r="D106" s="9" t="s">
        <v>14</v>
      </c>
      <c r="E106" s="9" t="s">
        <v>168</v>
      </c>
      <c r="F106" s="9"/>
      <c r="G106" s="9" t="s">
        <v>2887</v>
      </c>
      <c r="H106" s="10" t="s">
        <v>2888</v>
      </c>
      <c r="I106" s="10">
        <v>500</v>
      </c>
      <c r="J106" s="10"/>
      <c r="K106" s="1"/>
      <c r="L106" s="1"/>
      <c r="M106" s="1"/>
    </row>
    <row r="107" spans="1:13" x14ac:dyDescent="0.25">
      <c r="A107" s="25"/>
      <c r="B107" s="21" t="s">
        <v>2889</v>
      </c>
      <c r="C107" s="14" t="s">
        <v>12</v>
      </c>
      <c r="D107" s="9" t="s">
        <v>19</v>
      </c>
      <c r="E107" s="9" t="s">
        <v>171</v>
      </c>
      <c r="F107" s="9"/>
      <c r="G107" s="9" t="s">
        <v>2887</v>
      </c>
      <c r="H107" s="10" t="s">
        <v>2888</v>
      </c>
      <c r="I107" s="10">
        <v>100</v>
      </c>
      <c r="J107" s="10"/>
      <c r="K107" s="1"/>
      <c r="L107" s="1"/>
      <c r="M107" s="1"/>
    </row>
    <row r="108" spans="1:13" x14ac:dyDescent="0.25">
      <c r="A108" s="20"/>
      <c r="B108" s="22" t="s">
        <v>2716</v>
      </c>
      <c r="C108" s="14" t="s">
        <v>12</v>
      </c>
      <c r="D108" s="9" t="s">
        <v>22</v>
      </c>
      <c r="E108" s="9" t="s">
        <v>173</v>
      </c>
      <c r="F108" s="15"/>
      <c r="G108" s="15" t="s">
        <v>2710</v>
      </c>
      <c r="H108" s="16" t="s">
        <v>16</v>
      </c>
      <c r="I108" s="16">
        <v>80</v>
      </c>
      <c r="J108" s="16" t="s">
        <v>2714</v>
      </c>
      <c r="K108" s="1"/>
      <c r="L108" s="1"/>
      <c r="M108" s="1"/>
    </row>
    <row r="109" spans="1:13" x14ac:dyDescent="0.25">
      <c r="A109" s="20"/>
      <c r="B109" s="22" t="s">
        <v>2713</v>
      </c>
      <c r="C109" s="14" t="s">
        <v>12</v>
      </c>
      <c r="D109" s="9" t="s">
        <v>25</v>
      </c>
      <c r="E109" s="9" t="s">
        <v>175</v>
      </c>
      <c r="F109" s="15"/>
      <c r="G109" s="15" t="s">
        <v>2710</v>
      </c>
      <c r="H109" s="16" t="s">
        <v>16</v>
      </c>
      <c r="I109" s="16">
        <v>40</v>
      </c>
      <c r="J109" s="16" t="s">
        <v>2714</v>
      </c>
      <c r="K109" s="1"/>
      <c r="L109" s="1"/>
      <c r="M109" s="1"/>
    </row>
    <row r="110" spans="1:13" x14ac:dyDescent="0.25">
      <c r="A110" s="20"/>
      <c r="B110" s="22" t="s">
        <v>2715</v>
      </c>
      <c r="C110" s="14" t="s">
        <v>12</v>
      </c>
      <c r="D110" s="9" t="s">
        <v>28</v>
      </c>
      <c r="E110" s="9" t="s">
        <v>177</v>
      </c>
      <c r="F110" s="15"/>
      <c r="G110" s="15" t="s">
        <v>2710</v>
      </c>
      <c r="H110" s="16" t="s">
        <v>16</v>
      </c>
      <c r="I110" s="16">
        <v>4</v>
      </c>
      <c r="J110" s="16" t="s">
        <v>2714</v>
      </c>
      <c r="K110" s="1"/>
      <c r="L110" s="1"/>
      <c r="M110" s="1"/>
    </row>
    <row r="111" spans="1:13" x14ac:dyDescent="0.25">
      <c r="A111" s="20"/>
      <c r="B111" s="22" t="s">
        <v>2712</v>
      </c>
      <c r="C111" s="14" t="s">
        <v>12</v>
      </c>
      <c r="D111" s="9" t="s">
        <v>31</v>
      </c>
      <c r="E111" s="9" t="s">
        <v>179</v>
      </c>
      <c r="F111" s="15"/>
      <c r="G111" s="15" t="s">
        <v>2710</v>
      </c>
      <c r="H111" s="16" t="s">
        <v>16</v>
      </c>
      <c r="I111" s="16">
        <v>106</v>
      </c>
      <c r="J111" s="16"/>
      <c r="K111" s="1"/>
      <c r="L111" s="1"/>
      <c r="M111" s="1"/>
    </row>
    <row r="112" spans="1:13" x14ac:dyDescent="0.25">
      <c r="A112" s="20"/>
      <c r="B112" s="22" t="s">
        <v>2711</v>
      </c>
      <c r="C112" s="14" t="s">
        <v>12</v>
      </c>
      <c r="D112" s="9" t="s">
        <v>34</v>
      </c>
      <c r="E112" s="9" t="s">
        <v>181</v>
      </c>
      <c r="F112" s="15"/>
      <c r="G112" s="15" t="s">
        <v>2710</v>
      </c>
      <c r="H112" s="16" t="s">
        <v>16</v>
      </c>
      <c r="I112" s="16">
        <v>110</v>
      </c>
      <c r="J112" s="16"/>
      <c r="K112" s="1"/>
      <c r="L112" s="1"/>
      <c r="M112" s="1"/>
    </row>
    <row r="113" spans="1:13" x14ac:dyDescent="0.25">
      <c r="A113" s="20" t="s">
        <v>82</v>
      </c>
      <c r="B113" s="22" t="s">
        <v>239</v>
      </c>
      <c r="C113" s="14" t="s">
        <v>12</v>
      </c>
      <c r="D113" s="9" t="s">
        <v>37</v>
      </c>
      <c r="E113" s="9" t="s">
        <v>183</v>
      </c>
      <c r="F113" s="15"/>
      <c r="G113" s="15"/>
      <c r="H113" s="16" t="s">
        <v>16</v>
      </c>
      <c r="I113" s="16"/>
      <c r="J113" s="16" t="s">
        <v>17</v>
      </c>
      <c r="K113" s="1"/>
      <c r="L113" s="1"/>
    </row>
    <row r="114" spans="1:13" x14ac:dyDescent="0.25">
      <c r="A114" s="20"/>
      <c r="B114" s="22" t="s">
        <v>193</v>
      </c>
      <c r="C114" s="14" t="s">
        <v>12</v>
      </c>
      <c r="D114" s="9" t="s">
        <v>40</v>
      </c>
      <c r="E114" s="9" t="s">
        <v>185</v>
      </c>
      <c r="F114" s="15"/>
      <c r="G114" s="15" t="s">
        <v>2398</v>
      </c>
      <c r="H114" s="16" t="s">
        <v>16</v>
      </c>
      <c r="I114" s="16">
        <v>48</v>
      </c>
      <c r="J114" s="16"/>
      <c r="K114" s="1"/>
      <c r="L114" s="1"/>
      <c r="M114" s="1"/>
    </row>
    <row r="115" spans="1:13" x14ac:dyDescent="0.25">
      <c r="A115" s="14"/>
      <c r="B115" s="22" t="s">
        <v>1049</v>
      </c>
      <c r="C115" s="14" t="s">
        <v>12</v>
      </c>
      <c r="D115" s="9" t="s">
        <v>43</v>
      </c>
      <c r="E115" s="9" t="s">
        <v>187</v>
      </c>
      <c r="F115" s="15"/>
      <c r="G115" s="15" t="s">
        <v>3236</v>
      </c>
      <c r="H115" s="16" t="s">
        <v>16</v>
      </c>
      <c r="I115" s="16">
        <v>66</v>
      </c>
      <c r="J115" s="16"/>
      <c r="K115" s="1"/>
      <c r="L115" s="1"/>
      <c r="M115" s="1"/>
    </row>
    <row r="116" spans="1:13" x14ac:dyDescent="0.25">
      <c r="A116" s="20"/>
      <c r="B116" s="22" t="s">
        <v>194</v>
      </c>
      <c r="C116" s="14" t="s">
        <v>12</v>
      </c>
      <c r="D116" s="9" t="s">
        <v>46</v>
      </c>
      <c r="E116" s="9" t="s">
        <v>189</v>
      </c>
      <c r="F116" s="15"/>
      <c r="G116" s="15"/>
      <c r="H116" s="16" t="s">
        <v>16</v>
      </c>
      <c r="I116" s="16"/>
      <c r="J116" s="16" t="s">
        <v>17</v>
      </c>
      <c r="K116" s="1"/>
      <c r="L116" s="1"/>
      <c r="M116" s="1"/>
    </row>
    <row r="117" spans="1:13" x14ac:dyDescent="0.25">
      <c r="A117" s="20"/>
      <c r="B117" s="22" t="s">
        <v>195</v>
      </c>
      <c r="C117" s="14" t="s">
        <v>12</v>
      </c>
      <c r="D117" s="9" t="s">
        <v>72</v>
      </c>
      <c r="E117" s="9" t="s">
        <v>191</v>
      </c>
      <c r="F117" s="15"/>
      <c r="G117" s="15"/>
      <c r="H117" s="16" t="s">
        <v>16</v>
      </c>
      <c r="I117" s="16"/>
      <c r="J117" s="16" t="s">
        <v>17</v>
      </c>
      <c r="K117" s="1"/>
      <c r="L117" s="1"/>
      <c r="M117" s="1"/>
    </row>
    <row r="118" spans="1:13" x14ac:dyDescent="0.25">
      <c r="A118" s="20"/>
      <c r="B118" s="22" t="s">
        <v>196</v>
      </c>
      <c r="C118" s="14" t="s">
        <v>12</v>
      </c>
      <c r="D118" s="9" t="s">
        <v>75</v>
      </c>
      <c r="E118" s="9" t="s">
        <v>3864</v>
      </c>
      <c r="F118" s="15"/>
      <c r="G118" s="15"/>
      <c r="H118" s="16" t="s">
        <v>16</v>
      </c>
      <c r="I118" s="16"/>
      <c r="J118" s="16" t="s">
        <v>17</v>
      </c>
      <c r="K118" s="1"/>
      <c r="L118" s="1"/>
      <c r="M118" s="1"/>
    </row>
    <row r="119" spans="1:13" x14ac:dyDescent="0.25">
      <c r="A119" s="20"/>
      <c r="B119" s="22" t="s">
        <v>197</v>
      </c>
      <c r="C119" s="14" t="s">
        <v>12</v>
      </c>
      <c r="D119" s="9" t="s">
        <v>77</v>
      </c>
      <c r="E119" s="9" t="s">
        <v>3865</v>
      </c>
      <c r="F119" s="15"/>
      <c r="G119" s="15"/>
      <c r="H119" s="16" t="s">
        <v>16</v>
      </c>
      <c r="I119" s="16"/>
      <c r="J119" s="16" t="s">
        <v>17</v>
      </c>
      <c r="K119" s="1"/>
      <c r="L119" s="1"/>
      <c r="M119" s="1"/>
    </row>
    <row r="120" spans="1:13" x14ac:dyDescent="0.25">
      <c r="A120" s="20"/>
      <c r="B120" s="22" t="s">
        <v>198</v>
      </c>
      <c r="C120" s="14" t="s">
        <v>12</v>
      </c>
      <c r="D120" s="9" t="s">
        <v>80</v>
      </c>
      <c r="E120" s="9" t="s">
        <v>3866</v>
      </c>
      <c r="F120" s="15"/>
      <c r="G120" s="15"/>
      <c r="H120" s="16" t="s">
        <v>16</v>
      </c>
      <c r="I120" s="16"/>
      <c r="J120" s="16" t="s">
        <v>17</v>
      </c>
      <c r="K120" s="1"/>
      <c r="L120" s="1"/>
      <c r="M120" s="1"/>
    </row>
    <row r="121" spans="1:13" x14ac:dyDescent="0.25">
      <c r="A121" s="20"/>
      <c r="B121" s="22" t="s">
        <v>199</v>
      </c>
      <c r="C121" s="14" t="s">
        <v>12</v>
      </c>
      <c r="D121" s="9" t="s">
        <v>84</v>
      </c>
      <c r="E121" s="9" t="s">
        <v>3867</v>
      </c>
      <c r="F121" s="15"/>
      <c r="G121" s="15"/>
      <c r="H121" s="16" t="s">
        <v>16</v>
      </c>
      <c r="I121" s="16"/>
      <c r="J121" s="16" t="s">
        <v>17</v>
      </c>
      <c r="K121" s="1"/>
      <c r="L121" s="1"/>
      <c r="M121" s="1"/>
    </row>
    <row r="122" spans="1:13" x14ac:dyDescent="0.25">
      <c r="A122" s="20"/>
      <c r="B122" s="22" t="s">
        <v>200</v>
      </c>
      <c r="C122" s="14" t="s">
        <v>12</v>
      </c>
      <c r="D122" s="9" t="s">
        <v>123</v>
      </c>
      <c r="E122" s="9" t="s">
        <v>3868</v>
      </c>
      <c r="F122" s="15"/>
      <c r="G122" s="15"/>
      <c r="H122" s="16" t="s">
        <v>16</v>
      </c>
      <c r="I122" s="16"/>
      <c r="J122" s="16" t="s">
        <v>17</v>
      </c>
      <c r="K122" s="1"/>
      <c r="L122" s="1"/>
      <c r="M122" s="1"/>
    </row>
    <row r="123" spans="1:13" x14ac:dyDescent="0.25">
      <c r="A123" s="20"/>
      <c r="B123" s="22" t="s">
        <v>201</v>
      </c>
      <c r="C123" s="14" t="s">
        <v>12</v>
      </c>
      <c r="D123" s="9" t="s">
        <v>212</v>
      </c>
      <c r="E123" s="9" t="s">
        <v>3869</v>
      </c>
      <c r="F123" s="15"/>
      <c r="G123" s="15"/>
      <c r="H123" s="16" t="s">
        <v>16</v>
      </c>
      <c r="I123" s="16"/>
      <c r="J123" s="16" t="s">
        <v>17</v>
      </c>
      <c r="K123" s="1"/>
      <c r="L123" s="1"/>
      <c r="M123" s="1"/>
    </row>
    <row r="124" spans="1:13" x14ac:dyDescent="0.25">
      <c r="A124" s="20"/>
      <c r="B124" s="26" t="s">
        <v>202</v>
      </c>
      <c r="C124" s="27" t="s">
        <v>12</v>
      </c>
      <c r="D124" s="9" t="s">
        <v>214</v>
      </c>
      <c r="E124" s="9" t="s">
        <v>3870</v>
      </c>
      <c r="F124" s="28"/>
      <c r="G124" s="28"/>
      <c r="H124" s="29" t="s">
        <v>16</v>
      </c>
      <c r="I124" s="29"/>
      <c r="J124" s="29" t="s">
        <v>203</v>
      </c>
      <c r="K124" s="1"/>
      <c r="L124" s="1"/>
      <c r="M124" s="1"/>
    </row>
    <row r="125" spans="1:13" x14ac:dyDescent="0.25">
      <c r="A125" s="20"/>
      <c r="B125" s="26" t="s">
        <v>204</v>
      </c>
      <c r="C125" s="27" t="s">
        <v>12</v>
      </c>
      <c r="D125" s="9" t="s">
        <v>216</v>
      </c>
      <c r="E125" s="9" t="s">
        <v>3871</v>
      </c>
      <c r="F125" s="28"/>
      <c r="G125" s="28"/>
      <c r="H125" s="29" t="s">
        <v>16</v>
      </c>
      <c r="I125" s="29"/>
      <c r="J125" s="29" t="s">
        <v>203</v>
      </c>
      <c r="K125" s="1"/>
      <c r="L125" s="1"/>
      <c r="M125" s="1"/>
    </row>
    <row r="126" spans="1:13" x14ac:dyDescent="0.25">
      <c r="A126" s="20"/>
      <c r="B126" s="26" t="s">
        <v>205</v>
      </c>
      <c r="C126" s="27" t="s">
        <v>12</v>
      </c>
      <c r="D126" s="9" t="s">
        <v>218</v>
      </c>
      <c r="E126" s="9" t="s">
        <v>3872</v>
      </c>
      <c r="F126" s="28"/>
      <c r="G126" s="28"/>
      <c r="H126" s="29" t="s">
        <v>16</v>
      </c>
      <c r="I126" s="29"/>
      <c r="J126" s="29" t="s">
        <v>203</v>
      </c>
      <c r="K126" s="1"/>
      <c r="L126" s="1"/>
      <c r="M126" s="1"/>
    </row>
    <row r="127" spans="1:13" x14ac:dyDescent="0.25">
      <c r="A127" s="20"/>
      <c r="B127" s="26" t="s">
        <v>206</v>
      </c>
      <c r="C127" s="27" t="s">
        <v>12</v>
      </c>
      <c r="D127" s="9" t="s">
        <v>220</v>
      </c>
      <c r="E127" s="9" t="s">
        <v>3873</v>
      </c>
      <c r="F127" s="28"/>
      <c r="G127" s="28"/>
      <c r="H127" s="29" t="s">
        <v>16</v>
      </c>
      <c r="I127" s="29"/>
      <c r="J127" s="29" t="s">
        <v>203</v>
      </c>
      <c r="K127" s="1"/>
      <c r="L127" s="1"/>
      <c r="M127" s="1"/>
    </row>
    <row r="128" spans="1:13" x14ac:dyDescent="0.25">
      <c r="A128" s="20"/>
      <c r="B128" s="26" t="s">
        <v>207</v>
      </c>
      <c r="C128" s="27" t="s">
        <v>12</v>
      </c>
      <c r="D128" s="9" t="s">
        <v>222</v>
      </c>
      <c r="E128" s="9" t="s">
        <v>3874</v>
      </c>
      <c r="F128" s="28"/>
      <c r="G128" s="28"/>
      <c r="H128" s="29" t="s">
        <v>16</v>
      </c>
      <c r="I128" s="29"/>
      <c r="J128" s="29" t="s">
        <v>203</v>
      </c>
      <c r="K128" s="1"/>
      <c r="L128" s="1"/>
      <c r="M128" s="1"/>
    </row>
    <row r="129" spans="1:13" x14ac:dyDescent="0.25">
      <c r="A129" s="20"/>
      <c r="B129" s="26" t="s">
        <v>208</v>
      </c>
      <c r="C129" s="27" t="s">
        <v>12</v>
      </c>
      <c r="D129" s="9" t="s">
        <v>224</v>
      </c>
      <c r="E129" s="9" t="s">
        <v>3875</v>
      </c>
      <c r="F129" s="28"/>
      <c r="G129" s="28"/>
      <c r="H129" s="29" t="s">
        <v>16</v>
      </c>
      <c r="I129" s="29"/>
      <c r="J129" s="29" t="s">
        <v>203</v>
      </c>
      <c r="K129" s="1"/>
      <c r="L129" s="1"/>
      <c r="M129" s="1"/>
    </row>
    <row r="130" spans="1:13" x14ac:dyDescent="0.25">
      <c r="A130" s="20"/>
      <c r="B130" s="22" t="s">
        <v>209</v>
      </c>
      <c r="C130" s="14" t="s">
        <v>12</v>
      </c>
      <c r="D130" s="9" t="s">
        <v>226</v>
      </c>
      <c r="E130" s="9" t="s">
        <v>3876</v>
      </c>
      <c r="F130" s="15"/>
      <c r="G130" s="15"/>
      <c r="H130" s="16" t="s">
        <v>16</v>
      </c>
      <c r="I130" s="16"/>
      <c r="J130" s="16"/>
      <c r="K130" s="1"/>
      <c r="L130" s="1"/>
      <c r="M130" s="1"/>
    </row>
    <row r="131" spans="1:13" x14ac:dyDescent="0.25">
      <c r="A131" s="14"/>
      <c r="B131" s="22" t="s">
        <v>3326</v>
      </c>
      <c r="C131" s="14" t="s">
        <v>12</v>
      </c>
      <c r="D131" s="9" t="s">
        <v>228</v>
      </c>
      <c r="E131" s="9" t="s">
        <v>3877</v>
      </c>
      <c r="F131" s="15"/>
      <c r="G131" s="15" t="s">
        <v>2643</v>
      </c>
      <c r="H131" s="16" t="s">
        <v>16</v>
      </c>
      <c r="I131" s="16">
        <v>115</v>
      </c>
      <c r="J131" s="16"/>
      <c r="K131" s="1"/>
      <c r="L131" s="1"/>
      <c r="M131" s="1"/>
    </row>
    <row r="132" spans="1:13" x14ac:dyDescent="0.25">
      <c r="A132" s="20"/>
      <c r="B132" s="22" t="s">
        <v>210</v>
      </c>
      <c r="C132" s="14" t="s">
        <v>12</v>
      </c>
      <c r="D132" s="9" t="s">
        <v>230</v>
      </c>
      <c r="E132" s="9" t="s">
        <v>3878</v>
      </c>
      <c r="F132" s="15"/>
      <c r="G132" s="15"/>
      <c r="H132" s="16" t="s">
        <v>16</v>
      </c>
      <c r="I132" s="16"/>
      <c r="J132" s="16"/>
      <c r="K132" s="1"/>
      <c r="L132" s="1"/>
      <c r="M132" s="1"/>
    </row>
    <row r="133" spans="1:13" x14ac:dyDescent="0.25">
      <c r="A133" s="20"/>
      <c r="B133" s="30" t="s">
        <v>211</v>
      </c>
      <c r="C133" s="31" t="s">
        <v>12</v>
      </c>
      <c r="D133" s="9" t="s">
        <v>232</v>
      </c>
      <c r="E133" s="9" t="s">
        <v>3879</v>
      </c>
      <c r="F133" s="15"/>
      <c r="G133" s="15"/>
      <c r="H133" s="16" t="s">
        <v>16</v>
      </c>
      <c r="I133" s="16"/>
      <c r="J133" s="16"/>
      <c r="K133" s="1"/>
      <c r="L133" s="1"/>
      <c r="M133" s="1"/>
    </row>
    <row r="134" spans="1:13" x14ac:dyDescent="0.25">
      <c r="A134" s="20"/>
      <c r="B134" s="22" t="s">
        <v>213</v>
      </c>
      <c r="C134" s="14" t="s">
        <v>12</v>
      </c>
      <c r="D134" s="9" t="s">
        <v>234</v>
      </c>
      <c r="E134" s="9" t="s">
        <v>3880</v>
      </c>
      <c r="F134" s="15"/>
      <c r="G134" s="15"/>
      <c r="H134" s="16" t="s">
        <v>16</v>
      </c>
      <c r="I134" s="16"/>
      <c r="J134" s="16"/>
      <c r="K134" s="1"/>
      <c r="L134" s="1"/>
    </row>
    <row r="135" spans="1:13" s="11" customFormat="1" x14ac:dyDescent="0.25">
      <c r="A135" s="20"/>
      <c r="B135" s="22" t="s">
        <v>215</v>
      </c>
      <c r="C135" s="14" t="s">
        <v>88</v>
      </c>
      <c r="D135" s="9" t="s">
        <v>236</v>
      </c>
      <c r="E135" s="9" t="s">
        <v>3881</v>
      </c>
      <c r="F135" s="15"/>
      <c r="G135" s="15"/>
      <c r="H135" s="16" t="s">
        <v>16</v>
      </c>
      <c r="I135" s="16"/>
      <c r="J135" s="16"/>
      <c r="M135" s="12"/>
    </row>
    <row r="136" spans="1:13" x14ac:dyDescent="0.25">
      <c r="A136" s="20" t="s">
        <v>82</v>
      </c>
      <c r="B136" s="22" t="s">
        <v>237</v>
      </c>
      <c r="C136" s="14" t="s">
        <v>12</v>
      </c>
      <c r="D136" s="9" t="s">
        <v>238</v>
      </c>
      <c r="E136" s="9" t="s">
        <v>3882</v>
      </c>
      <c r="F136" s="15"/>
      <c r="G136" s="15"/>
      <c r="H136" s="16" t="s">
        <v>16</v>
      </c>
      <c r="I136" s="16"/>
      <c r="J136" s="16" t="s">
        <v>17</v>
      </c>
      <c r="K136" s="1"/>
      <c r="L136" s="1"/>
    </row>
    <row r="137" spans="1:13" x14ac:dyDescent="0.25">
      <c r="A137" s="20"/>
      <c r="B137" s="22" t="s">
        <v>217</v>
      </c>
      <c r="C137" s="14" t="s">
        <v>12</v>
      </c>
      <c r="D137" s="9" t="s">
        <v>240</v>
      </c>
      <c r="E137" s="9" t="s">
        <v>3883</v>
      </c>
      <c r="F137" s="15"/>
      <c r="G137" s="15"/>
      <c r="H137" s="16" t="s">
        <v>16</v>
      </c>
      <c r="I137" s="16"/>
      <c r="J137" s="16" t="s">
        <v>17</v>
      </c>
      <c r="K137" s="1"/>
      <c r="L137" s="1"/>
    </row>
    <row r="138" spans="1:13" x14ac:dyDescent="0.25">
      <c r="A138" s="20"/>
      <c r="B138" s="22" t="s">
        <v>219</v>
      </c>
      <c r="C138" s="14" t="s">
        <v>12</v>
      </c>
      <c r="D138" s="9" t="s">
        <v>334</v>
      </c>
      <c r="E138" s="9" t="s">
        <v>3884</v>
      </c>
      <c r="F138" s="15"/>
      <c r="G138" s="15"/>
      <c r="H138" s="16" t="s">
        <v>16</v>
      </c>
      <c r="I138" s="16"/>
      <c r="J138" s="16"/>
      <c r="K138" s="1"/>
      <c r="L138" s="1"/>
    </row>
    <row r="139" spans="1:13" x14ac:dyDescent="0.25">
      <c r="A139" s="20"/>
      <c r="B139" s="22" t="s">
        <v>221</v>
      </c>
      <c r="C139" s="14" t="s">
        <v>12</v>
      </c>
      <c r="D139" s="9" t="s">
        <v>337</v>
      </c>
      <c r="E139" s="9" t="s">
        <v>3885</v>
      </c>
      <c r="F139" s="15"/>
      <c r="G139" s="15"/>
      <c r="H139" s="16" t="s">
        <v>16</v>
      </c>
      <c r="I139" s="16"/>
      <c r="J139" s="16"/>
      <c r="K139" s="1"/>
      <c r="L139" s="1"/>
      <c r="M139" s="1"/>
    </row>
    <row r="140" spans="1:13" x14ac:dyDescent="0.25">
      <c r="A140" s="20"/>
      <c r="B140" s="30" t="s">
        <v>223</v>
      </c>
      <c r="C140" s="31" t="s">
        <v>12</v>
      </c>
      <c r="D140" s="9" t="s">
        <v>340</v>
      </c>
      <c r="E140" s="9" t="s">
        <v>3886</v>
      </c>
      <c r="F140" s="15"/>
      <c r="G140" s="15"/>
      <c r="H140" s="16" t="s">
        <v>16</v>
      </c>
      <c r="I140" s="16"/>
      <c r="J140" s="16"/>
      <c r="K140" s="1"/>
      <c r="L140" s="1"/>
      <c r="M140" s="1"/>
    </row>
    <row r="141" spans="1:13" x14ac:dyDescent="0.25">
      <c r="A141" s="20"/>
      <c r="B141" s="22" t="s">
        <v>225</v>
      </c>
      <c r="C141" s="14" t="s">
        <v>12</v>
      </c>
      <c r="D141" s="9" t="s">
        <v>343</v>
      </c>
      <c r="E141" s="9" t="s">
        <v>3887</v>
      </c>
      <c r="F141" s="15"/>
      <c r="G141" s="15"/>
      <c r="H141" s="16" t="s">
        <v>16</v>
      </c>
      <c r="I141" s="16"/>
      <c r="J141" s="16"/>
      <c r="K141" s="1"/>
      <c r="L141" s="1"/>
      <c r="M141" s="1"/>
    </row>
    <row r="142" spans="1:13" x14ac:dyDescent="0.25">
      <c r="A142" s="20"/>
      <c r="B142" s="30" t="s">
        <v>227</v>
      </c>
      <c r="C142" s="31" t="s">
        <v>12</v>
      </c>
      <c r="D142" s="9" t="s">
        <v>345</v>
      </c>
      <c r="E142" s="9" t="s">
        <v>3888</v>
      </c>
      <c r="F142" s="15"/>
      <c r="G142" s="15"/>
      <c r="H142" s="16" t="s">
        <v>16</v>
      </c>
      <c r="I142" s="16"/>
      <c r="J142" s="16"/>
      <c r="K142" s="1"/>
      <c r="L142" s="1"/>
      <c r="M142" s="1"/>
    </row>
    <row r="143" spans="1:13" x14ac:dyDescent="0.25">
      <c r="A143" s="20"/>
      <c r="B143" s="22" t="s">
        <v>229</v>
      </c>
      <c r="C143" s="14" t="s">
        <v>12</v>
      </c>
      <c r="D143" s="9" t="s">
        <v>348</v>
      </c>
      <c r="E143" s="9" t="s">
        <v>3889</v>
      </c>
      <c r="F143" s="15"/>
      <c r="G143" s="15"/>
      <c r="H143" s="16" t="s">
        <v>16</v>
      </c>
      <c r="I143" s="16"/>
      <c r="J143" s="16"/>
      <c r="K143" s="1"/>
      <c r="L143" s="1"/>
      <c r="M143" s="1"/>
    </row>
    <row r="144" spans="1:13" x14ac:dyDescent="0.25">
      <c r="A144" s="20"/>
      <c r="B144" s="22" t="s">
        <v>231</v>
      </c>
      <c r="C144" s="14" t="s">
        <v>12</v>
      </c>
      <c r="D144" s="9" t="s">
        <v>351</v>
      </c>
      <c r="E144" s="9" t="s">
        <v>3890</v>
      </c>
      <c r="F144" s="15"/>
      <c r="G144" s="15"/>
      <c r="H144" s="16" t="s">
        <v>16</v>
      </c>
      <c r="I144" s="16"/>
      <c r="J144" s="16"/>
      <c r="K144" s="1"/>
      <c r="L144" s="1"/>
      <c r="M144" s="1"/>
    </row>
    <row r="145" spans="1:13" x14ac:dyDescent="0.25">
      <c r="A145" s="20"/>
      <c r="B145" s="22" t="s">
        <v>233</v>
      </c>
      <c r="C145" s="14" t="s">
        <v>12</v>
      </c>
      <c r="D145" s="9" t="s">
        <v>431</v>
      </c>
      <c r="E145" s="9" t="s">
        <v>3891</v>
      </c>
      <c r="F145" s="15"/>
      <c r="G145" s="15" t="s">
        <v>3236</v>
      </c>
      <c r="H145" s="16" t="s">
        <v>16</v>
      </c>
      <c r="I145" s="16">
        <v>80</v>
      </c>
      <c r="J145" s="16"/>
      <c r="K145" s="1"/>
      <c r="L145" s="1"/>
    </row>
    <row r="146" spans="1:13" x14ac:dyDescent="0.25">
      <c r="A146" s="20"/>
      <c r="B146" s="22" t="s">
        <v>235</v>
      </c>
      <c r="C146" s="14" t="s">
        <v>12</v>
      </c>
      <c r="D146" s="9" t="s">
        <v>434</v>
      </c>
      <c r="E146" s="9" t="s">
        <v>3892</v>
      </c>
      <c r="F146" s="15"/>
      <c r="G146" s="15"/>
      <c r="H146" s="16" t="s">
        <v>16</v>
      </c>
      <c r="I146" s="16"/>
      <c r="J146" s="16"/>
      <c r="K146" s="1"/>
      <c r="L146" s="1"/>
      <c r="M146" s="1"/>
    </row>
    <row r="147" spans="1:13" x14ac:dyDescent="0.25">
      <c r="A147" s="20"/>
      <c r="B147" s="22" t="s">
        <v>4474</v>
      </c>
      <c r="C147" s="14" t="s">
        <v>12</v>
      </c>
      <c r="D147" s="9" t="s">
        <v>437</v>
      </c>
      <c r="E147" s="9" t="s">
        <v>4475</v>
      </c>
      <c r="F147" s="15"/>
      <c r="G147" s="15" t="s">
        <v>2865</v>
      </c>
      <c r="H147" s="16" t="s">
        <v>16</v>
      </c>
      <c r="I147" s="16">
        <v>10</v>
      </c>
      <c r="J147" s="16"/>
      <c r="K147" s="1"/>
      <c r="L147" s="1"/>
      <c r="M147" s="1"/>
    </row>
    <row r="148" spans="1:13" x14ac:dyDescent="0.25">
      <c r="A148" s="20"/>
      <c r="B148" s="22" t="s">
        <v>4476</v>
      </c>
      <c r="C148" s="14" t="s">
        <v>12</v>
      </c>
      <c r="D148" s="9" t="s">
        <v>440</v>
      </c>
      <c r="E148" s="9" t="s">
        <v>4477</v>
      </c>
      <c r="F148" s="15"/>
      <c r="G148" s="15" t="s">
        <v>2865</v>
      </c>
      <c r="H148" s="16" t="s">
        <v>16</v>
      </c>
      <c r="I148" s="16">
        <v>10</v>
      </c>
      <c r="J148" s="16"/>
      <c r="K148" s="1"/>
      <c r="L148" s="1"/>
      <c r="M148" s="1"/>
    </row>
    <row r="149" spans="1:13" x14ac:dyDescent="0.25">
      <c r="A149" s="20"/>
      <c r="B149" s="22" t="s">
        <v>4478</v>
      </c>
      <c r="C149" s="14" t="s">
        <v>12</v>
      </c>
      <c r="D149" s="9" t="s">
        <v>443</v>
      </c>
      <c r="E149" s="9" t="s">
        <v>4479</v>
      </c>
      <c r="F149" s="15"/>
      <c r="G149" s="15" t="s">
        <v>2865</v>
      </c>
      <c r="H149" s="16" t="s">
        <v>16</v>
      </c>
      <c r="I149" s="16">
        <v>5</v>
      </c>
      <c r="J149" s="16"/>
      <c r="K149" s="1"/>
      <c r="L149" s="1"/>
      <c r="M149" s="1"/>
    </row>
    <row r="150" spans="1:13" x14ac:dyDescent="0.25">
      <c r="A150" s="20"/>
      <c r="B150" s="22" t="s">
        <v>4480</v>
      </c>
      <c r="C150" s="14" t="s">
        <v>12</v>
      </c>
      <c r="D150" s="9" t="s">
        <v>446</v>
      </c>
      <c r="E150" s="9" t="s">
        <v>4481</v>
      </c>
      <c r="F150" s="15"/>
      <c r="G150" s="15" t="s">
        <v>2865</v>
      </c>
      <c r="H150" s="16" t="s">
        <v>16</v>
      </c>
      <c r="I150" s="16">
        <v>5</v>
      </c>
      <c r="J150" s="16"/>
      <c r="K150" s="1"/>
      <c r="L150" s="1"/>
      <c r="M150" s="1"/>
    </row>
    <row r="151" spans="1:13" x14ac:dyDescent="0.25">
      <c r="A151" s="20"/>
      <c r="B151" s="22" t="s">
        <v>4482</v>
      </c>
      <c r="C151" s="14" t="s">
        <v>12</v>
      </c>
      <c r="D151" s="9" t="s">
        <v>449</v>
      </c>
      <c r="E151" s="9" t="s">
        <v>4483</v>
      </c>
      <c r="F151" s="15"/>
      <c r="G151" s="15" t="s">
        <v>2865</v>
      </c>
      <c r="H151" s="16" t="s">
        <v>16</v>
      </c>
      <c r="I151" s="16">
        <v>8</v>
      </c>
      <c r="J151" s="16"/>
      <c r="K151" s="1"/>
      <c r="L151" s="1"/>
      <c r="M151" s="1"/>
    </row>
    <row r="152" spans="1:13" x14ac:dyDescent="0.25">
      <c r="A152" s="20"/>
      <c r="B152" s="22" t="s">
        <v>4484</v>
      </c>
      <c r="C152" s="14" t="s">
        <v>12</v>
      </c>
      <c r="D152" s="9" t="s">
        <v>452</v>
      </c>
      <c r="E152" s="9" t="s">
        <v>4485</v>
      </c>
      <c r="F152" s="15"/>
      <c r="G152" s="15" t="s">
        <v>2865</v>
      </c>
      <c r="H152" s="16" t="s">
        <v>16</v>
      </c>
      <c r="I152" s="16">
        <v>7</v>
      </c>
      <c r="J152" s="16"/>
      <c r="K152" s="1"/>
      <c r="L152" s="1"/>
      <c r="M152" s="1"/>
    </row>
    <row r="153" spans="1:13" x14ac:dyDescent="0.25">
      <c r="A153" s="20"/>
      <c r="B153" s="22" t="s">
        <v>4486</v>
      </c>
      <c r="C153" s="14" t="s">
        <v>12</v>
      </c>
      <c r="D153" s="9" t="s">
        <v>455</v>
      </c>
      <c r="E153" s="9" t="s">
        <v>4487</v>
      </c>
      <c r="F153" s="15"/>
      <c r="G153" s="15" t="s">
        <v>2865</v>
      </c>
      <c r="H153" s="16" t="s">
        <v>16</v>
      </c>
      <c r="I153" s="16">
        <v>15</v>
      </c>
      <c r="J153" s="16"/>
      <c r="K153" s="1"/>
      <c r="L153" s="1"/>
      <c r="M153" s="1"/>
    </row>
    <row r="154" spans="1:13" x14ac:dyDescent="0.25">
      <c r="A154" s="20"/>
      <c r="B154" s="22" t="s">
        <v>4488</v>
      </c>
      <c r="C154" s="14" t="s">
        <v>12</v>
      </c>
      <c r="D154" s="9" t="s">
        <v>458</v>
      </c>
      <c r="E154" s="9" t="s">
        <v>4489</v>
      </c>
      <c r="F154" s="15"/>
      <c r="G154" s="15" t="s">
        <v>2865</v>
      </c>
      <c r="H154" s="16" t="s">
        <v>16</v>
      </c>
      <c r="I154" s="16">
        <v>25</v>
      </c>
      <c r="J154" s="16"/>
      <c r="K154" s="1"/>
      <c r="L154" s="1"/>
      <c r="M154" s="1"/>
    </row>
    <row r="155" spans="1:13" x14ac:dyDescent="0.25">
      <c r="A155" s="20"/>
      <c r="B155" s="22" t="s">
        <v>4490</v>
      </c>
      <c r="C155" s="14" t="s">
        <v>12</v>
      </c>
      <c r="D155" s="9" t="s">
        <v>461</v>
      </c>
      <c r="E155" s="9" t="s">
        <v>4491</v>
      </c>
      <c r="F155" s="15"/>
      <c r="G155" s="15" t="s">
        <v>2865</v>
      </c>
      <c r="H155" s="16" t="s">
        <v>16</v>
      </c>
      <c r="I155" s="16">
        <v>5</v>
      </c>
      <c r="J155" s="16"/>
      <c r="K155" s="1"/>
      <c r="L155" s="1"/>
      <c r="M155" s="1"/>
    </row>
    <row r="156" spans="1:13" x14ac:dyDescent="0.25">
      <c r="A156" s="20"/>
      <c r="B156" s="22" t="s">
        <v>4492</v>
      </c>
      <c r="C156" s="14" t="s">
        <v>12</v>
      </c>
      <c r="D156" s="9" t="s">
        <v>464</v>
      </c>
      <c r="E156" s="9" t="s">
        <v>4493</v>
      </c>
      <c r="F156" s="15"/>
      <c r="G156" s="15" t="s">
        <v>2865</v>
      </c>
      <c r="H156" s="16" t="s">
        <v>16</v>
      </c>
      <c r="I156" s="16">
        <v>20</v>
      </c>
      <c r="J156" s="16"/>
      <c r="K156" s="1"/>
      <c r="L156" s="1"/>
      <c r="M156" s="1"/>
    </row>
    <row r="157" spans="1:13" x14ac:dyDescent="0.25">
      <c r="A157" s="20"/>
      <c r="B157" s="22" t="s">
        <v>4494</v>
      </c>
      <c r="C157" s="14" t="s">
        <v>12</v>
      </c>
      <c r="D157" s="9" t="s">
        <v>467</v>
      </c>
      <c r="E157" s="9" t="s">
        <v>4495</v>
      </c>
      <c r="F157" s="15"/>
      <c r="G157" s="15" t="s">
        <v>2865</v>
      </c>
      <c r="H157" s="16" t="s">
        <v>16</v>
      </c>
      <c r="I157" s="16">
        <v>20</v>
      </c>
      <c r="J157" s="16"/>
      <c r="K157" s="1"/>
      <c r="L157" s="1"/>
      <c r="M157" s="1"/>
    </row>
    <row r="158" spans="1:13" x14ac:dyDescent="0.25">
      <c r="A158" s="20"/>
      <c r="B158" s="22" t="s">
        <v>4496</v>
      </c>
      <c r="C158" s="14" t="s">
        <v>12</v>
      </c>
      <c r="D158" s="9" t="s">
        <v>470</v>
      </c>
      <c r="E158" s="9" t="s">
        <v>4497</v>
      </c>
      <c r="F158" s="15"/>
      <c r="G158" s="15" t="s">
        <v>2865</v>
      </c>
      <c r="H158" s="16" t="s">
        <v>16</v>
      </c>
      <c r="I158" s="16">
        <v>20</v>
      </c>
      <c r="J158" s="16"/>
      <c r="K158" s="1"/>
      <c r="L158" s="1"/>
      <c r="M158" s="1"/>
    </row>
    <row r="159" spans="1:13" x14ac:dyDescent="0.25">
      <c r="A159" s="20"/>
      <c r="B159" s="22" t="s">
        <v>4561</v>
      </c>
      <c r="C159" s="14" t="s">
        <v>12</v>
      </c>
      <c r="D159" s="9" t="s">
        <v>473</v>
      </c>
      <c r="E159" s="9" t="s">
        <v>4562</v>
      </c>
      <c r="F159" s="15"/>
      <c r="G159" s="15" t="s">
        <v>2932</v>
      </c>
      <c r="H159" s="16" t="s">
        <v>16</v>
      </c>
      <c r="I159" s="16">
        <v>2</v>
      </c>
      <c r="J159" s="16"/>
      <c r="K159" s="1"/>
      <c r="L159" s="1"/>
      <c r="M159" s="1"/>
    </row>
    <row r="160" spans="1:13" x14ac:dyDescent="0.25">
      <c r="A160" s="20"/>
      <c r="B160" s="22" t="s">
        <v>4563</v>
      </c>
      <c r="C160" s="14" t="s">
        <v>12</v>
      </c>
      <c r="D160" s="9" t="s">
        <v>476</v>
      </c>
      <c r="E160" s="9" t="s">
        <v>4564</v>
      </c>
      <c r="F160" s="15"/>
      <c r="G160" s="15" t="s">
        <v>2932</v>
      </c>
      <c r="H160" s="16" t="s">
        <v>16</v>
      </c>
      <c r="I160" s="16">
        <v>2</v>
      </c>
      <c r="J160" s="16"/>
      <c r="K160" s="1"/>
      <c r="L160" s="1"/>
      <c r="M160" s="1"/>
    </row>
    <row r="161" spans="1:13" x14ac:dyDescent="0.25">
      <c r="A161" s="20"/>
      <c r="B161" s="22" t="s">
        <v>4625</v>
      </c>
      <c r="C161" s="14" t="s">
        <v>12</v>
      </c>
      <c r="D161" s="9" t="s">
        <v>479</v>
      </c>
      <c r="E161" s="9" t="s">
        <v>4626</v>
      </c>
      <c r="F161" s="15"/>
      <c r="G161" s="15" t="s">
        <v>2865</v>
      </c>
      <c r="H161" s="16" t="s">
        <v>16</v>
      </c>
      <c r="I161" s="16">
        <v>20</v>
      </c>
      <c r="J161" s="16"/>
      <c r="K161" s="1"/>
      <c r="L161" s="1"/>
      <c r="M161" s="1"/>
    </row>
    <row r="162" spans="1:13" x14ac:dyDescent="0.25">
      <c r="A162" s="20"/>
      <c r="B162" s="22" t="s">
        <v>4627</v>
      </c>
      <c r="C162" s="14" t="s">
        <v>12</v>
      </c>
      <c r="D162" s="9" t="s">
        <v>482</v>
      </c>
      <c r="E162" s="9" t="s">
        <v>4628</v>
      </c>
      <c r="F162" s="15"/>
      <c r="G162" s="15" t="s">
        <v>2865</v>
      </c>
      <c r="H162" s="16" t="s">
        <v>16</v>
      </c>
      <c r="I162" s="16">
        <v>20</v>
      </c>
      <c r="J162" s="16"/>
      <c r="K162" s="1"/>
      <c r="L162" s="1"/>
      <c r="M162" s="1"/>
    </row>
    <row r="163" spans="1:13" x14ac:dyDescent="0.25">
      <c r="A163" s="20"/>
      <c r="B163" s="22" t="s">
        <v>4632</v>
      </c>
      <c r="C163" s="14" t="s">
        <v>12</v>
      </c>
      <c r="D163" s="9" t="s">
        <v>485</v>
      </c>
      <c r="E163" s="9" t="s">
        <v>4633</v>
      </c>
      <c r="F163" s="15"/>
      <c r="G163" s="15" t="s">
        <v>2865</v>
      </c>
      <c r="H163" s="16" t="s">
        <v>16</v>
      </c>
      <c r="I163" s="16">
        <v>20</v>
      </c>
      <c r="J163" s="16"/>
      <c r="K163" s="1"/>
      <c r="L163" s="1"/>
      <c r="M163" s="1"/>
    </row>
    <row r="164" spans="1:13" x14ac:dyDescent="0.25">
      <c r="A164" s="8">
        <v>8</v>
      </c>
      <c r="B164" s="7" t="s">
        <v>241</v>
      </c>
      <c r="C164" s="8"/>
      <c r="D164" s="9"/>
      <c r="E164" s="9"/>
      <c r="F164" s="9"/>
      <c r="G164" s="9"/>
      <c r="H164" s="10"/>
      <c r="I164" s="10"/>
      <c r="J164" s="10"/>
      <c r="K164" s="1"/>
      <c r="L164" s="1"/>
      <c r="M164" s="1"/>
    </row>
    <row r="165" spans="1:13" x14ac:dyDescent="0.25">
      <c r="A165" s="20"/>
      <c r="B165" s="22" t="s">
        <v>242</v>
      </c>
      <c r="C165" s="14" t="s">
        <v>12</v>
      </c>
      <c r="D165" s="15" t="s">
        <v>14</v>
      </c>
      <c r="E165" s="15" t="s">
        <v>243</v>
      </c>
      <c r="F165" s="15"/>
      <c r="G165" s="15"/>
      <c r="H165" s="16" t="s">
        <v>90</v>
      </c>
      <c r="I165" s="16"/>
      <c r="J165" s="16"/>
      <c r="K165" s="1"/>
      <c r="L165" s="1"/>
      <c r="M165" s="1"/>
    </row>
    <row r="166" spans="1:13" x14ac:dyDescent="0.25">
      <c r="A166" s="20"/>
      <c r="B166" s="22" t="s">
        <v>244</v>
      </c>
      <c r="C166" s="14" t="s">
        <v>12</v>
      </c>
      <c r="D166" s="15" t="s">
        <v>19</v>
      </c>
      <c r="E166" s="15" t="s">
        <v>245</v>
      </c>
      <c r="F166" s="15"/>
      <c r="G166" s="15"/>
      <c r="H166" s="16" t="s">
        <v>246</v>
      </c>
      <c r="I166" s="16"/>
      <c r="J166" s="16" t="s">
        <v>17</v>
      </c>
      <c r="K166" s="1"/>
      <c r="L166" s="1"/>
      <c r="M166" s="1"/>
    </row>
    <row r="167" spans="1:13" x14ac:dyDescent="0.25">
      <c r="A167" s="20"/>
      <c r="B167" s="22" t="s">
        <v>261</v>
      </c>
      <c r="C167" s="14" t="s">
        <v>12</v>
      </c>
      <c r="D167" s="15" t="s">
        <v>22</v>
      </c>
      <c r="E167" s="15" t="s">
        <v>248</v>
      </c>
      <c r="F167" s="15"/>
      <c r="G167" s="15"/>
      <c r="H167" s="16" t="s">
        <v>246</v>
      </c>
      <c r="I167" s="16"/>
      <c r="J167" s="16" t="s">
        <v>17</v>
      </c>
      <c r="K167" s="1"/>
      <c r="L167" s="1"/>
      <c r="M167" s="1"/>
    </row>
    <row r="168" spans="1:13" x14ac:dyDescent="0.25">
      <c r="A168" s="20"/>
      <c r="B168" s="22" t="s">
        <v>247</v>
      </c>
      <c r="C168" s="14" t="s">
        <v>12</v>
      </c>
      <c r="D168" s="15" t="s">
        <v>25</v>
      </c>
      <c r="E168" s="15" t="s">
        <v>250</v>
      </c>
      <c r="F168" s="15"/>
      <c r="G168" s="15" t="s">
        <v>2699</v>
      </c>
      <c r="H168" s="16" t="s">
        <v>2701</v>
      </c>
      <c r="I168" s="16">
        <v>30</v>
      </c>
      <c r="J168" s="16"/>
      <c r="K168" s="1"/>
      <c r="L168" s="1"/>
      <c r="M168" s="1"/>
    </row>
    <row r="169" spans="1:13" x14ac:dyDescent="0.25">
      <c r="A169" s="20"/>
      <c r="B169" s="22" t="s">
        <v>249</v>
      </c>
      <c r="C169" s="14" t="s">
        <v>12</v>
      </c>
      <c r="D169" s="15" t="s">
        <v>28</v>
      </c>
      <c r="E169" s="15" t="s">
        <v>252</v>
      </c>
      <c r="F169" s="15"/>
      <c r="G169" s="15" t="s">
        <v>2699</v>
      </c>
      <c r="H169" s="16" t="s">
        <v>2701</v>
      </c>
      <c r="I169" s="16">
        <v>300</v>
      </c>
      <c r="J169" s="16"/>
      <c r="K169" s="1"/>
      <c r="L169" s="1"/>
      <c r="M169" s="1"/>
    </row>
    <row r="170" spans="1:13" x14ac:dyDescent="0.25">
      <c r="A170" s="20"/>
      <c r="B170" s="22" t="s">
        <v>255</v>
      </c>
      <c r="C170" s="14" t="s">
        <v>88</v>
      </c>
      <c r="D170" s="15" t="s">
        <v>31</v>
      </c>
      <c r="E170" s="15" t="s">
        <v>254</v>
      </c>
      <c r="F170" s="15" t="s">
        <v>2395</v>
      </c>
      <c r="G170" s="15" t="s">
        <v>2283</v>
      </c>
      <c r="H170" s="16" t="s">
        <v>16</v>
      </c>
      <c r="I170" s="16">
        <v>3</v>
      </c>
      <c r="J170" s="16"/>
      <c r="K170" s="1"/>
      <c r="L170" s="1"/>
      <c r="M170" s="1"/>
    </row>
    <row r="171" spans="1:13" x14ac:dyDescent="0.25">
      <c r="A171" s="20"/>
      <c r="B171" s="22" t="s">
        <v>251</v>
      </c>
      <c r="C171" s="14" t="s">
        <v>88</v>
      </c>
      <c r="D171" s="15" t="s">
        <v>34</v>
      </c>
      <c r="E171" s="15" t="s">
        <v>256</v>
      </c>
      <c r="F171" s="15" t="s">
        <v>2395</v>
      </c>
      <c r="G171" s="15" t="s">
        <v>2283</v>
      </c>
      <c r="H171" s="16" t="s">
        <v>16</v>
      </c>
      <c r="I171" s="16">
        <v>14</v>
      </c>
      <c r="J171" s="16"/>
      <c r="K171" s="1"/>
      <c r="L171" s="1"/>
      <c r="M171" s="1"/>
    </row>
    <row r="172" spans="1:13" x14ac:dyDescent="0.25">
      <c r="A172" s="20"/>
      <c r="B172" s="22" t="s">
        <v>257</v>
      </c>
      <c r="C172" s="14" t="s">
        <v>88</v>
      </c>
      <c r="D172" s="15" t="s">
        <v>37</v>
      </c>
      <c r="E172" s="15" t="s">
        <v>258</v>
      </c>
      <c r="F172" s="15" t="s">
        <v>2395</v>
      </c>
      <c r="G172" s="15" t="s">
        <v>2659</v>
      </c>
      <c r="H172" s="16" t="s">
        <v>16</v>
      </c>
      <c r="I172" s="16">
        <v>4</v>
      </c>
      <c r="J172" s="16"/>
      <c r="K172" s="1"/>
      <c r="L172" s="1"/>
      <c r="M172" s="1"/>
    </row>
    <row r="173" spans="1:13" x14ac:dyDescent="0.25">
      <c r="A173" s="20"/>
      <c r="B173" s="22" t="s">
        <v>253</v>
      </c>
      <c r="C173" s="14" t="s">
        <v>88</v>
      </c>
      <c r="D173" s="15" t="s">
        <v>40</v>
      </c>
      <c r="E173" s="15" t="s">
        <v>260</v>
      </c>
      <c r="F173" s="15" t="s">
        <v>2395</v>
      </c>
      <c r="G173" s="15" t="s">
        <v>2659</v>
      </c>
      <c r="H173" s="16" t="s">
        <v>16</v>
      </c>
      <c r="I173" s="16">
        <v>30</v>
      </c>
      <c r="J173" s="16"/>
      <c r="K173" s="1"/>
      <c r="L173" s="1"/>
      <c r="M173" s="1"/>
    </row>
    <row r="174" spans="1:13" x14ac:dyDescent="0.25">
      <c r="A174" s="20"/>
      <c r="B174" s="22" t="s">
        <v>259</v>
      </c>
      <c r="C174" s="14" t="s">
        <v>12</v>
      </c>
      <c r="D174" s="15" t="s">
        <v>43</v>
      </c>
      <c r="E174" s="15" t="s">
        <v>262</v>
      </c>
      <c r="F174" s="15"/>
      <c r="G174" s="15"/>
      <c r="H174" s="16" t="s">
        <v>246</v>
      </c>
      <c r="I174" s="16"/>
      <c r="J174" s="16"/>
      <c r="K174" s="1"/>
      <c r="L174" s="1"/>
      <c r="M174" s="1"/>
    </row>
    <row r="175" spans="1:13" x14ac:dyDescent="0.25">
      <c r="A175" s="20"/>
      <c r="B175" s="22" t="s">
        <v>268</v>
      </c>
      <c r="C175" s="14" t="s">
        <v>12</v>
      </c>
      <c r="D175" s="15" t="s">
        <v>46</v>
      </c>
      <c r="E175" s="15" t="s">
        <v>264</v>
      </c>
      <c r="F175" s="15"/>
      <c r="G175" s="15"/>
      <c r="H175" s="16" t="s">
        <v>16</v>
      </c>
      <c r="I175" s="16"/>
      <c r="J175" s="16" t="s">
        <v>17</v>
      </c>
      <c r="K175" s="1"/>
      <c r="L175" s="1"/>
      <c r="M175" s="1"/>
    </row>
    <row r="176" spans="1:13" x14ac:dyDescent="0.25">
      <c r="A176" s="20"/>
      <c r="B176" s="22" t="s">
        <v>242</v>
      </c>
      <c r="C176" s="14" t="s">
        <v>12</v>
      </c>
      <c r="D176" s="15" t="s">
        <v>72</v>
      </c>
      <c r="E176" s="15" t="s">
        <v>266</v>
      </c>
      <c r="F176" s="15"/>
      <c r="G176" s="15"/>
      <c r="H176" s="16" t="s">
        <v>90</v>
      </c>
      <c r="I176" s="16"/>
      <c r="J176" s="16"/>
      <c r="K176" s="1"/>
      <c r="L176" s="1"/>
      <c r="M176" s="1"/>
    </row>
    <row r="177" spans="1:13" x14ac:dyDescent="0.25">
      <c r="A177" s="20"/>
      <c r="B177" s="22" t="s">
        <v>3309</v>
      </c>
      <c r="C177" s="14" t="s">
        <v>12</v>
      </c>
      <c r="D177" s="15" t="s">
        <v>75</v>
      </c>
      <c r="E177" s="15" t="s">
        <v>269</v>
      </c>
      <c r="F177" s="15"/>
      <c r="G177" s="15" t="s">
        <v>2699</v>
      </c>
      <c r="H177" s="16" t="s">
        <v>90</v>
      </c>
      <c r="I177" s="16">
        <v>3</v>
      </c>
      <c r="J177" s="16" t="s">
        <v>17</v>
      </c>
      <c r="K177" s="1"/>
      <c r="L177" s="1"/>
      <c r="M177" s="1"/>
    </row>
    <row r="178" spans="1:13" x14ac:dyDescent="0.25">
      <c r="A178" s="20"/>
      <c r="B178" s="22" t="s">
        <v>3310</v>
      </c>
      <c r="C178" s="14" t="s">
        <v>12</v>
      </c>
      <c r="D178" s="15" t="s">
        <v>77</v>
      </c>
      <c r="E178" s="15" t="s">
        <v>3893</v>
      </c>
      <c r="F178" s="15"/>
      <c r="G178" s="15" t="s">
        <v>2699</v>
      </c>
      <c r="H178" s="16" t="s">
        <v>90</v>
      </c>
      <c r="I178" s="16">
        <v>3</v>
      </c>
      <c r="J178" s="16" t="s">
        <v>17</v>
      </c>
      <c r="K178" s="1"/>
      <c r="L178" s="1"/>
      <c r="M178" s="1"/>
    </row>
    <row r="179" spans="1:13" x14ac:dyDescent="0.25">
      <c r="A179" s="20"/>
      <c r="B179" s="22" t="s">
        <v>265</v>
      </c>
      <c r="C179" s="14" t="s">
        <v>12</v>
      </c>
      <c r="D179" s="15" t="s">
        <v>80</v>
      </c>
      <c r="E179" s="15" t="s">
        <v>3894</v>
      </c>
      <c r="F179" s="15"/>
      <c r="G179" s="15"/>
      <c r="H179" s="16" t="s">
        <v>267</v>
      </c>
      <c r="I179" s="16"/>
      <c r="J179" s="16" t="s">
        <v>17</v>
      </c>
      <c r="K179" s="1"/>
      <c r="L179" s="1"/>
      <c r="M179" s="1"/>
    </row>
    <row r="180" spans="1:13" x14ac:dyDescent="0.25">
      <c r="A180" s="8">
        <v>9</v>
      </c>
      <c r="B180" s="7" t="s">
        <v>270</v>
      </c>
      <c r="C180" s="14"/>
      <c r="D180" s="9"/>
      <c r="E180" s="9"/>
      <c r="F180" s="9"/>
      <c r="G180" s="9"/>
      <c r="H180" s="10"/>
      <c r="I180" s="10"/>
      <c r="J180" s="10"/>
      <c r="K180" s="1"/>
      <c r="L180" s="1"/>
      <c r="M180" s="1"/>
    </row>
    <row r="181" spans="1:13" x14ac:dyDescent="0.25">
      <c r="A181" s="20"/>
      <c r="B181" s="22" t="s">
        <v>2815</v>
      </c>
      <c r="C181" s="14" t="s">
        <v>12</v>
      </c>
      <c r="D181" s="9" t="s">
        <v>14</v>
      </c>
      <c r="E181" s="9" t="s">
        <v>272</v>
      </c>
      <c r="F181" s="9"/>
      <c r="G181" s="15" t="s">
        <v>2813</v>
      </c>
      <c r="H181" s="16" t="s">
        <v>2814</v>
      </c>
      <c r="I181" s="16">
        <v>56</v>
      </c>
      <c r="J181" s="16"/>
      <c r="K181" s="1"/>
      <c r="L181" s="1"/>
      <c r="M181" s="1"/>
    </row>
    <row r="182" spans="1:13" s="11" customFormat="1" x14ac:dyDescent="0.25">
      <c r="A182" s="20"/>
      <c r="B182" s="22" t="s">
        <v>2819</v>
      </c>
      <c r="C182" s="14" t="s">
        <v>12</v>
      </c>
      <c r="D182" s="15" t="s">
        <v>19</v>
      </c>
      <c r="E182" s="15" t="s">
        <v>274</v>
      </c>
      <c r="F182" s="15"/>
      <c r="G182" s="15" t="s">
        <v>2813</v>
      </c>
      <c r="H182" s="16" t="s">
        <v>2814</v>
      </c>
      <c r="I182" s="16">
        <v>70</v>
      </c>
      <c r="J182" s="16"/>
      <c r="M182" s="12"/>
    </row>
    <row r="183" spans="1:13" x14ac:dyDescent="0.25">
      <c r="A183" s="20"/>
      <c r="B183" s="32" t="s">
        <v>2818</v>
      </c>
      <c r="C183" s="14" t="s">
        <v>12</v>
      </c>
      <c r="D183" s="9" t="s">
        <v>22</v>
      </c>
      <c r="E183" s="9" t="s">
        <v>276</v>
      </c>
      <c r="F183" s="15"/>
      <c r="G183" s="15" t="s">
        <v>2828</v>
      </c>
      <c r="H183" s="16" t="s">
        <v>2814</v>
      </c>
      <c r="I183" s="16">
        <v>60</v>
      </c>
      <c r="J183" s="16"/>
      <c r="K183" s="1"/>
      <c r="L183" s="1"/>
    </row>
    <row r="184" spans="1:13" x14ac:dyDescent="0.25">
      <c r="A184" s="20"/>
      <c r="B184" s="22" t="s">
        <v>305</v>
      </c>
      <c r="C184" s="14" t="s">
        <v>12</v>
      </c>
      <c r="D184" s="15" t="s">
        <v>25</v>
      </c>
      <c r="E184" s="15" t="s">
        <v>278</v>
      </c>
      <c r="F184" s="15"/>
      <c r="G184" s="15"/>
      <c r="H184" s="16" t="s">
        <v>16</v>
      </c>
      <c r="I184" s="16"/>
      <c r="J184" s="16" t="s">
        <v>17</v>
      </c>
      <c r="K184" s="1"/>
      <c r="L184" s="1"/>
    </row>
    <row r="185" spans="1:13" x14ac:dyDescent="0.25">
      <c r="A185" s="20"/>
      <c r="B185" s="22" t="s">
        <v>350</v>
      </c>
      <c r="C185" s="14" t="s">
        <v>12</v>
      </c>
      <c r="D185" s="9" t="s">
        <v>28</v>
      </c>
      <c r="E185" s="9" t="s">
        <v>280</v>
      </c>
      <c r="F185" s="9"/>
      <c r="G185" s="9"/>
      <c r="H185" s="16" t="s">
        <v>16</v>
      </c>
      <c r="I185" s="16"/>
      <c r="J185" s="16" t="s">
        <v>17</v>
      </c>
      <c r="K185" s="1"/>
      <c r="L185" s="1"/>
      <c r="M185" s="1"/>
    </row>
    <row r="186" spans="1:13" x14ac:dyDescent="0.25">
      <c r="A186" s="20"/>
      <c r="B186" s="22" t="s">
        <v>2816</v>
      </c>
      <c r="C186" s="14" t="s">
        <v>12</v>
      </c>
      <c r="D186" s="15" t="s">
        <v>31</v>
      </c>
      <c r="E186" s="15" t="s">
        <v>282</v>
      </c>
      <c r="F186" s="15" t="s">
        <v>2369</v>
      </c>
      <c r="G186" s="15" t="s">
        <v>2813</v>
      </c>
      <c r="H186" s="16" t="s">
        <v>2814</v>
      </c>
      <c r="I186" s="16">
        <v>89</v>
      </c>
      <c r="J186" s="16"/>
      <c r="K186" s="1"/>
      <c r="L186" s="1"/>
      <c r="M186" s="1"/>
    </row>
    <row r="187" spans="1:13" x14ac:dyDescent="0.25">
      <c r="A187" s="20"/>
      <c r="B187" s="22" t="s">
        <v>2817</v>
      </c>
      <c r="C187" s="14" t="s">
        <v>12</v>
      </c>
      <c r="D187" s="9" t="s">
        <v>34</v>
      </c>
      <c r="E187" s="9" t="s">
        <v>284</v>
      </c>
      <c r="F187" s="15" t="s">
        <v>2363</v>
      </c>
      <c r="G187" s="15" t="s">
        <v>2813</v>
      </c>
      <c r="H187" s="16" t="s">
        <v>2814</v>
      </c>
      <c r="I187" s="16">
        <v>47</v>
      </c>
      <c r="J187" s="16"/>
      <c r="K187" s="1"/>
      <c r="L187" s="1"/>
      <c r="M187" s="1"/>
    </row>
    <row r="188" spans="1:13" x14ac:dyDescent="0.25">
      <c r="A188" s="20"/>
      <c r="B188" s="22" t="s">
        <v>2817</v>
      </c>
      <c r="C188" s="14" t="s">
        <v>12</v>
      </c>
      <c r="D188" s="15" t="s">
        <v>37</v>
      </c>
      <c r="E188" s="15" t="s">
        <v>286</v>
      </c>
      <c r="F188" s="15"/>
      <c r="G188" s="15" t="s">
        <v>2804</v>
      </c>
      <c r="H188" s="16" t="s">
        <v>2814</v>
      </c>
      <c r="I188" s="16">
        <v>195</v>
      </c>
      <c r="J188" s="16"/>
      <c r="K188" s="1"/>
      <c r="L188" s="1"/>
      <c r="M188" s="1"/>
    </row>
    <row r="189" spans="1:13" x14ac:dyDescent="0.25">
      <c r="A189" s="20"/>
      <c r="B189" s="22" t="s">
        <v>309</v>
      </c>
      <c r="C189" s="14" t="s">
        <v>12</v>
      </c>
      <c r="D189" s="9" t="s">
        <v>40</v>
      </c>
      <c r="E189" s="9" t="s">
        <v>288</v>
      </c>
      <c r="F189" s="15"/>
      <c r="G189" s="15"/>
      <c r="H189" s="16" t="s">
        <v>16</v>
      </c>
      <c r="I189" s="16"/>
      <c r="J189" s="16"/>
      <c r="K189" s="1"/>
      <c r="L189" s="1"/>
      <c r="M189" s="1"/>
    </row>
    <row r="190" spans="1:13" x14ac:dyDescent="0.25">
      <c r="A190" s="20"/>
      <c r="B190" s="22" t="s">
        <v>311</v>
      </c>
      <c r="C190" s="14" t="s">
        <v>12</v>
      </c>
      <c r="D190" s="15" t="s">
        <v>43</v>
      </c>
      <c r="E190" s="15" t="s">
        <v>290</v>
      </c>
      <c r="F190" s="15"/>
      <c r="G190" s="15"/>
      <c r="H190" s="16" t="s">
        <v>16</v>
      </c>
      <c r="I190" s="16"/>
      <c r="J190" s="16"/>
      <c r="K190" s="1"/>
      <c r="L190" s="1"/>
      <c r="M190" s="1"/>
    </row>
    <row r="191" spans="1:13" x14ac:dyDescent="0.25">
      <c r="A191" s="20"/>
      <c r="B191" s="22" t="s">
        <v>2812</v>
      </c>
      <c r="C191" s="14" t="s">
        <v>12</v>
      </c>
      <c r="D191" s="9" t="s">
        <v>46</v>
      </c>
      <c r="E191" s="9" t="s">
        <v>292</v>
      </c>
      <c r="F191" s="15"/>
      <c r="G191" s="15" t="s">
        <v>2813</v>
      </c>
      <c r="H191" s="16" t="s">
        <v>2814</v>
      </c>
      <c r="I191" s="16">
        <v>6</v>
      </c>
      <c r="J191" s="16"/>
      <c r="K191" s="1"/>
      <c r="L191" s="1"/>
      <c r="M191" s="1"/>
    </row>
    <row r="192" spans="1:13" x14ac:dyDescent="0.25">
      <c r="A192" s="20"/>
      <c r="B192" s="22" t="s">
        <v>315</v>
      </c>
      <c r="C192" s="14" t="s">
        <v>12</v>
      </c>
      <c r="D192" s="15" t="s">
        <v>72</v>
      </c>
      <c r="E192" s="15" t="s">
        <v>294</v>
      </c>
      <c r="F192" s="15"/>
      <c r="G192" s="15"/>
      <c r="H192" s="16" t="s">
        <v>16</v>
      </c>
      <c r="I192" s="16"/>
      <c r="J192" s="16"/>
      <c r="K192" s="1"/>
      <c r="L192" s="1"/>
      <c r="M192" s="1"/>
    </row>
    <row r="193" spans="1:13" x14ac:dyDescent="0.25">
      <c r="A193" s="20"/>
      <c r="B193" s="22" t="s">
        <v>313</v>
      </c>
      <c r="C193" s="14" t="s">
        <v>12</v>
      </c>
      <c r="D193" s="9" t="s">
        <v>75</v>
      </c>
      <c r="E193" s="9" t="s">
        <v>296</v>
      </c>
      <c r="F193" s="15"/>
      <c r="G193" s="15"/>
      <c r="H193" s="16" t="s">
        <v>16</v>
      </c>
      <c r="I193" s="16"/>
      <c r="J193" s="16"/>
      <c r="K193" s="1"/>
      <c r="L193" s="1"/>
      <c r="M193" s="1"/>
    </row>
    <row r="194" spans="1:13" x14ac:dyDescent="0.25">
      <c r="A194" s="20"/>
      <c r="B194" s="32" t="s">
        <v>319</v>
      </c>
      <c r="C194" s="17" t="s">
        <v>12</v>
      </c>
      <c r="D194" s="15" t="s">
        <v>77</v>
      </c>
      <c r="E194" s="15" t="s">
        <v>298</v>
      </c>
      <c r="F194" s="18"/>
      <c r="G194" s="18"/>
      <c r="H194" s="19" t="s">
        <v>16</v>
      </c>
      <c r="I194" s="19"/>
      <c r="J194" s="19"/>
      <c r="K194" s="1"/>
      <c r="L194" s="1"/>
      <c r="M194" s="1"/>
    </row>
    <row r="195" spans="1:13" x14ac:dyDescent="0.25">
      <c r="A195" s="20"/>
      <c r="B195" s="22" t="s">
        <v>317</v>
      </c>
      <c r="C195" s="14" t="s">
        <v>12</v>
      </c>
      <c r="D195" s="9" t="s">
        <v>80</v>
      </c>
      <c r="E195" s="9" t="s">
        <v>300</v>
      </c>
      <c r="F195" s="15"/>
      <c r="G195" s="15"/>
      <c r="H195" s="16" t="s">
        <v>16</v>
      </c>
      <c r="I195" s="16"/>
      <c r="J195" s="16"/>
      <c r="K195" s="1"/>
      <c r="L195" s="1"/>
      <c r="M195" s="1"/>
    </row>
    <row r="196" spans="1:13" x14ac:dyDescent="0.25">
      <c r="A196" s="20"/>
      <c r="B196" s="32" t="s">
        <v>321</v>
      </c>
      <c r="C196" s="17" t="s">
        <v>12</v>
      </c>
      <c r="D196" s="15" t="s">
        <v>84</v>
      </c>
      <c r="E196" s="15" t="s">
        <v>302</v>
      </c>
      <c r="F196" s="18"/>
      <c r="G196" s="18"/>
      <c r="H196" s="19" t="s">
        <v>16</v>
      </c>
      <c r="I196" s="19"/>
      <c r="J196" s="16"/>
      <c r="K196" s="1"/>
      <c r="L196" s="1"/>
      <c r="M196" s="1"/>
    </row>
    <row r="197" spans="1:13" x14ac:dyDescent="0.25">
      <c r="A197" s="20"/>
      <c r="B197" s="111" t="s">
        <v>3260</v>
      </c>
      <c r="C197" s="17" t="s">
        <v>12</v>
      </c>
      <c r="D197" s="9" t="s">
        <v>123</v>
      </c>
      <c r="E197" s="9" t="s">
        <v>304</v>
      </c>
      <c r="F197" s="18"/>
      <c r="G197" s="112" t="s">
        <v>3236</v>
      </c>
      <c r="H197" s="113" t="s">
        <v>16</v>
      </c>
      <c r="I197" s="113">
        <v>4</v>
      </c>
      <c r="J197" s="16"/>
      <c r="K197" s="1"/>
      <c r="L197" s="1"/>
      <c r="M197" s="1"/>
    </row>
    <row r="198" spans="1:13" x14ac:dyDescent="0.25">
      <c r="A198" s="20"/>
      <c r="B198" s="22" t="s">
        <v>3016</v>
      </c>
      <c r="C198" s="17" t="s">
        <v>12</v>
      </c>
      <c r="D198" s="15" t="s">
        <v>212</v>
      </c>
      <c r="E198" s="15" t="s">
        <v>306</v>
      </c>
      <c r="F198" s="15" t="s">
        <v>2825</v>
      </c>
      <c r="G198" s="15" t="s">
        <v>2795</v>
      </c>
      <c r="H198" s="16" t="s">
        <v>2878</v>
      </c>
      <c r="I198" s="16">
        <v>39</v>
      </c>
      <c r="J198" s="16"/>
      <c r="K198" s="1"/>
      <c r="L198" s="1"/>
      <c r="M198" s="1"/>
    </row>
    <row r="199" spans="1:13" x14ac:dyDescent="0.25">
      <c r="A199" s="20"/>
      <c r="B199" s="22" t="s">
        <v>3016</v>
      </c>
      <c r="C199" s="17" t="s">
        <v>12</v>
      </c>
      <c r="D199" s="9" t="s">
        <v>214</v>
      </c>
      <c r="E199" s="9" t="s">
        <v>307</v>
      </c>
      <c r="F199" s="15" t="s">
        <v>2825</v>
      </c>
      <c r="G199" s="15" t="s">
        <v>2795</v>
      </c>
      <c r="H199" s="16" t="s">
        <v>16</v>
      </c>
      <c r="I199" s="16">
        <v>39</v>
      </c>
      <c r="J199" s="16"/>
      <c r="K199" s="1"/>
      <c r="L199" s="1"/>
      <c r="M199" s="1"/>
    </row>
    <row r="200" spans="1:13" x14ac:dyDescent="0.25">
      <c r="A200" s="20"/>
      <c r="B200" s="22" t="s">
        <v>2862</v>
      </c>
      <c r="C200" s="17" t="s">
        <v>12</v>
      </c>
      <c r="D200" s="15" t="s">
        <v>216</v>
      </c>
      <c r="E200" s="15" t="s">
        <v>308</v>
      </c>
      <c r="F200" s="15"/>
      <c r="G200" s="15" t="s">
        <v>2833</v>
      </c>
      <c r="H200" s="16" t="s">
        <v>16</v>
      </c>
      <c r="I200" s="16">
        <v>1</v>
      </c>
      <c r="J200" s="16" t="s">
        <v>2841</v>
      </c>
      <c r="K200" s="1"/>
      <c r="L200" s="1"/>
      <c r="M200" s="1"/>
    </row>
    <row r="201" spans="1:13" x14ac:dyDescent="0.25">
      <c r="A201" s="20"/>
      <c r="B201" s="21" t="s">
        <v>3328</v>
      </c>
      <c r="C201" s="17" t="s">
        <v>12</v>
      </c>
      <c r="D201" s="9" t="s">
        <v>218</v>
      </c>
      <c r="E201" s="9" t="s">
        <v>310</v>
      </c>
      <c r="F201" s="15"/>
      <c r="G201" s="15" t="s">
        <v>3236</v>
      </c>
      <c r="H201" s="16" t="s">
        <v>16</v>
      </c>
      <c r="I201" s="16">
        <v>164</v>
      </c>
      <c r="J201" s="16"/>
      <c r="K201" s="1"/>
      <c r="L201" s="1"/>
      <c r="M201" s="1"/>
    </row>
    <row r="202" spans="1:13" x14ac:dyDescent="0.25">
      <c r="A202" s="20"/>
      <c r="B202" s="21" t="s">
        <v>3329</v>
      </c>
      <c r="C202" s="17" t="s">
        <v>12</v>
      </c>
      <c r="D202" s="15" t="s">
        <v>220</v>
      </c>
      <c r="E202" s="15" t="s">
        <v>312</v>
      </c>
      <c r="F202" s="15"/>
      <c r="G202" s="15" t="s">
        <v>3236</v>
      </c>
      <c r="H202" s="16" t="s">
        <v>16</v>
      </c>
      <c r="I202" s="16">
        <v>35</v>
      </c>
      <c r="J202" s="16"/>
      <c r="K202" s="1"/>
      <c r="L202" s="1"/>
      <c r="M202" s="1"/>
    </row>
    <row r="203" spans="1:13" x14ac:dyDescent="0.25">
      <c r="A203" s="20"/>
      <c r="B203" s="21" t="s">
        <v>3199</v>
      </c>
      <c r="C203" s="17" t="s">
        <v>12</v>
      </c>
      <c r="D203" s="9" t="s">
        <v>222</v>
      </c>
      <c r="E203" s="9" t="s">
        <v>314</v>
      </c>
      <c r="F203" s="15"/>
      <c r="G203" s="15" t="s">
        <v>2865</v>
      </c>
      <c r="H203" s="16" t="s">
        <v>16</v>
      </c>
      <c r="I203" s="16">
        <v>89</v>
      </c>
      <c r="J203" s="16"/>
      <c r="K203" s="1"/>
      <c r="L203" s="1"/>
      <c r="M203" s="1"/>
    </row>
    <row r="204" spans="1:13" x14ac:dyDescent="0.25">
      <c r="A204" s="20"/>
      <c r="B204" s="22" t="s">
        <v>2826</v>
      </c>
      <c r="C204" s="17" t="s">
        <v>12</v>
      </c>
      <c r="D204" s="15" t="s">
        <v>224</v>
      </c>
      <c r="E204" s="15" t="s">
        <v>316</v>
      </c>
      <c r="F204" s="15"/>
      <c r="G204" s="15" t="s">
        <v>2813</v>
      </c>
      <c r="H204" s="16" t="s">
        <v>16</v>
      </c>
      <c r="I204" s="16">
        <v>35</v>
      </c>
      <c r="J204" s="16"/>
      <c r="K204" s="1"/>
      <c r="L204" s="1"/>
      <c r="M204" s="1"/>
    </row>
    <row r="205" spans="1:13" x14ac:dyDescent="0.25">
      <c r="A205" s="20"/>
      <c r="B205" s="22" t="s">
        <v>2820</v>
      </c>
      <c r="C205" s="17" t="s">
        <v>12</v>
      </c>
      <c r="D205" s="9" t="s">
        <v>226</v>
      </c>
      <c r="E205" s="9" t="s">
        <v>318</v>
      </c>
      <c r="F205" s="15"/>
      <c r="G205" s="15" t="s">
        <v>2813</v>
      </c>
      <c r="H205" s="16" t="s">
        <v>2814</v>
      </c>
      <c r="I205" s="16">
        <v>17</v>
      </c>
      <c r="J205" s="16"/>
      <c r="K205" s="1"/>
      <c r="L205" s="1"/>
      <c r="M205" s="1"/>
    </row>
    <row r="206" spans="1:13" x14ac:dyDescent="0.25">
      <c r="A206" s="20"/>
      <c r="B206" s="22" t="s">
        <v>2823</v>
      </c>
      <c r="C206" s="14" t="s">
        <v>12</v>
      </c>
      <c r="D206" s="15" t="s">
        <v>228</v>
      </c>
      <c r="E206" s="15" t="s">
        <v>320</v>
      </c>
      <c r="F206" s="15"/>
      <c r="G206" s="15" t="s">
        <v>2813</v>
      </c>
      <c r="H206" s="16" t="s">
        <v>16</v>
      </c>
      <c r="I206" s="16">
        <f>22+16</f>
        <v>38</v>
      </c>
      <c r="J206" s="16"/>
      <c r="K206" s="1"/>
      <c r="L206" s="1"/>
      <c r="M206" s="1"/>
    </row>
    <row r="207" spans="1:13" x14ac:dyDescent="0.25">
      <c r="A207" s="20"/>
      <c r="B207" s="22" t="s">
        <v>2859</v>
      </c>
      <c r="C207" s="14" t="s">
        <v>12</v>
      </c>
      <c r="D207" s="9" t="s">
        <v>230</v>
      </c>
      <c r="E207" s="9" t="s">
        <v>322</v>
      </c>
      <c r="F207" s="15"/>
      <c r="G207" s="15" t="s">
        <v>2804</v>
      </c>
      <c r="H207" s="16" t="s">
        <v>16</v>
      </c>
      <c r="I207" s="16">
        <v>16</v>
      </c>
      <c r="J207" s="16" t="s">
        <v>2841</v>
      </c>
      <c r="K207" s="1"/>
      <c r="L207" s="1"/>
      <c r="M207" s="1"/>
    </row>
    <row r="208" spans="1:13" x14ac:dyDescent="0.25">
      <c r="A208" s="20"/>
      <c r="B208" s="22" t="s">
        <v>2860</v>
      </c>
      <c r="C208" s="14" t="s">
        <v>12</v>
      </c>
      <c r="D208" s="15" t="s">
        <v>232</v>
      </c>
      <c r="E208" s="15" t="s">
        <v>324</v>
      </c>
      <c r="F208" s="15"/>
      <c r="G208" s="15" t="s">
        <v>2804</v>
      </c>
      <c r="H208" s="16" t="s">
        <v>16</v>
      </c>
      <c r="I208" s="16">
        <v>4</v>
      </c>
      <c r="J208" s="16" t="s">
        <v>2841</v>
      </c>
      <c r="K208" s="1"/>
      <c r="L208" s="1"/>
      <c r="M208" s="1"/>
    </row>
    <row r="209" spans="1:13" x14ac:dyDescent="0.25">
      <c r="A209" s="20"/>
      <c r="B209" s="22" t="s">
        <v>2844</v>
      </c>
      <c r="C209" s="14" t="s">
        <v>12</v>
      </c>
      <c r="D209" s="9" t="s">
        <v>234</v>
      </c>
      <c r="E209" s="9" t="s">
        <v>326</v>
      </c>
      <c r="F209" s="15" t="s">
        <v>2825</v>
      </c>
      <c r="G209" s="15" t="s">
        <v>2833</v>
      </c>
      <c r="H209" s="16" t="s">
        <v>16</v>
      </c>
      <c r="I209" s="16">
        <v>3</v>
      </c>
      <c r="J209" s="16" t="s">
        <v>2841</v>
      </c>
      <c r="K209" s="1"/>
      <c r="L209" s="1"/>
    </row>
    <row r="210" spans="1:13" x14ac:dyDescent="0.25">
      <c r="A210" s="20"/>
      <c r="B210" s="22" t="s">
        <v>2846</v>
      </c>
      <c r="C210" s="14" t="s">
        <v>12</v>
      </c>
      <c r="D210" s="15" t="s">
        <v>236</v>
      </c>
      <c r="E210" s="15" t="s">
        <v>328</v>
      </c>
      <c r="F210" s="15"/>
      <c r="G210" s="15" t="s">
        <v>2804</v>
      </c>
      <c r="H210" s="16" t="s">
        <v>16</v>
      </c>
      <c r="I210" s="16">
        <v>32</v>
      </c>
      <c r="J210" s="16" t="s">
        <v>2841</v>
      </c>
      <c r="K210" s="1"/>
      <c r="L210" s="1"/>
      <c r="M210" s="1"/>
    </row>
    <row r="211" spans="1:13" x14ac:dyDescent="0.25">
      <c r="A211" s="20"/>
      <c r="B211" s="22" t="s">
        <v>323</v>
      </c>
      <c r="C211" s="14" t="s">
        <v>12</v>
      </c>
      <c r="D211" s="9" t="s">
        <v>238</v>
      </c>
      <c r="E211" s="9" t="s">
        <v>330</v>
      </c>
      <c r="F211" s="15"/>
      <c r="G211" s="15"/>
      <c r="H211" s="16" t="s">
        <v>16</v>
      </c>
      <c r="I211" s="16"/>
      <c r="J211" s="16"/>
      <c r="K211" s="1"/>
      <c r="L211" s="1"/>
      <c r="M211" s="1"/>
    </row>
    <row r="212" spans="1:13" x14ac:dyDescent="0.25">
      <c r="A212" s="20"/>
      <c r="B212" s="22" t="s">
        <v>325</v>
      </c>
      <c r="C212" s="14" t="s">
        <v>12</v>
      </c>
      <c r="D212" s="15" t="s">
        <v>240</v>
      </c>
      <c r="E212" s="15" t="s">
        <v>332</v>
      </c>
      <c r="F212" s="15"/>
      <c r="G212" s="15"/>
      <c r="H212" s="16" t="s">
        <v>16</v>
      </c>
      <c r="I212" s="16"/>
      <c r="J212" s="16"/>
      <c r="K212" s="1"/>
      <c r="L212" s="1"/>
      <c r="M212" s="1"/>
    </row>
    <row r="213" spans="1:13" x14ac:dyDescent="0.25">
      <c r="A213" s="20"/>
      <c r="B213" s="22" t="s">
        <v>2852</v>
      </c>
      <c r="C213" s="14" t="s">
        <v>12</v>
      </c>
      <c r="D213" s="9" t="s">
        <v>334</v>
      </c>
      <c r="E213" s="9" t="s">
        <v>335</v>
      </c>
      <c r="F213" s="15" t="s">
        <v>2853</v>
      </c>
      <c r="G213" s="15" t="s">
        <v>2833</v>
      </c>
      <c r="H213" s="16" t="s">
        <v>16</v>
      </c>
      <c r="I213" s="16">
        <v>1</v>
      </c>
      <c r="J213" s="16" t="s">
        <v>2841</v>
      </c>
      <c r="K213" s="1"/>
      <c r="L213" s="1"/>
      <c r="M213" s="1"/>
    </row>
    <row r="214" spans="1:13" x14ac:dyDescent="0.25">
      <c r="A214" s="20"/>
      <c r="B214" s="22" t="s">
        <v>3040</v>
      </c>
      <c r="C214" s="14" t="s">
        <v>12</v>
      </c>
      <c r="D214" s="15" t="s">
        <v>337</v>
      </c>
      <c r="E214" s="15" t="s">
        <v>338</v>
      </c>
      <c r="F214" s="15" t="s">
        <v>3041</v>
      </c>
      <c r="G214" s="15" t="s">
        <v>2804</v>
      </c>
      <c r="H214" s="16" t="s">
        <v>16</v>
      </c>
      <c r="I214" s="16">
        <v>23</v>
      </c>
      <c r="J214" s="16"/>
      <c r="K214" s="1"/>
      <c r="L214" s="1"/>
      <c r="M214" s="1"/>
    </row>
    <row r="215" spans="1:13" x14ac:dyDescent="0.25">
      <c r="A215" s="20"/>
      <c r="B215" s="22" t="s">
        <v>3124</v>
      </c>
      <c r="C215" s="14" t="s">
        <v>12</v>
      </c>
      <c r="D215" s="9" t="s">
        <v>340</v>
      </c>
      <c r="E215" s="9" t="s">
        <v>341</v>
      </c>
      <c r="F215" s="15" t="s">
        <v>2605</v>
      </c>
      <c r="G215" s="15" t="s">
        <v>2804</v>
      </c>
      <c r="H215" s="16" t="s">
        <v>16</v>
      </c>
      <c r="I215" s="16">
        <v>3</v>
      </c>
      <c r="J215" s="16"/>
      <c r="K215" s="1"/>
      <c r="L215" s="1"/>
      <c r="M215" s="1"/>
    </row>
    <row r="216" spans="1:13" x14ac:dyDescent="0.25">
      <c r="A216" s="20"/>
      <c r="B216" s="22" t="s">
        <v>283</v>
      </c>
      <c r="C216" s="14" t="s">
        <v>88</v>
      </c>
      <c r="D216" s="15" t="s">
        <v>343</v>
      </c>
      <c r="E216" s="15" t="s">
        <v>344</v>
      </c>
      <c r="F216" s="15"/>
      <c r="G216" s="15"/>
      <c r="H216" s="16" t="s">
        <v>16</v>
      </c>
      <c r="I216" s="16"/>
      <c r="J216" s="16"/>
      <c r="K216" s="1"/>
      <c r="L216" s="1"/>
      <c r="M216" s="1"/>
    </row>
    <row r="217" spans="1:13" x14ac:dyDescent="0.25">
      <c r="A217" s="20"/>
      <c r="B217" s="22" t="s">
        <v>3119</v>
      </c>
      <c r="C217" s="14" t="s">
        <v>88</v>
      </c>
      <c r="D217" s="9" t="s">
        <v>345</v>
      </c>
      <c r="E217" s="9" t="s">
        <v>346</v>
      </c>
      <c r="F217" s="15" t="s">
        <v>3120</v>
      </c>
      <c r="G217" s="15" t="s">
        <v>2954</v>
      </c>
      <c r="H217" s="16" t="s">
        <v>16</v>
      </c>
      <c r="I217" s="16">
        <v>3</v>
      </c>
      <c r="J217" s="16"/>
      <c r="K217" s="1"/>
      <c r="L217" s="1"/>
      <c r="M217" s="1"/>
    </row>
    <row r="218" spans="1:13" x14ac:dyDescent="0.25">
      <c r="A218" s="20"/>
      <c r="B218" s="22" t="s">
        <v>3119</v>
      </c>
      <c r="C218" s="14" t="s">
        <v>88</v>
      </c>
      <c r="D218" s="15" t="s">
        <v>348</v>
      </c>
      <c r="E218" s="15" t="s">
        <v>349</v>
      </c>
      <c r="F218" s="15" t="s">
        <v>2363</v>
      </c>
      <c r="G218" s="15" t="s">
        <v>2954</v>
      </c>
      <c r="H218" s="16" t="s">
        <v>16</v>
      </c>
      <c r="I218" s="16">
        <v>2</v>
      </c>
      <c r="J218" s="16"/>
      <c r="K218" s="1"/>
      <c r="L218" s="1"/>
      <c r="M218" s="1"/>
    </row>
    <row r="219" spans="1:13" s="11" customFormat="1" x14ac:dyDescent="0.25">
      <c r="A219" s="20"/>
      <c r="B219" s="22" t="s">
        <v>285</v>
      </c>
      <c r="C219" s="14" t="s">
        <v>88</v>
      </c>
      <c r="D219" s="9" t="s">
        <v>351</v>
      </c>
      <c r="E219" s="9" t="s">
        <v>352</v>
      </c>
      <c r="F219" s="15"/>
      <c r="G219" s="15"/>
      <c r="H219" s="16" t="s">
        <v>16</v>
      </c>
      <c r="I219" s="16"/>
      <c r="J219" s="16"/>
      <c r="M219" s="12"/>
    </row>
    <row r="220" spans="1:13" x14ac:dyDescent="0.25">
      <c r="A220" s="20"/>
      <c r="B220" s="22" t="s">
        <v>291</v>
      </c>
      <c r="C220" s="14" t="s">
        <v>88</v>
      </c>
      <c r="D220" s="15" t="s">
        <v>431</v>
      </c>
      <c r="E220" s="15" t="s">
        <v>3895</v>
      </c>
      <c r="F220" s="15"/>
      <c r="G220" s="15"/>
      <c r="H220" s="16" t="s">
        <v>16</v>
      </c>
      <c r="I220" s="16"/>
      <c r="J220" s="16" t="s">
        <v>17</v>
      </c>
      <c r="K220" s="1"/>
      <c r="L220" s="1"/>
    </row>
    <row r="221" spans="1:13" x14ac:dyDescent="0.25">
      <c r="A221" s="20"/>
      <c r="B221" s="22" t="s">
        <v>3134</v>
      </c>
      <c r="C221" s="14" t="s">
        <v>88</v>
      </c>
      <c r="D221" s="9" t="s">
        <v>434</v>
      </c>
      <c r="E221" s="9" t="s">
        <v>3896</v>
      </c>
      <c r="F221" s="15"/>
      <c r="G221" s="15" t="s">
        <v>3055</v>
      </c>
      <c r="H221" s="16" t="s">
        <v>16</v>
      </c>
      <c r="I221" s="16">
        <v>7</v>
      </c>
      <c r="J221" s="16"/>
      <c r="K221" s="1"/>
      <c r="L221" s="1"/>
    </row>
    <row r="222" spans="1:13" x14ac:dyDescent="0.25">
      <c r="A222" s="20"/>
      <c r="B222" s="22" t="s">
        <v>287</v>
      </c>
      <c r="C222" s="14" t="s">
        <v>88</v>
      </c>
      <c r="D222" s="15" t="s">
        <v>437</v>
      </c>
      <c r="E222" s="15" t="s">
        <v>3897</v>
      </c>
      <c r="F222" s="15"/>
      <c r="G222" s="15"/>
      <c r="H222" s="16" t="s">
        <v>16</v>
      </c>
      <c r="I222" s="16"/>
      <c r="J222" s="16"/>
      <c r="K222" s="1"/>
      <c r="L222" s="1"/>
    </row>
    <row r="223" spans="1:13" x14ac:dyDescent="0.25">
      <c r="A223" s="20"/>
      <c r="B223" s="22" t="s">
        <v>289</v>
      </c>
      <c r="C223" s="14" t="s">
        <v>88</v>
      </c>
      <c r="D223" s="9" t="s">
        <v>440</v>
      </c>
      <c r="E223" s="9" t="s">
        <v>3898</v>
      </c>
      <c r="F223" s="15"/>
      <c r="G223" s="15"/>
      <c r="H223" s="16" t="s">
        <v>16</v>
      </c>
      <c r="I223" s="16"/>
      <c r="J223" s="16"/>
      <c r="K223" s="1"/>
      <c r="L223" s="1"/>
    </row>
    <row r="224" spans="1:13" x14ac:dyDescent="0.25">
      <c r="A224" s="36"/>
      <c r="B224" s="22" t="s">
        <v>327</v>
      </c>
      <c r="C224" s="14" t="s">
        <v>12</v>
      </c>
      <c r="D224" s="15" t="s">
        <v>443</v>
      </c>
      <c r="E224" s="15" t="s">
        <v>3899</v>
      </c>
      <c r="F224" s="15"/>
      <c r="G224" s="15"/>
      <c r="H224" s="16" t="s">
        <v>16</v>
      </c>
      <c r="I224" s="16"/>
      <c r="J224" s="16"/>
      <c r="K224" s="1"/>
      <c r="L224" s="1"/>
      <c r="M224" s="1"/>
    </row>
    <row r="225" spans="1:13" x14ac:dyDescent="0.25">
      <c r="A225" s="20"/>
      <c r="B225" s="22" t="s">
        <v>329</v>
      </c>
      <c r="C225" s="14" t="s">
        <v>12</v>
      </c>
      <c r="D225" s="9" t="s">
        <v>446</v>
      </c>
      <c r="E225" s="9" t="s">
        <v>3900</v>
      </c>
      <c r="F225" s="15"/>
      <c r="G225" s="15"/>
      <c r="H225" s="16" t="s">
        <v>16</v>
      </c>
      <c r="I225" s="16"/>
      <c r="J225" s="16"/>
      <c r="K225" s="1"/>
      <c r="L225" s="1"/>
      <c r="M225" s="1"/>
    </row>
    <row r="226" spans="1:13" x14ac:dyDescent="0.25">
      <c r="A226" s="20"/>
      <c r="B226" s="22" t="s">
        <v>331</v>
      </c>
      <c r="C226" s="14" t="s">
        <v>12</v>
      </c>
      <c r="D226" s="15" t="s">
        <v>449</v>
      </c>
      <c r="E226" s="15" t="s">
        <v>3901</v>
      </c>
      <c r="F226" s="15"/>
      <c r="G226" s="15"/>
      <c r="H226" s="16" t="s">
        <v>16</v>
      </c>
      <c r="I226" s="16"/>
      <c r="J226" s="16"/>
      <c r="K226" s="1"/>
      <c r="L226" s="1"/>
      <c r="M226" s="1"/>
    </row>
    <row r="227" spans="1:13" x14ac:dyDescent="0.25">
      <c r="A227" s="20"/>
      <c r="B227" s="32" t="s">
        <v>333</v>
      </c>
      <c r="C227" s="17" t="s">
        <v>12</v>
      </c>
      <c r="D227" s="9" t="s">
        <v>452</v>
      </c>
      <c r="E227" s="9" t="s">
        <v>3902</v>
      </c>
      <c r="F227" s="18"/>
      <c r="G227" s="18"/>
      <c r="H227" s="19" t="s">
        <v>16</v>
      </c>
      <c r="I227" s="19"/>
      <c r="J227" s="16"/>
      <c r="K227" s="1"/>
      <c r="L227" s="1"/>
      <c r="M227" s="1"/>
    </row>
    <row r="228" spans="1:13" x14ac:dyDescent="0.25">
      <c r="A228" s="20"/>
      <c r="B228" s="22" t="s">
        <v>271</v>
      </c>
      <c r="C228" s="14" t="s">
        <v>88</v>
      </c>
      <c r="D228" s="15" t="s">
        <v>455</v>
      </c>
      <c r="E228" s="15" t="s">
        <v>3903</v>
      </c>
      <c r="F228" s="15" t="s">
        <v>3106</v>
      </c>
      <c r="G228" s="15" t="s">
        <v>2804</v>
      </c>
      <c r="H228" s="16" t="s">
        <v>16</v>
      </c>
      <c r="I228" s="16">
        <v>3</v>
      </c>
      <c r="J228" s="16"/>
      <c r="K228" s="23"/>
      <c r="L228" s="1"/>
      <c r="M228" s="1"/>
    </row>
    <row r="229" spans="1:13" x14ac:dyDescent="0.25">
      <c r="A229" s="20"/>
      <c r="B229" s="22" t="s">
        <v>3107</v>
      </c>
      <c r="C229" s="14" t="s">
        <v>88</v>
      </c>
      <c r="D229" s="9" t="s">
        <v>458</v>
      </c>
      <c r="E229" s="9" t="s">
        <v>3904</v>
      </c>
      <c r="F229" s="15" t="s">
        <v>3108</v>
      </c>
      <c r="G229" s="15" t="s">
        <v>2804</v>
      </c>
      <c r="H229" s="16" t="s">
        <v>16</v>
      </c>
      <c r="I229" s="16">
        <v>7</v>
      </c>
      <c r="J229" s="16"/>
      <c r="K229" s="23"/>
      <c r="L229" s="1"/>
      <c r="M229" s="1"/>
    </row>
    <row r="230" spans="1:13" s="11" customFormat="1" x14ac:dyDescent="0.25">
      <c r="A230" s="20"/>
      <c r="B230" s="22" t="s">
        <v>3109</v>
      </c>
      <c r="C230" s="14" t="s">
        <v>88</v>
      </c>
      <c r="D230" s="15" t="s">
        <v>461</v>
      </c>
      <c r="E230" s="15" t="s">
        <v>3905</v>
      </c>
      <c r="F230" s="15" t="s">
        <v>2605</v>
      </c>
      <c r="G230" s="15" t="s">
        <v>2804</v>
      </c>
      <c r="H230" s="16" t="s">
        <v>16</v>
      </c>
      <c r="I230" s="16">
        <v>5</v>
      </c>
      <c r="J230" s="16"/>
      <c r="M230" s="12"/>
    </row>
    <row r="231" spans="1:13" s="11" customFormat="1" x14ac:dyDescent="0.25">
      <c r="A231" s="20"/>
      <c r="B231" s="22" t="s">
        <v>3110</v>
      </c>
      <c r="C231" s="14" t="s">
        <v>88</v>
      </c>
      <c r="D231" s="9" t="s">
        <v>464</v>
      </c>
      <c r="E231" s="9" t="s">
        <v>3906</v>
      </c>
      <c r="F231" s="15" t="s">
        <v>3111</v>
      </c>
      <c r="G231" s="15" t="s">
        <v>2804</v>
      </c>
      <c r="H231" s="16" t="s">
        <v>16</v>
      </c>
      <c r="I231" s="16">
        <v>2</v>
      </c>
      <c r="J231" s="16"/>
      <c r="M231" s="12"/>
    </row>
    <row r="232" spans="1:13" x14ac:dyDescent="0.25">
      <c r="A232" s="20"/>
      <c r="B232" s="22" t="s">
        <v>275</v>
      </c>
      <c r="C232" s="14" t="s">
        <v>88</v>
      </c>
      <c r="D232" s="15" t="s">
        <v>467</v>
      </c>
      <c r="E232" s="15" t="s">
        <v>3907</v>
      </c>
      <c r="F232" s="15"/>
      <c r="G232" s="15"/>
      <c r="H232" s="16" t="s">
        <v>16</v>
      </c>
      <c r="I232" s="16"/>
      <c r="J232" s="16"/>
      <c r="K232" s="1"/>
      <c r="L232" s="1"/>
    </row>
    <row r="233" spans="1:13" x14ac:dyDescent="0.25">
      <c r="A233" s="20"/>
      <c r="B233" s="22" t="s">
        <v>277</v>
      </c>
      <c r="C233" s="14" t="s">
        <v>88</v>
      </c>
      <c r="D233" s="9" t="s">
        <v>470</v>
      </c>
      <c r="E233" s="9" t="s">
        <v>3908</v>
      </c>
      <c r="F233" s="15"/>
      <c r="G233" s="15"/>
      <c r="H233" s="16" t="s">
        <v>16</v>
      </c>
      <c r="I233" s="16"/>
      <c r="J233" s="16"/>
      <c r="K233" s="1"/>
      <c r="L233" s="1"/>
    </row>
    <row r="234" spans="1:13" x14ac:dyDescent="0.25">
      <c r="A234" s="20"/>
      <c r="B234" s="22" t="s">
        <v>281</v>
      </c>
      <c r="C234" s="14" t="s">
        <v>88</v>
      </c>
      <c r="D234" s="15" t="s">
        <v>473</v>
      </c>
      <c r="E234" s="15" t="s">
        <v>3909</v>
      </c>
      <c r="F234" s="15"/>
      <c r="G234" s="15"/>
      <c r="H234" s="16" t="s">
        <v>16</v>
      </c>
      <c r="I234" s="16"/>
      <c r="J234" s="16" t="s">
        <v>17</v>
      </c>
      <c r="K234" s="1"/>
      <c r="L234" s="1"/>
    </row>
    <row r="235" spans="1:13" x14ac:dyDescent="0.25">
      <c r="A235" s="20"/>
      <c r="B235" s="22" t="s">
        <v>3102</v>
      </c>
      <c r="C235" s="14" t="s">
        <v>88</v>
      </c>
      <c r="D235" s="9" t="s">
        <v>476</v>
      </c>
      <c r="E235" s="9" t="s">
        <v>3910</v>
      </c>
      <c r="F235" s="15" t="s">
        <v>2605</v>
      </c>
      <c r="G235" s="15" t="s">
        <v>2833</v>
      </c>
      <c r="H235" s="16" t="s">
        <v>16</v>
      </c>
      <c r="I235" s="16">
        <v>7</v>
      </c>
      <c r="J235" s="16"/>
      <c r="K235" s="1"/>
      <c r="L235" s="1"/>
    </row>
    <row r="236" spans="1:13" x14ac:dyDescent="0.25">
      <c r="A236" s="20"/>
      <c r="B236" s="22" t="s">
        <v>336</v>
      </c>
      <c r="C236" s="14" t="s">
        <v>88</v>
      </c>
      <c r="D236" s="15" t="s">
        <v>479</v>
      </c>
      <c r="E236" s="15" t="s">
        <v>3911</v>
      </c>
      <c r="F236" s="9"/>
      <c r="G236" s="9"/>
      <c r="H236" s="16" t="s">
        <v>16</v>
      </c>
      <c r="I236" s="16"/>
      <c r="J236" s="16" t="s">
        <v>17</v>
      </c>
      <c r="K236" s="1"/>
      <c r="L236" s="1"/>
    </row>
    <row r="237" spans="1:13" x14ac:dyDescent="0.25">
      <c r="A237" s="20"/>
      <c r="B237" s="22" t="s">
        <v>279</v>
      </c>
      <c r="C237" s="14" t="s">
        <v>88</v>
      </c>
      <c r="D237" s="9" t="s">
        <v>482</v>
      </c>
      <c r="E237" s="9" t="s">
        <v>3912</v>
      </c>
      <c r="F237" s="15"/>
      <c r="G237" s="15"/>
      <c r="H237" s="16" t="s">
        <v>16</v>
      </c>
      <c r="I237" s="16"/>
      <c r="J237" s="16"/>
      <c r="K237" s="1"/>
      <c r="L237" s="1"/>
    </row>
    <row r="238" spans="1:13" x14ac:dyDescent="0.25">
      <c r="A238" s="20"/>
      <c r="B238" s="22" t="s">
        <v>3089</v>
      </c>
      <c r="C238" s="14" t="s">
        <v>88</v>
      </c>
      <c r="D238" s="15" t="s">
        <v>485</v>
      </c>
      <c r="E238" s="15" t="s">
        <v>3913</v>
      </c>
      <c r="F238" s="15" t="s">
        <v>3090</v>
      </c>
      <c r="G238" s="15" t="s">
        <v>2813</v>
      </c>
      <c r="H238" s="16" t="s">
        <v>16</v>
      </c>
      <c r="I238" s="16">
        <v>1</v>
      </c>
      <c r="J238" s="16"/>
      <c r="K238" s="1"/>
      <c r="L238" s="1"/>
      <c r="M238" s="1"/>
    </row>
    <row r="239" spans="1:13" x14ac:dyDescent="0.25">
      <c r="A239" s="20"/>
      <c r="B239" s="22" t="s">
        <v>3042</v>
      </c>
      <c r="C239" s="14" t="s">
        <v>88</v>
      </c>
      <c r="D239" s="9" t="s">
        <v>488</v>
      </c>
      <c r="E239" s="9" t="s">
        <v>3914</v>
      </c>
      <c r="F239" s="15" t="s">
        <v>3043</v>
      </c>
      <c r="G239" s="15" t="s">
        <v>2813</v>
      </c>
      <c r="H239" s="16" t="s">
        <v>16</v>
      </c>
      <c r="I239" s="16">
        <v>5</v>
      </c>
      <c r="J239" s="16"/>
      <c r="K239" s="1"/>
      <c r="L239" s="1"/>
      <c r="M239" s="1"/>
    </row>
    <row r="240" spans="1:13" x14ac:dyDescent="0.25">
      <c r="A240" s="20"/>
      <c r="B240" s="22" t="s">
        <v>3038</v>
      </c>
      <c r="C240" s="14" t="s">
        <v>88</v>
      </c>
      <c r="D240" s="15" t="s">
        <v>491</v>
      </c>
      <c r="E240" s="15" t="s">
        <v>3915</v>
      </c>
      <c r="F240" s="15" t="s">
        <v>3039</v>
      </c>
      <c r="G240" s="15" t="s">
        <v>2813</v>
      </c>
      <c r="H240" s="16" t="s">
        <v>16</v>
      </c>
      <c r="I240" s="16">
        <v>2</v>
      </c>
      <c r="J240" s="16"/>
      <c r="K240" s="1"/>
      <c r="L240" s="1"/>
      <c r="M240" s="1"/>
    </row>
    <row r="241" spans="1:13" x14ac:dyDescent="0.25">
      <c r="A241" s="20"/>
      <c r="B241" s="22" t="s">
        <v>3037</v>
      </c>
      <c r="C241" s="14" t="s">
        <v>88</v>
      </c>
      <c r="D241" s="9" t="s">
        <v>494</v>
      </c>
      <c r="E241" s="9" t="s">
        <v>3916</v>
      </c>
      <c r="F241" s="15" t="s">
        <v>3036</v>
      </c>
      <c r="G241" s="15" t="s">
        <v>2813</v>
      </c>
      <c r="H241" s="16" t="s">
        <v>16</v>
      </c>
      <c r="I241" s="16">
        <v>7</v>
      </c>
      <c r="J241" s="16"/>
      <c r="K241" s="1"/>
      <c r="L241" s="1"/>
      <c r="M241" s="1"/>
    </row>
    <row r="242" spans="1:13" x14ac:dyDescent="0.25">
      <c r="A242" s="20"/>
      <c r="B242" s="22" t="s">
        <v>3034</v>
      </c>
      <c r="C242" s="14" t="s">
        <v>88</v>
      </c>
      <c r="D242" s="15" t="s">
        <v>497</v>
      </c>
      <c r="E242" s="15" t="s">
        <v>3917</v>
      </c>
      <c r="F242" s="15"/>
      <c r="G242" s="15" t="s">
        <v>2813</v>
      </c>
      <c r="H242" s="16" t="s">
        <v>16</v>
      </c>
      <c r="I242" s="16">
        <v>9</v>
      </c>
      <c r="J242" s="16"/>
      <c r="K242" s="1"/>
      <c r="L242" s="1"/>
      <c r="M242" s="1"/>
    </row>
    <row r="243" spans="1:13" x14ac:dyDescent="0.25">
      <c r="A243" s="20"/>
      <c r="B243" s="22" t="s">
        <v>3031</v>
      </c>
      <c r="C243" s="14" t="s">
        <v>88</v>
      </c>
      <c r="D243" s="9" t="s">
        <v>500</v>
      </c>
      <c r="E243" s="9" t="s">
        <v>3918</v>
      </c>
      <c r="F243" s="15" t="s">
        <v>3035</v>
      </c>
      <c r="G243" s="15" t="s">
        <v>2813</v>
      </c>
      <c r="H243" s="16" t="s">
        <v>16</v>
      </c>
      <c r="I243" s="16">
        <v>8</v>
      </c>
      <c r="J243" s="16"/>
      <c r="K243" s="1"/>
      <c r="L243" s="1"/>
      <c r="M243" s="1"/>
    </row>
    <row r="244" spans="1:13" x14ac:dyDescent="0.25">
      <c r="A244" s="20"/>
      <c r="B244" s="22" t="s">
        <v>3092</v>
      </c>
      <c r="C244" s="14" t="s">
        <v>88</v>
      </c>
      <c r="D244" s="15" t="s">
        <v>503</v>
      </c>
      <c r="E244" s="15" t="s">
        <v>3919</v>
      </c>
      <c r="F244" s="15"/>
      <c r="G244" s="15" t="s">
        <v>2804</v>
      </c>
      <c r="H244" s="16" t="s">
        <v>16</v>
      </c>
      <c r="I244" s="16">
        <v>4</v>
      </c>
      <c r="J244" s="16"/>
      <c r="K244" s="1"/>
      <c r="L244" s="1"/>
      <c r="M244" s="1"/>
    </row>
    <row r="245" spans="1:13" x14ac:dyDescent="0.25">
      <c r="A245" s="20"/>
      <c r="B245" s="22" t="s">
        <v>3091</v>
      </c>
      <c r="C245" s="14" t="s">
        <v>88</v>
      </c>
      <c r="D245" s="9" t="s">
        <v>506</v>
      </c>
      <c r="E245" s="9" t="s">
        <v>3920</v>
      </c>
      <c r="F245" s="15"/>
      <c r="G245" s="15" t="s">
        <v>2804</v>
      </c>
      <c r="H245" s="16" t="s">
        <v>16</v>
      </c>
      <c r="I245" s="16">
        <v>6</v>
      </c>
      <c r="J245" s="16"/>
      <c r="K245" s="1"/>
      <c r="L245" s="1"/>
      <c r="M245" s="1"/>
    </row>
    <row r="246" spans="1:13" x14ac:dyDescent="0.25">
      <c r="A246" s="20"/>
      <c r="B246" s="22" t="s">
        <v>2861</v>
      </c>
      <c r="C246" s="14" t="s">
        <v>88</v>
      </c>
      <c r="D246" s="15" t="s">
        <v>509</v>
      </c>
      <c r="E246" s="15" t="s">
        <v>3921</v>
      </c>
      <c r="F246" s="15"/>
      <c r="G246" s="15" t="s">
        <v>2833</v>
      </c>
      <c r="H246" s="16" t="s">
        <v>16</v>
      </c>
      <c r="I246" s="16">
        <v>5</v>
      </c>
      <c r="J246" s="16" t="s">
        <v>2841</v>
      </c>
      <c r="K246" s="1"/>
      <c r="L246" s="1"/>
    </row>
    <row r="247" spans="1:13" x14ac:dyDescent="0.25">
      <c r="A247" s="20"/>
      <c r="B247" s="22" t="s">
        <v>3031</v>
      </c>
      <c r="C247" s="14" t="s">
        <v>88</v>
      </c>
      <c r="D247" s="9" t="s">
        <v>512</v>
      </c>
      <c r="E247" s="9" t="s">
        <v>3922</v>
      </c>
      <c r="F247" s="15" t="s">
        <v>3032</v>
      </c>
      <c r="G247" s="15" t="s">
        <v>2813</v>
      </c>
      <c r="H247" s="16" t="s">
        <v>16</v>
      </c>
      <c r="I247" s="16">
        <v>7</v>
      </c>
      <c r="J247" s="16"/>
      <c r="K247" s="1"/>
      <c r="L247" s="1"/>
      <c r="M247" s="1"/>
    </row>
    <row r="248" spans="1:13" x14ac:dyDescent="0.25">
      <c r="A248" s="20"/>
      <c r="B248" s="22" t="s">
        <v>3094</v>
      </c>
      <c r="C248" s="14" t="s">
        <v>88</v>
      </c>
      <c r="D248" s="15" t="s">
        <v>515</v>
      </c>
      <c r="E248" s="15" t="s">
        <v>3923</v>
      </c>
      <c r="F248" s="15" t="s">
        <v>2825</v>
      </c>
      <c r="G248" s="15" t="s">
        <v>2833</v>
      </c>
      <c r="H248" s="16" t="s">
        <v>16</v>
      </c>
      <c r="I248" s="16">
        <v>17</v>
      </c>
      <c r="J248" s="16"/>
      <c r="K248" s="1"/>
      <c r="L248" s="1"/>
      <c r="M248" s="1"/>
    </row>
    <row r="249" spans="1:13" x14ac:dyDescent="0.25">
      <c r="A249" s="20"/>
      <c r="B249" s="22" t="s">
        <v>2851</v>
      </c>
      <c r="C249" s="14" t="s">
        <v>88</v>
      </c>
      <c r="D249" s="9" t="s">
        <v>518</v>
      </c>
      <c r="E249" s="9" t="s">
        <v>3924</v>
      </c>
      <c r="F249" s="15" t="s">
        <v>2850</v>
      </c>
      <c r="G249" s="15" t="s">
        <v>2833</v>
      </c>
      <c r="H249" s="16" t="s">
        <v>16</v>
      </c>
      <c r="I249" s="16">
        <v>8</v>
      </c>
      <c r="J249" s="16" t="s">
        <v>2841</v>
      </c>
      <c r="K249" s="1"/>
      <c r="L249" s="1"/>
      <c r="M249" s="1"/>
    </row>
    <row r="250" spans="1:13" x14ac:dyDescent="0.25">
      <c r="A250" s="20"/>
      <c r="B250" s="22" t="s">
        <v>2838</v>
      </c>
      <c r="C250" s="14" t="s">
        <v>12</v>
      </c>
      <c r="D250" s="15" t="s">
        <v>521</v>
      </c>
      <c r="E250" s="15" t="s">
        <v>3925</v>
      </c>
      <c r="F250" s="15"/>
      <c r="G250" s="15" t="s">
        <v>2833</v>
      </c>
      <c r="H250" s="16" t="s">
        <v>2814</v>
      </c>
      <c r="I250" s="16">
        <v>10</v>
      </c>
      <c r="J250" s="16" t="s">
        <v>2841</v>
      </c>
      <c r="K250" s="1"/>
      <c r="L250" s="1"/>
      <c r="M250" s="1"/>
    </row>
    <row r="251" spans="1:13" x14ac:dyDescent="0.25">
      <c r="A251" s="20"/>
      <c r="B251" s="22" t="s">
        <v>3116</v>
      </c>
      <c r="C251" s="14" t="s">
        <v>12</v>
      </c>
      <c r="D251" s="9" t="s">
        <v>524</v>
      </c>
      <c r="E251" s="9" t="s">
        <v>3926</v>
      </c>
      <c r="F251" s="15" t="s">
        <v>2853</v>
      </c>
      <c r="G251" s="15" t="s">
        <v>2833</v>
      </c>
      <c r="H251" s="16" t="s">
        <v>16</v>
      </c>
      <c r="I251" s="16">
        <v>17</v>
      </c>
      <c r="J251" s="16"/>
      <c r="K251" s="1"/>
      <c r="L251" s="1"/>
    </row>
    <row r="252" spans="1:13" x14ac:dyDescent="0.25">
      <c r="A252" s="20"/>
      <c r="B252" s="22" t="s">
        <v>3049</v>
      </c>
      <c r="C252" s="14" t="s">
        <v>12</v>
      </c>
      <c r="D252" s="15" t="s">
        <v>527</v>
      </c>
      <c r="E252" s="15" t="s">
        <v>3927</v>
      </c>
      <c r="F252" s="15" t="s">
        <v>3050</v>
      </c>
      <c r="G252" s="15" t="s">
        <v>2813</v>
      </c>
      <c r="H252" s="16" t="s">
        <v>16</v>
      </c>
      <c r="I252" s="16">
        <v>2</v>
      </c>
      <c r="J252" s="16"/>
      <c r="K252" s="1"/>
      <c r="L252" s="1"/>
      <c r="M252" s="1"/>
    </row>
    <row r="253" spans="1:13" x14ac:dyDescent="0.25">
      <c r="A253" s="20"/>
      <c r="B253" s="22" t="s">
        <v>3049</v>
      </c>
      <c r="C253" s="14" t="s">
        <v>12</v>
      </c>
      <c r="D253" s="9" t="s">
        <v>530</v>
      </c>
      <c r="E253" s="9" t="s">
        <v>3928</v>
      </c>
      <c r="F253" s="15" t="s">
        <v>3051</v>
      </c>
      <c r="G253" s="15" t="s">
        <v>2813</v>
      </c>
      <c r="H253" s="16" t="s">
        <v>16</v>
      </c>
      <c r="I253" s="16">
        <v>1</v>
      </c>
      <c r="J253" s="16"/>
      <c r="K253" s="1"/>
      <c r="L253" s="1"/>
      <c r="M253" s="1"/>
    </row>
    <row r="254" spans="1:13" x14ac:dyDescent="0.25">
      <c r="A254" s="20"/>
      <c r="B254" s="22" t="s">
        <v>3044</v>
      </c>
      <c r="C254" s="14" t="s">
        <v>12</v>
      </c>
      <c r="D254" s="15" t="s">
        <v>533</v>
      </c>
      <c r="E254" s="15" t="s">
        <v>3929</v>
      </c>
      <c r="F254" s="15" t="s">
        <v>3041</v>
      </c>
      <c r="G254" s="15" t="s">
        <v>2813</v>
      </c>
      <c r="H254" s="16" t="s">
        <v>16</v>
      </c>
      <c r="I254" s="16">
        <v>4</v>
      </c>
      <c r="J254" s="16"/>
      <c r="K254" s="1"/>
      <c r="L254" s="1"/>
      <c r="M254" s="1"/>
    </row>
    <row r="255" spans="1:13" x14ac:dyDescent="0.25">
      <c r="A255" s="20"/>
      <c r="B255" s="22" t="s">
        <v>3045</v>
      </c>
      <c r="C255" s="14" t="s">
        <v>12</v>
      </c>
      <c r="D255" s="9" t="s">
        <v>536</v>
      </c>
      <c r="E255" s="9" t="s">
        <v>3930</v>
      </c>
      <c r="F255" s="15" t="s">
        <v>3046</v>
      </c>
      <c r="G255" s="15" t="s">
        <v>2813</v>
      </c>
      <c r="H255" s="16" t="s">
        <v>16</v>
      </c>
      <c r="I255" s="16">
        <v>1</v>
      </c>
      <c r="J255" s="16"/>
      <c r="K255" s="1"/>
      <c r="L255" s="1"/>
      <c r="M255" s="1"/>
    </row>
    <row r="256" spans="1:13" x14ac:dyDescent="0.25">
      <c r="A256" s="20"/>
      <c r="B256" s="22" t="s">
        <v>3052</v>
      </c>
      <c r="C256" s="14" t="s">
        <v>12</v>
      </c>
      <c r="D256" s="15" t="s">
        <v>539</v>
      </c>
      <c r="E256" s="15" t="s">
        <v>3931</v>
      </c>
      <c r="F256" s="15" t="s">
        <v>3053</v>
      </c>
      <c r="G256" s="15" t="s">
        <v>2813</v>
      </c>
      <c r="H256" s="16" t="s">
        <v>16</v>
      </c>
      <c r="I256" s="16">
        <v>1</v>
      </c>
      <c r="J256" s="16"/>
      <c r="K256" s="1"/>
      <c r="L256" s="1"/>
      <c r="M256" s="1"/>
    </row>
    <row r="257" spans="1:13" ht="25.5" x14ac:dyDescent="0.25">
      <c r="A257" s="20"/>
      <c r="B257" s="22" t="s">
        <v>3047</v>
      </c>
      <c r="C257" s="14" t="s">
        <v>12</v>
      </c>
      <c r="D257" s="9" t="s">
        <v>542</v>
      </c>
      <c r="E257" s="9" t="s">
        <v>3932</v>
      </c>
      <c r="F257" s="15" t="s">
        <v>3048</v>
      </c>
      <c r="G257" s="15" t="s">
        <v>2813</v>
      </c>
      <c r="H257" s="16" t="s">
        <v>16</v>
      </c>
      <c r="I257" s="16">
        <v>4</v>
      </c>
      <c r="J257" s="16"/>
      <c r="K257" s="23" t="s">
        <v>148</v>
      </c>
      <c r="L257" s="1"/>
      <c r="M257" s="1"/>
    </row>
    <row r="258" spans="1:13" x14ac:dyDescent="0.25">
      <c r="A258" s="20"/>
      <c r="B258" s="22" t="s">
        <v>293</v>
      </c>
      <c r="C258" s="14" t="s">
        <v>88</v>
      </c>
      <c r="D258" s="15" t="s">
        <v>545</v>
      </c>
      <c r="E258" s="15" t="s">
        <v>3933</v>
      </c>
      <c r="F258" s="15"/>
      <c r="G258" s="15" t="s">
        <v>2828</v>
      </c>
      <c r="H258" s="16" t="s">
        <v>16</v>
      </c>
      <c r="I258" s="16">
        <v>219</v>
      </c>
      <c r="J258" s="16"/>
      <c r="K258" s="1"/>
      <c r="L258" s="1"/>
      <c r="M258" s="1"/>
    </row>
    <row r="259" spans="1:13" x14ac:dyDescent="0.25">
      <c r="A259" s="20"/>
      <c r="B259" s="22" t="s">
        <v>295</v>
      </c>
      <c r="C259" s="14" t="s">
        <v>88</v>
      </c>
      <c r="D259" s="9" t="s">
        <v>548</v>
      </c>
      <c r="E259" s="9" t="s">
        <v>3934</v>
      </c>
      <c r="F259" s="15"/>
      <c r="G259" s="15" t="s">
        <v>2828</v>
      </c>
      <c r="H259" s="16" t="s">
        <v>16</v>
      </c>
      <c r="I259" s="16">
        <v>52</v>
      </c>
      <c r="J259" s="16"/>
      <c r="K259" s="1"/>
      <c r="L259" s="1"/>
      <c r="M259" s="1"/>
    </row>
    <row r="260" spans="1:13" x14ac:dyDescent="0.25">
      <c r="A260" s="20"/>
      <c r="B260" s="22" t="s">
        <v>2937</v>
      </c>
      <c r="C260" s="14" t="s">
        <v>88</v>
      </c>
      <c r="D260" s="15" t="s">
        <v>551</v>
      </c>
      <c r="E260" s="15" t="s">
        <v>3935</v>
      </c>
      <c r="F260" s="9"/>
      <c r="G260" s="9" t="s">
        <v>2828</v>
      </c>
      <c r="H260" s="16" t="s">
        <v>16</v>
      </c>
      <c r="I260" s="16">
        <v>21</v>
      </c>
      <c r="J260" s="16"/>
      <c r="K260" s="1"/>
      <c r="L260" s="1"/>
      <c r="M260" s="1"/>
    </row>
    <row r="261" spans="1:13" x14ac:dyDescent="0.25">
      <c r="A261" s="20"/>
      <c r="B261" s="22" t="s">
        <v>297</v>
      </c>
      <c r="C261" s="14" t="s">
        <v>88</v>
      </c>
      <c r="D261" s="9" t="s">
        <v>554</v>
      </c>
      <c r="E261" s="9" t="s">
        <v>3936</v>
      </c>
      <c r="F261" s="15"/>
      <c r="G261" s="15" t="s">
        <v>2828</v>
      </c>
      <c r="H261" s="16" t="s">
        <v>16</v>
      </c>
      <c r="I261" s="16">
        <v>65</v>
      </c>
      <c r="J261" s="16"/>
      <c r="K261" s="1"/>
      <c r="L261" s="1"/>
      <c r="M261" s="1"/>
    </row>
    <row r="262" spans="1:13" x14ac:dyDescent="0.25">
      <c r="A262" s="20"/>
      <c r="B262" s="22" t="s">
        <v>342</v>
      </c>
      <c r="C262" s="14" t="s">
        <v>88</v>
      </c>
      <c r="D262" s="15" t="s">
        <v>557</v>
      </c>
      <c r="E262" s="15" t="s">
        <v>3937</v>
      </c>
      <c r="F262" s="9"/>
      <c r="G262" s="9" t="s">
        <v>2828</v>
      </c>
      <c r="H262" s="16" t="s">
        <v>16</v>
      </c>
      <c r="I262" s="16">
        <v>118</v>
      </c>
      <c r="J262" s="16" t="s">
        <v>17</v>
      </c>
      <c r="K262" s="1"/>
      <c r="L262" s="1"/>
      <c r="M262" s="1"/>
    </row>
    <row r="263" spans="1:13" x14ac:dyDescent="0.25">
      <c r="A263" s="20"/>
      <c r="B263" s="22" t="s">
        <v>299</v>
      </c>
      <c r="C263" s="14" t="s">
        <v>88</v>
      </c>
      <c r="D263" s="9" t="s">
        <v>560</v>
      </c>
      <c r="E263" s="9" t="s">
        <v>3938</v>
      </c>
      <c r="F263" s="15"/>
      <c r="G263" s="15" t="s">
        <v>2828</v>
      </c>
      <c r="H263" s="16" t="s">
        <v>16</v>
      </c>
      <c r="I263" s="16">
        <v>32</v>
      </c>
      <c r="J263" s="16"/>
      <c r="K263" s="1"/>
      <c r="L263" s="1"/>
      <c r="M263" s="1"/>
    </row>
    <row r="264" spans="1:13" x14ac:dyDescent="0.25">
      <c r="A264" s="20"/>
      <c r="B264" s="22" t="s">
        <v>2936</v>
      </c>
      <c r="C264" s="14" t="s">
        <v>88</v>
      </c>
      <c r="D264" s="15" t="s">
        <v>563</v>
      </c>
      <c r="E264" s="15" t="s">
        <v>3939</v>
      </c>
      <c r="F264" s="9"/>
      <c r="G264" s="9" t="s">
        <v>2828</v>
      </c>
      <c r="H264" s="16" t="s">
        <v>16</v>
      </c>
      <c r="I264" s="16">
        <v>64</v>
      </c>
      <c r="J264" s="16" t="s">
        <v>17</v>
      </c>
      <c r="K264" s="1"/>
      <c r="L264" s="1"/>
      <c r="M264" s="1"/>
    </row>
    <row r="265" spans="1:13" x14ac:dyDescent="0.25">
      <c r="A265" s="20"/>
      <c r="B265" s="22" t="s">
        <v>301</v>
      </c>
      <c r="C265" s="14" t="s">
        <v>88</v>
      </c>
      <c r="D265" s="9" t="s">
        <v>566</v>
      </c>
      <c r="E265" s="9" t="s">
        <v>3940</v>
      </c>
      <c r="F265" s="15"/>
      <c r="G265" s="15" t="s">
        <v>2828</v>
      </c>
      <c r="H265" s="16" t="s">
        <v>16</v>
      </c>
      <c r="I265" s="16">
        <v>49</v>
      </c>
      <c r="J265" s="16"/>
      <c r="K265" s="1"/>
      <c r="L265" s="1"/>
      <c r="M265" s="1"/>
    </row>
    <row r="266" spans="1:13" x14ac:dyDescent="0.25">
      <c r="A266" s="20"/>
      <c r="B266" s="22" t="s">
        <v>303</v>
      </c>
      <c r="C266" s="14" t="s">
        <v>88</v>
      </c>
      <c r="D266" s="15" t="s">
        <v>569</v>
      </c>
      <c r="E266" s="15" t="s">
        <v>3941</v>
      </c>
      <c r="F266" s="15"/>
      <c r="G266" s="15"/>
      <c r="H266" s="16" t="s">
        <v>16</v>
      </c>
      <c r="I266" s="16"/>
      <c r="J266" s="16"/>
      <c r="K266" s="1"/>
      <c r="L266" s="1"/>
      <c r="M266" s="1"/>
    </row>
    <row r="267" spans="1:13" x14ac:dyDescent="0.25">
      <c r="A267" s="20"/>
      <c r="B267" s="22" t="s">
        <v>339</v>
      </c>
      <c r="C267" s="14" t="s">
        <v>88</v>
      </c>
      <c r="D267" s="9" t="s">
        <v>572</v>
      </c>
      <c r="E267" s="9" t="s">
        <v>3942</v>
      </c>
      <c r="F267" s="9"/>
      <c r="G267" s="9" t="s">
        <v>2828</v>
      </c>
      <c r="H267" s="16" t="s">
        <v>16</v>
      </c>
      <c r="I267" s="16">
        <v>76</v>
      </c>
      <c r="J267" s="16" t="s">
        <v>17</v>
      </c>
      <c r="K267" s="1"/>
      <c r="L267" s="1"/>
      <c r="M267" s="1"/>
    </row>
    <row r="268" spans="1:13" x14ac:dyDescent="0.25">
      <c r="A268" s="20"/>
      <c r="B268" s="95" t="s">
        <v>2938</v>
      </c>
      <c r="C268" s="14" t="s">
        <v>88</v>
      </c>
      <c r="D268" s="15" t="s">
        <v>575</v>
      </c>
      <c r="E268" s="15" t="s">
        <v>3943</v>
      </c>
      <c r="F268" s="15"/>
      <c r="G268" s="15" t="s">
        <v>2828</v>
      </c>
      <c r="H268" s="16" t="s">
        <v>16</v>
      </c>
      <c r="I268" s="16">
        <v>89</v>
      </c>
      <c r="J268" s="16"/>
      <c r="K268" s="1"/>
      <c r="L268" s="1"/>
    </row>
    <row r="269" spans="1:13" x14ac:dyDescent="0.25">
      <c r="A269" s="20"/>
      <c r="B269" s="22" t="s">
        <v>347</v>
      </c>
      <c r="C269" s="14" t="s">
        <v>88</v>
      </c>
      <c r="D269" s="9" t="s">
        <v>578</v>
      </c>
      <c r="E269" s="9" t="s">
        <v>3944</v>
      </c>
      <c r="F269" s="9"/>
      <c r="G269" s="9" t="s">
        <v>2828</v>
      </c>
      <c r="H269" s="16" t="s">
        <v>16</v>
      </c>
      <c r="I269" s="16">
        <v>100</v>
      </c>
      <c r="J269" s="16" t="s">
        <v>17</v>
      </c>
      <c r="K269" s="1"/>
      <c r="L269" s="1"/>
    </row>
    <row r="270" spans="1:13" x14ac:dyDescent="0.25">
      <c r="A270" s="20"/>
      <c r="B270" s="22" t="s">
        <v>2934</v>
      </c>
      <c r="C270" s="14" t="s">
        <v>88</v>
      </c>
      <c r="D270" s="15" t="s">
        <v>1411</v>
      </c>
      <c r="E270" s="15" t="s">
        <v>3945</v>
      </c>
      <c r="F270" s="9"/>
      <c r="G270" s="9" t="s">
        <v>2828</v>
      </c>
      <c r="H270" s="16" t="s">
        <v>16</v>
      </c>
      <c r="I270" s="16">
        <v>49</v>
      </c>
      <c r="J270" s="16"/>
      <c r="K270" s="1"/>
      <c r="L270" s="1"/>
    </row>
    <row r="271" spans="1:13" s="11" customFormat="1" x14ac:dyDescent="0.25">
      <c r="A271" s="20"/>
      <c r="B271" s="22" t="s">
        <v>2935</v>
      </c>
      <c r="C271" s="14" t="s">
        <v>88</v>
      </c>
      <c r="D271" s="9" t="s">
        <v>1414</v>
      </c>
      <c r="E271" s="9" t="s">
        <v>3946</v>
      </c>
      <c r="F271" s="9"/>
      <c r="G271" s="9" t="s">
        <v>2828</v>
      </c>
      <c r="H271" s="16" t="s">
        <v>16</v>
      </c>
      <c r="I271" s="16">
        <v>29</v>
      </c>
      <c r="J271" s="16"/>
      <c r="M271" s="12"/>
    </row>
    <row r="272" spans="1:13" s="11" customFormat="1" x14ac:dyDescent="0.25">
      <c r="A272" s="20"/>
      <c r="B272" s="22" t="s">
        <v>3300</v>
      </c>
      <c r="C272" s="14" t="s">
        <v>88</v>
      </c>
      <c r="D272" s="15" t="s">
        <v>1417</v>
      </c>
      <c r="E272" s="15" t="s">
        <v>3947</v>
      </c>
      <c r="F272" s="9"/>
      <c r="G272" s="9" t="s">
        <v>3236</v>
      </c>
      <c r="H272" s="16" t="s">
        <v>16</v>
      </c>
      <c r="I272" s="16">
        <v>1</v>
      </c>
      <c r="J272" s="16"/>
      <c r="M272" s="12"/>
    </row>
    <row r="273" spans="1:13" s="11" customFormat="1" x14ac:dyDescent="0.25">
      <c r="A273" s="20"/>
      <c r="B273" s="22" t="s">
        <v>4498</v>
      </c>
      <c r="C273" s="14" t="s">
        <v>88</v>
      </c>
      <c r="D273" s="15" t="s">
        <v>1420</v>
      </c>
      <c r="E273" s="15" t="s">
        <v>4499</v>
      </c>
      <c r="F273" s="9"/>
      <c r="G273" s="9" t="s">
        <v>2833</v>
      </c>
      <c r="H273" s="16" t="s">
        <v>16</v>
      </c>
      <c r="I273" s="16">
        <v>2</v>
      </c>
      <c r="J273" s="16"/>
      <c r="M273" s="12"/>
    </row>
    <row r="274" spans="1:13" s="11" customFormat="1" x14ac:dyDescent="0.25">
      <c r="A274" s="20"/>
      <c r="B274" s="22" t="s">
        <v>4500</v>
      </c>
      <c r="C274" s="14" t="s">
        <v>88</v>
      </c>
      <c r="D274" s="15" t="s">
        <v>1423</v>
      </c>
      <c r="E274" s="15" t="s">
        <v>4501</v>
      </c>
      <c r="F274" s="9"/>
      <c r="G274" s="9" t="s">
        <v>2833</v>
      </c>
      <c r="H274" s="16" t="s">
        <v>16</v>
      </c>
      <c r="I274" s="16">
        <v>2</v>
      </c>
      <c r="J274" s="16"/>
      <c r="M274" s="12"/>
    </row>
    <row r="275" spans="1:13" s="11" customFormat="1" x14ac:dyDescent="0.25">
      <c r="A275" s="20"/>
      <c r="B275" s="22" t="s">
        <v>4502</v>
      </c>
      <c r="C275" s="14" t="s">
        <v>88</v>
      </c>
      <c r="D275" s="15" t="s">
        <v>1426</v>
      </c>
      <c r="E275" s="15" t="s">
        <v>4503</v>
      </c>
      <c r="F275" s="9" t="s">
        <v>2825</v>
      </c>
      <c r="G275" s="9" t="s">
        <v>2833</v>
      </c>
      <c r="H275" s="16" t="s">
        <v>16</v>
      </c>
      <c r="I275" s="16">
        <v>30</v>
      </c>
      <c r="J275" s="16"/>
      <c r="M275" s="12"/>
    </row>
    <row r="276" spans="1:13" s="11" customFormat="1" x14ac:dyDescent="0.25">
      <c r="A276" s="20"/>
      <c r="B276" s="22" t="s">
        <v>4504</v>
      </c>
      <c r="C276" s="14" t="s">
        <v>88</v>
      </c>
      <c r="D276" s="15" t="s">
        <v>1429</v>
      </c>
      <c r="E276" s="15" t="s">
        <v>4505</v>
      </c>
      <c r="F276" s="9" t="s">
        <v>2825</v>
      </c>
      <c r="G276" s="9" t="s">
        <v>2833</v>
      </c>
      <c r="H276" s="16" t="s">
        <v>16</v>
      </c>
      <c r="I276" s="16">
        <v>30</v>
      </c>
      <c r="J276" s="16"/>
      <c r="M276" s="12"/>
    </row>
    <row r="277" spans="1:13" x14ac:dyDescent="0.25">
      <c r="A277" s="8">
        <v>10</v>
      </c>
      <c r="B277" s="7" t="s">
        <v>353</v>
      </c>
      <c r="C277" s="8"/>
      <c r="D277" s="9"/>
      <c r="E277" s="9"/>
      <c r="F277" s="9"/>
      <c r="G277" s="9"/>
      <c r="H277" s="10"/>
      <c r="I277" s="10"/>
      <c r="J277" s="10"/>
      <c r="K277" s="1"/>
      <c r="L277" s="1"/>
      <c r="M277" s="1"/>
    </row>
    <row r="278" spans="1:13" x14ac:dyDescent="0.25">
      <c r="A278" s="20"/>
      <c r="B278" s="22" t="s">
        <v>508</v>
      </c>
      <c r="C278" s="14" t="s">
        <v>12</v>
      </c>
      <c r="D278" s="15" t="s">
        <v>14</v>
      </c>
      <c r="E278" s="15" t="s">
        <v>355</v>
      </c>
      <c r="F278" s="15"/>
      <c r="G278" s="15"/>
      <c r="H278" s="16" t="s">
        <v>16</v>
      </c>
      <c r="I278" s="16"/>
      <c r="J278" s="16"/>
      <c r="K278" s="1"/>
      <c r="L278" s="1"/>
      <c r="M278" s="1"/>
    </row>
    <row r="279" spans="1:13" x14ac:dyDescent="0.25">
      <c r="A279" s="20"/>
      <c r="B279" s="22" t="s">
        <v>511</v>
      </c>
      <c r="C279" s="14" t="s">
        <v>12</v>
      </c>
      <c r="D279" s="15" t="s">
        <v>19</v>
      </c>
      <c r="E279" s="15" t="s">
        <v>357</v>
      </c>
      <c r="F279" s="15"/>
      <c r="G279" s="48"/>
      <c r="H279" s="16" t="s">
        <v>16</v>
      </c>
      <c r="I279" s="16"/>
      <c r="J279" s="16"/>
      <c r="K279" s="1"/>
      <c r="L279" s="1"/>
      <c r="M279" s="1"/>
    </row>
    <row r="280" spans="1:13" x14ac:dyDescent="0.25">
      <c r="A280" s="20"/>
      <c r="B280" s="22" t="s">
        <v>514</v>
      </c>
      <c r="C280" s="14" t="s">
        <v>12</v>
      </c>
      <c r="D280" s="15" t="s">
        <v>22</v>
      </c>
      <c r="E280" s="15" t="s">
        <v>359</v>
      </c>
      <c r="F280" s="15"/>
      <c r="G280" s="15"/>
      <c r="H280" s="16" t="s">
        <v>16</v>
      </c>
      <c r="I280" s="16"/>
      <c r="J280" s="16"/>
      <c r="K280" s="1"/>
      <c r="L280" s="1"/>
      <c r="M280" s="1"/>
    </row>
    <row r="281" spans="1:13" x14ac:dyDescent="0.25">
      <c r="A281" s="20"/>
      <c r="B281" s="22" t="s">
        <v>378</v>
      </c>
      <c r="C281" s="14" t="s">
        <v>88</v>
      </c>
      <c r="D281" s="15" t="s">
        <v>25</v>
      </c>
      <c r="E281" s="15" t="s">
        <v>361</v>
      </c>
      <c r="F281" s="15"/>
      <c r="G281" s="15"/>
      <c r="H281" s="16" t="s">
        <v>16</v>
      </c>
      <c r="I281" s="16"/>
      <c r="J281" s="16"/>
      <c r="K281" s="1"/>
      <c r="L281" s="1"/>
    </row>
    <row r="282" spans="1:13" x14ac:dyDescent="0.25">
      <c r="A282" s="20"/>
      <c r="B282" s="22" t="s">
        <v>386</v>
      </c>
      <c r="C282" s="14" t="s">
        <v>88</v>
      </c>
      <c r="D282" s="15" t="s">
        <v>28</v>
      </c>
      <c r="E282" s="15" t="s">
        <v>363</v>
      </c>
      <c r="F282" s="15"/>
      <c r="G282" s="15"/>
      <c r="H282" s="16" t="s">
        <v>16</v>
      </c>
      <c r="I282" s="16"/>
      <c r="J282" s="16"/>
      <c r="K282" s="1"/>
      <c r="L282" s="1"/>
    </row>
    <row r="283" spans="1:13" x14ac:dyDescent="0.25">
      <c r="A283" s="93"/>
      <c r="B283" s="22" t="s">
        <v>390</v>
      </c>
      <c r="C283" s="14" t="s">
        <v>88</v>
      </c>
      <c r="D283" s="15" t="s">
        <v>31</v>
      </c>
      <c r="E283" s="15" t="s">
        <v>365</v>
      </c>
      <c r="F283" s="15"/>
      <c r="G283" s="15"/>
      <c r="H283" s="16" t="s">
        <v>16</v>
      </c>
      <c r="I283" s="16"/>
      <c r="J283" s="16"/>
      <c r="K283" s="1"/>
      <c r="L283" s="1"/>
    </row>
    <row r="284" spans="1:13" x14ac:dyDescent="0.25">
      <c r="A284" s="36"/>
      <c r="B284" s="35" t="s">
        <v>1104</v>
      </c>
      <c r="C284" s="42" t="s">
        <v>12</v>
      </c>
      <c r="D284" s="15" t="s">
        <v>34</v>
      </c>
      <c r="E284" s="15" t="s">
        <v>367</v>
      </c>
      <c r="F284" s="15"/>
      <c r="G284" s="48"/>
      <c r="H284" s="16" t="s">
        <v>16</v>
      </c>
      <c r="I284" s="16"/>
      <c r="J284" s="16"/>
      <c r="K284" s="1"/>
      <c r="L284" s="1"/>
      <c r="M284" s="1"/>
    </row>
    <row r="285" spans="1:13" x14ac:dyDescent="0.25">
      <c r="A285" s="36"/>
      <c r="B285" s="35" t="s">
        <v>1109</v>
      </c>
      <c r="C285" s="42" t="s">
        <v>12</v>
      </c>
      <c r="D285" s="15" t="s">
        <v>37</v>
      </c>
      <c r="E285" s="15" t="s">
        <v>369</v>
      </c>
      <c r="F285" s="15"/>
      <c r="G285" s="15"/>
      <c r="H285" s="16" t="s">
        <v>16</v>
      </c>
      <c r="I285" s="16"/>
      <c r="J285" s="16" t="s">
        <v>17</v>
      </c>
      <c r="K285" s="1"/>
      <c r="L285" s="1"/>
    </row>
    <row r="286" spans="1:13" s="46" customFormat="1" ht="15.75" x14ac:dyDescent="0.25">
      <c r="A286" s="92"/>
      <c r="B286" s="22" t="s">
        <v>517</v>
      </c>
      <c r="C286" s="14" t="s">
        <v>12</v>
      </c>
      <c r="D286" s="15" t="s">
        <v>40</v>
      </c>
      <c r="E286" s="15" t="s">
        <v>371</v>
      </c>
      <c r="F286" s="15" t="s">
        <v>2630</v>
      </c>
      <c r="G286" s="15" t="s">
        <v>2517</v>
      </c>
      <c r="H286" s="16" t="s">
        <v>16</v>
      </c>
      <c r="I286" s="16">
        <v>243</v>
      </c>
      <c r="J286" s="16"/>
    </row>
    <row r="287" spans="1:13" x14ac:dyDescent="0.25">
      <c r="A287" s="20"/>
      <c r="B287" s="111" t="s">
        <v>523</v>
      </c>
      <c r="C287" s="114" t="s">
        <v>12</v>
      </c>
      <c r="D287" s="15" t="s">
        <v>43</v>
      </c>
      <c r="E287" s="15" t="s">
        <v>373</v>
      </c>
      <c r="F287" s="18"/>
      <c r="G287" s="18"/>
      <c r="H287" s="19" t="s">
        <v>16</v>
      </c>
      <c r="I287" s="19"/>
      <c r="J287" s="16"/>
      <c r="K287" s="1"/>
      <c r="L287" s="1"/>
      <c r="M287" s="1"/>
    </row>
    <row r="288" spans="1:13" x14ac:dyDescent="0.25">
      <c r="A288" s="20"/>
      <c r="B288" s="111" t="s">
        <v>526</v>
      </c>
      <c r="C288" s="114" t="s">
        <v>12</v>
      </c>
      <c r="D288" s="15" t="s">
        <v>46</v>
      </c>
      <c r="E288" s="15" t="s">
        <v>375</v>
      </c>
      <c r="F288" s="18"/>
      <c r="G288" s="18"/>
      <c r="H288" s="19" t="s">
        <v>16</v>
      </c>
      <c r="I288" s="19"/>
      <c r="J288" s="16"/>
      <c r="K288" s="1"/>
      <c r="L288" s="1"/>
      <c r="M288" s="1"/>
    </row>
    <row r="289" spans="1:13" x14ac:dyDescent="0.25">
      <c r="A289" s="20"/>
      <c r="B289" s="22" t="s">
        <v>392</v>
      </c>
      <c r="C289" s="14" t="s">
        <v>88</v>
      </c>
      <c r="D289" s="15" t="s">
        <v>72</v>
      </c>
      <c r="E289" s="15" t="s">
        <v>377</v>
      </c>
      <c r="F289" s="15"/>
      <c r="G289" s="15"/>
      <c r="H289" s="16" t="s">
        <v>16</v>
      </c>
      <c r="I289" s="16"/>
      <c r="J289" s="16"/>
      <c r="K289" s="1"/>
      <c r="L289" s="1"/>
    </row>
    <row r="290" spans="1:13" x14ac:dyDescent="0.25">
      <c r="A290" s="20"/>
      <c r="B290" s="97" t="s">
        <v>3006</v>
      </c>
      <c r="C290" s="14" t="s">
        <v>88</v>
      </c>
      <c r="D290" s="15" t="s">
        <v>75</v>
      </c>
      <c r="E290" s="15" t="s">
        <v>379</v>
      </c>
      <c r="F290" s="15" t="s">
        <v>3004</v>
      </c>
      <c r="G290" s="15" t="s">
        <v>3001</v>
      </c>
      <c r="H290" s="16" t="s">
        <v>90</v>
      </c>
      <c r="I290" s="16">
        <v>75</v>
      </c>
      <c r="J290" s="16"/>
      <c r="K290" s="1"/>
      <c r="L290" s="1"/>
      <c r="M290" s="1"/>
    </row>
    <row r="291" spans="1:13" x14ac:dyDescent="0.25">
      <c r="A291" s="20"/>
      <c r="B291" s="97" t="s">
        <v>3007</v>
      </c>
      <c r="C291" s="14" t="s">
        <v>88</v>
      </c>
      <c r="D291" s="15" t="s">
        <v>77</v>
      </c>
      <c r="E291" s="15" t="s">
        <v>381</v>
      </c>
      <c r="F291" s="15" t="s">
        <v>4506</v>
      </c>
      <c r="G291" s="15" t="s">
        <v>3001</v>
      </c>
      <c r="H291" s="16" t="s">
        <v>90</v>
      </c>
      <c r="I291" s="16">
        <v>6000</v>
      </c>
      <c r="J291" s="16"/>
      <c r="K291" s="1"/>
      <c r="L291" s="1"/>
      <c r="M291" s="1"/>
    </row>
    <row r="292" spans="1:13" x14ac:dyDescent="0.25">
      <c r="A292" s="20"/>
      <c r="B292" s="97" t="s">
        <v>3008</v>
      </c>
      <c r="C292" s="14" t="s">
        <v>88</v>
      </c>
      <c r="D292" s="15" t="s">
        <v>80</v>
      </c>
      <c r="E292" s="15" t="s">
        <v>383</v>
      </c>
      <c r="F292" s="15"/>
      <c r="G292" s="15" t="s">
        <v>3001</v>
      </c>
      <c r="H292" s="16" t="s">
        <v>90</v>
      </c>
      <c r="I292" s="16">
        <v>350</v>
      </c>
      <c r="J292" s="16"/>
      <c r="K292" s="1"/>
      <c r="L292" s="1"/>
      <c r="M292" s="1"/>
    </row>
    <row r="293" spans="1:13" x14ac:dyDescent="0.25">
      <c r="A293" s="20"/>
      <c r="B293" s="97" t="s">
        <v>3009</v>
      </c>
      <c r="C293" s="14" t="s">
        <v>88</v>
      </c>
      <c r="D293" s="15" t="s">
        <v>84</v>
      </c>
      <c r="E293" s="15" t="s">
        <v>385</v>
      </c>
      <c r="F293" s="15"/>
      <c r="G293" s="15" t="s">
        <v>3001</v>
      </c>
      <c r="H293" s="16" t="s">
        <v>90</v>
      </c>
      <c r="I293" s="16">
        <v>150</v>
      </c>
      <c r="J293" s="16"/>
      <c r="K293" s="1"/>
      <c r="L293" s="1"/>
      <c r="M293" s="1"/>
    </row>
    <row r="294" spans="1:13" s="11" customFormat="1" x14ac:dyDescent="0.25">
      <c r="A294" s="20"/>
      <c r="B294" s="97" t="s">
        <v>2810</v>
      </c>
      <c r="C294" s="14" t="s">
        <v>88</v>
      </c>
      <c r="D294" s="15" t="s">
        <v>123</v>
      </c>
      <c r="E294" s="15" t="s">
        <v>387</v>
      </c>
      <c r="F294" s="15"/>
      <c r="G294" s="15" t="s">
        <v>2811</v>
      </c>
      <c r="H294" s="16" t="s">
        <v>90</v>
      </c>
      <c r="I294" s="16">
        <v>100</v>
      </c>
      <c r="J294" s="16"/>
      <c r="M294" s="12"/>
    </row>
    <row r="295" spans="1:13" x14ac:dyDescent="0.25">
      <c r="A295" s="20"/>
      <c r="B295" s="22" t="s">
        <v>520</v>
      </c>
      <c r="C295" s="14" t="s">
        <v>12</v>
      </c>
      <c r="D295" s="15" t="s">
        <v>212</v>
      </c>
      <c r="E295" s="15" t="s">
        <v>389</v>
      </c>
      <c r="F295" s="15"/>
      <c r="G295" s="15"/>
      <c r="H295" s="16" t="s">
        <v>16</v>
      </c>
      <c r="I295" s="16"/>
      <c r="J295" s="16"/>
      <c r="K295" s="1"/>
      <c r="L295" s="1"/>
      <c r="M295" s="1"/>
    </row>
    <row r="296" spans="1:13" x14ac:dyDescent="0.25">
      <c r="A296" s="20"/>
      <c r="B296" s="22" t="s">
        <v>529</v>
      </c>
      <c r="C296" s="14" t="s">
        <v>12</v>
      </c>
      <c r="D296" s="15" t="s">
        <v>214</v>
      </c>
      <c r="E296" s="15" t="s">
        <v>391</v>
      </c>
      <c r="F296" s="15"/>
      <c r="G296" s="15" t="s">
        <v>2517</v>
      </c>
      <c r="H296" s="16" t="s">
        <v>16</v>
      </c>
      <c r="I296" s="16">
        <v>110</v>
      </c>
      <c r="J296" s="16"/>
      <c r="K296" s="1"/>
      <c r="L296" s="1"/>
      <c r="M296" s="1"/>
    </row>
    <row r="297" spans="1:13" x14ac:dyDescent="0.25">
      <c r="A297" s="20"/>
      <c r="B297" s="22" t="s">
        <v>532</v>
      </c>
      <c r="C297" s="14" t="s">
        <v>12</v>
      </c>
      <c r="D297" s="15" t="s">
        <v>216</v>
      </c>
      <c r="E297" s="15" t="s">
        <v>393</v>
      </c>
      <c r="F297" s="15"/>
      <c r="G297" s="15" t="s">
        <v>2517</v>
      </c>
      <c r="H297" s="16" t="s">
        <v>16</v>
      </c>
      <c r="I297" s="16">
        <v>264</v>
      </c>
      <c r="J297" s="16"/>
      <c r="K297" s="1"/>
      <c r="L297" s="1"/>
      <c r="M297" s="1"/>
    </row>
    <row r="298" spans="1:13" x14ac:dyDescent="0.25">
      <c r="A298" s="20"/>
      <c r="B298" s="22" t="s">
        <v>362</v>
      </c>
      <c r="C298" s="14" t="s">
        <v>12</v>
      </c>
      <c r="D298" s="15" t="s">
        <v>218</v>
      </c>
      <c r="E298" s="15" t="s">
        <v>395</v>
      </c>
      <c r="F298" s="15"/>
      <c r="G298" s="15"/>
      <c r="H298" s="16" t="s">
        <v>16</v>
      </c>
      <c r="I298" s="16"/>
      <c r="J298" s="16"/>
      <c r="K298" s="1"/>
      <c r="L298" s="1"/>
      <c r="M298" s="1"/>
    </row>
    <row r="299" spans="1:13" x14ac:dyDescent="0.25">
      <c r="A299" s="20"/>
      <c r="B299" s="22" t="s">
        <v>364</v>
      </c>
      <c r="C299" s="14" t="s">
        <v>88</v>
      </c>
      <c r="D299" s="15" t="s">
        <v>220</v>
      </c>
      <c r="E299" s="15" t="s">
        <v>397</v>
      </c>
      <c r="F299" s="15"/>
      <c r="G299" s="15"/>
      <c r="H299" s="16" t="s">
        <v>16</v>
      </c>
      <c r="I299" s="16"/>
      <c r="J299" s="16"/>
      <c r="K299" s="1"/>
      <c r="L299" s="1"/>
      <c r="M299" s="1"/>
    </row>
    <row r="300" spans="1:13" x14ac:dyDescent="0.25">
      <c r="A300" s="20"/>
      <c r="B300" s="22" t="s">
        <v>366</v>
      </c>
      <c r="C300" s="14" t="s">
        <v>12</v>
      </c>
      <c r="D300" s="15" t="s">
        <v>222</v>
      </c>
      <c r="E300" s="15" t="s">
        <v>399</v>
      </c>
      <c r="F300" s="15"/>
      <c r="G300" s="15"/>
      <c r="H300" s="16" t="s">
        <v>16</v>
      </c>
      <c r="I300" s="16"/>
      <c r="J300" s="16"/>
      <c r="K300" s="1"/>
      <c r="L300" s="1"/>
      <c r="M300" s="1"/>
    </row>
    <row r="301" spans="1:13" x14ac:dyDescent="0.25">
      <c r="A301" s="20"/>
      <c r="B301" s="22" t="s">
        <v>368</v>
      </c>
      <c r="C301" s="14" t="s">
        <v>88</v>
      </c>
      <c r="D301" s="15" t="s">
        <v>224</v>
      </c>
      <c r="E301" s="15" t="s">
        <v>401</v>
      </c>
      <c r="F301" s="15"/>
      <c r="G301" s="15"/>
      <c r="H301" s="16" t="s">
        <v>16</v>
      </c>
      <c r="I301" s="16"/>
      <c r="J301" s="16"/>
      <c r="K301" s="1"/>
      <c r="L301" s="1"/>
      <c r="M301" s="1"/>
    </row>
    <row r="302" spans="1:13" x14ac:dyDescent="0.25">
      <c r="A302" s="20"/>
      <c r="B302" s="22" t="s">
        <v>370</v>
      </c>
      <c r="C302" s="14" t="s">
        <v>12</v>
      </c>
      <c r="D302" s="15" t="s">
        <v>226</v>
      </c>
      <c r="E302" s="15" t="s">
        <v>402</v>
      </c>
      <c r="F302" s="15"/>
      <c r="G302" s="15"/>
      <c r="H302" s="16" t="s">
        <v>16</v>
      </c>
      <c r="I302" s="16"/>
      <c r="J302" s="16"/>
      <c r="K302" s="1"/>
      <c r="L302" s="1"/>
      <c r="M302" s="1"/>
    </row>
    <row r="303" spans="1:13" x14ac:dyDescent="0.25">
      <c r="A303" s="20"/>
      <c r="B303" s="22" t="s">
        <v>372</v>
      </c>
      <c r="C303" s="14" t="s">
        <v>88</v>
      </c>
      <c r="D303" s="15" t="s">
        <v>228</v>
      </c>
      <c r="E303" s="15" t="s">
        <v>404</v>
      </c>
      <c r="F303" s="15"/>
      <c r="G303" s="15"/>
      <c r="H303" s="16" t="s">
        <v>16</v>
      </c>
      <c r="I303" s="16"/>
      <c r="J303" s="16"/>
      <c r="K303" s="1"/>
      <c r="L303" s="1"/>
      <c r="M303" s="1"/>
    </row>
    <row r="304" spans="1:13" x14ac:dyDescent="0.25">
      <c r="A304" s="20"/>
      <c r="B304" s="22" t="s">
        <v>568</v>
      </c>
      <c r="C304" s="14" t="s">
        <v>88</v>
      </c>
      <c r="D304" s="15" t="s">
        <v>230</v>
      </c>
      <c r="E304" s="15" t="s">
        <v>405</v>
      </c>
      <c r="F304" s="15"/>
      <c r="G304" s="15"/>
      <c r="H304" s="16" t="s">
        <v>16</v>
      </c>
      <c r="I304" s="16"/>
      <c r="J304" s="16" t="s">
        <v>17</v>
      </c>
      <c r="K304" s="1"/>
      <c r="L304" s="1"/>
      <c r="M304" s="1"/>
    </row>
    <row r="305" spans="1:13" x14ac:dyDescent="0.25">
      <c r="A305" s="20"/>
      <c r="B305" s="22" t="s">
        <v>535</v>
      </c>
      <c r="C305" s="14" t="s">
        <v>12</v>
      </c>
      <c r="D305" s="15" t="s">
        <v>232</v>
      </c>
      <c r="E305" s="15" t="s">
        <v>407</v>
      </c>
      <c r="F305" s="15"/>
      <c r="G305" s="15" t="s">
        <v>2392</v>
      </c>
      <c r="H305" s="16" t="s">
        <v>16</v>
      </c>
      <c r="I305" s="16">
        <v>19</v>
      </c>
      <c r="J305" s="16"/>
      <c r="K305" s="1"/>
      <c r="L305" s="1"/>
      <c r="M305" s="1"/>
    </row>
    <row r="306" spans="1:13" x14ac:dyDescent="0.25">
      <c r="A306" s="20"/>
      <c r="B306" s="22" t="s">
        <v>577</v>
      </c>
      <c r="C306" s="14" t="s">
        <v>12</v>
      </c>
      <c r="D306" s="15" t="s">
        <v>234</v>
      </c>
      <c r="E306" s="15" t="s">
        <v>409</v>
      </c>
      <c r="F306" s="15"/>
      <c r="G306" s="15" t="s">
        <v>2795</v>
      </c>
      <c r="H306" s="16" t="s">
        <v>16</v>
      </c>
      <c r="I306" s="16">
        <v>420</v>
      </c>
      <c r="J306" s="16" t="s">
        <v>17</v>
      </c>
      <c r="K306" s="1"/>
      <c r="L306" s="1"/>
      <c r="M306" s="1"/>
    </row>
    <row r="307" spans="1:13" x14ac:dyDescent="0.25">
      <c r="A307" s="20"/>
      <c r="B307" s="22" t="s">
        <v>394</v>
      </c>
      <c r="C307" s="14" t="s">
        <v>12</v>
      </c>
      <c r="D307" s="15" t="s">
        <v>236</v>
      </c>
      <c r="E307" s="15" t="s">
        <v>411</v>
      </c>
      <c r="F307" s="15"/>
      <c r="G307" s="15" t="s">
        <v>2795</v>
      </c>
      <c r="H307" s="16" t="s">
        <v>16</v>
      </c>
      <c r="I307" s="16">
        <v>14</v>
      </c>
      <c r="J307" s="16"/>
      <c r="K307" s="1"/>
      <c r="L307" s="1"/>
      <c r="M307" s="1"/>
    </row>
    <row r="308" spans="1:13" x14ac:dyDescent="0.25">
      <c r="A308" s="20"/>
      <c r="B308" s="22" t="s">
        <v>396</v>
      </c>
      <c r="C308" s="14" t="s">
        <v>12</v>
      </c>
      <c r="D308" s="15" t="s">
        <v>238</v>
      </c>
      <c r="E308" s="15" t="s">
        <v>413</v>
      </c>
      <c r="F308" s="15"/>
      <c r="G308" s="15" t="s">
        <v>2795</v>
      </c>
      <c r="H308" s="16" t="s">
        <v>16</v>
      </c>
      <c r="I308" s="16">
        <v>45</v>
      </c>
      <c r="J308" s="16"/>
      <c r="K308" s="1"/>
      <c r="L308" s="1"/>
      <c r="M308" s="1"/>
    </row>
    <row r="309" spans="1:13" x14ac:dyDescent="0.25">
      <c r="A309" s="20"/>
      <c r="B309" s="22" t="s">
        <v>2798</v>
      </c>
      <c r="C309" s="14" t="s">
        <v>12</v>
      </c>
      <c r="D309" s="15" t="s">
        <v>240</v>
      </c>
      <c r="E309" s="15" t="s">
        <v>415</v>
      </c>
      <c r="F309" s="15"/>
      <c r="G309" s="15" t="s">
        <v>2795</v>
      </c>
      <c r="H309" s="16" t="s">
        <v>16</v>
      </c>
      <c r="I309" s="16">
        <v>20</v>
      </c>
      <c r="J309" s="16"/>
      <c r="K309" s="1"/>
      <c r="L309" s="1"/>
      <c r="M309" s="1"/>
    </row>
    <row r="310" spans="1:13" x14ac:dyDescent="0.25">
      <c r="A310" s="20"/>
      <c r="B310" s="22" t="s">
        <v>2799</v>
      </c>
      <c r="C310" s="14" t="s">
        <v>12</v>
      </c>
      <c r="D310" s="15" t="s">
        <v>334</v>
      </c>
      <c r="E310" s="15" t="s">
        <v>417</v>
      </c>
      <c r="F310" s="15"/>
      <c r="G310" s="15" t="s">
        <v>2795</v>
      </c>
      <c r="H310" s="16" t="s">
        <v>16</v>
      </c>
      <c r="I310" s="16">
        <v>110</v>
      </c>
      <c r="J310" s="16"/>
      <c r="K310" s="1"/>
      <c r="L310" s="1"/>
      <c r="M310" s="1"/>
    </row>
    <row r="311" spans="1:13" x14ac:dyDescent="0.25">
      <c r="A311" s="20"/>
      <c r="B311" s="22" t="s">
        <v>2800</v>
      </c>
      <c r="C311" s="14" t="s">
        <v>12</v>
      </c>
      <c r="D311" s="15" t="s">
        <v>337</v>
      </c>
      <c r="E311" s="15" t="s">
        <v>419</v>
      </c>
      <c r="F311" s="15"/>
      <c r="G311" s="15" t="s">
        <v>2795</v>
      </c>
      <c r="H311" s="16" t="s">
        <v>16</v>
      </c>
      <c r="I311" s="16">
        <v>100</v>
      </c>
      <c r="J311" s="16"/>
      <c r="K311" s="1"/>
      <c r="L311" s="1"/>
      <c r="M311" s="1"/>
    </row>
    <row r="312" spans="1:13" x14ac:dyDescent="0.25">
      <c r="A312" s="20"/>
      <c r="B312" s="22" t="s">
        <v>2797</v>
      </c>
      <c r="C312" s="14" t="s">
        <v>12</v>
      </c>
      <c r="D312" s="15" t="s">
        <v>340</v>
      </c>
      <c r="E312" s="15" t="s">
        <v>421</v>
      </c>
      <c r="F312" s="15"/>
      <c r="G312" s="15" t="s">
        <v>2795</v>
      </c>
      <c r="H312" s="16" t="s">
        <v>16</v>
      </c>
      <c r="I312" s="16">
        <v>10</v>
      </c>
      <c r="J312" s="16"/>
      <c r="K312" s="1"/>
      <c r="L312" s="1"/>
      <c r="M312" s="1"/>
    </row>
    <row r="313" spans="1:13" x14ac:dyDescent="0.25">
      <c r="A313" s="20"/>
      <c r="B313" s="22" t="s">
        <v>398</v>
      </c>
      <c r="C313" s="14" t="s">
        <v>12</v>
      </c>
      <c r="D313" s="15" t="s">
        <v>343</v>
      </c>
      <c r="E313" s="15" t="s">
        <v>423</v>
      </c>
      <c r="F313" s="15"/>
      <c r="G313" s="15" t="s">
        <v>2795</v>
      </c>
      <c r="H313" s="16" t="s">
        <v>16</v>
      </c>
      <c r="I313" s="16">
        <v>210</v>
      </c>
      <c r="J313" s="16"/>
      <c r="K313" s="1"/>
      <c r="L313" s="1"/>
      <c r="M313" s="1"/>
    </row>
    <row r="314" spans="1:13" x14ac:dyDescent="0.25">
      <c r="A314" s="20"/>
      <c r="B314" s="22" t="s">
        <v>2796</v>
      </c>
      <c r="C314" s="14" t="s">
        <v>12</v>
      </c>
      <c r="D314" s="15" t="s">
        <v>345</v>
      </c>
      <c r="E314" s="15" t="s">
        <v>425</v>
      </c>
      <c r="F314" s="15"/>
      <c r="G314" s="15" t="s">
        <v>2795</v>
      </c>
      <c r="H314" s="16" t="s">
        <v>16</v>
      </c>
      <c r="I314" s="16">
        <v>93</v>
      </c>
      <c r="J314" s="16"/>
      <c r="K314" s="1"/>
      <c r="L314" s="1"/>
      <c r="M314" s="1"/>
    </row>
    <row r="315" spans="1:13" x14ac:dyDescent="0.25">
      <c r="A315" s="20"/>
      <c r="B315" s="22" t="s">
        <v>400</v>
      </c>
      <c r="C315" s="14" t="s">
        <v>12</v>
      </c>
      <c r="D315" s="15" t="s">
        <v>348</v>
      </c>
      <c r="E315" s="15" t="s">
        <v>427</v>
      </c>
      <c r="F315" s="15"/>
      <c r="G315" s="15"/>
      <c r="H315" s="16" t="s">
        <v>16</v>
      </c>
      <c r="I315" s="16"/>
      <c r="J315" s="16"/>
      <c r="K315" s="1"/>
      <c r="L315" s="1"/>
      <c r="M315" s="1"/>
    </row>
    <row r="316" spans="1:13" x14ac:dyDescent="0.25">
      <c r="A316" s="20"/>
      <c r="B316" s="22" t="s">
        <v>2695</v>
      </c>
      <c r="C316" s="14" t="s">
        <v>88</v>
      </c>
      <c r="D316" s="15" t="s">
        <v>351</v>
      </c>
      <c r="E316" s="15" t="s">
        <v>429</v>
      </c>
      <c r="F316" s="15"/>
      <c r="G316" s="15" t="s">
        <v>2389</v>
      </c>
      <c r="H316" s="16" t="s">
        <v>16</v>
      </c>
      <c r="I316" s="16">
        <v>70</v>
      </c>
      <c r="J316" s="16"/>
      <c r="K316" s="1"/>
      <c r="L316" s="1"/>
      <c r="M316" s="1"/>
    </row>
    <row r="317" spans="1:13" x14ac:dyDescent="0.25">
      <c r="A317" s="20"/>
      <c r="B317" s="22" t="s">
        <v>2835</v>
      </c>
      <c r="C317" s="14" t="s">
        <v>12</v>
      </c>
      <c r="D317" s="15" t="s">
        <v>431</v>
      </c>
      <c r="E317" s="15" t="s">
        <v>432</v>
      </c>
      <c r="F317" s="15"/>
      <c r="G317" s="15" t="s">
        <v>2833</v>
      </c>
      <c r="H317" s="16" t="s">
        <v>16</v>
      </c>
      <c r="I317" s="16">
        <v>20</v>
      </c>
      <c r="J317" s="16" t="s">
        <v>2841</v>
      </c>
      <c r="K317" s="1"/>
      <c r="L317" s="1"/>
      <c r="M317" s="1"/>
    </row>
    <row r="318" spans="1:13" x14ac:dyDescent="0.25">
      <c r="A318" s="20"/>
      <c r="B318" s="22" t="s">
        <v>2834</v>
      </c>
      <c r="C318" s="14" t="s">
        <v>12</v>
      </c>
      <c r="D318" s="15" t="s">
        <v>434</v>
      </c>
      <c r="E318" s="15" t="s">
        <v>435</v>
      </c>
      <c r="F318" s="15"/>
      <c r="G318" s="15" t="s">
        <v>2833</v>
      </c>
      <c r="H318" s="16" t="s">
        <v>16</v>
      </c>
      <c r="I318" s="16">
        <v>10</v>
      </c>
      <c r="J318" s="16" t="s">
        <v>2841</v>
      </c>
      <c r="K318" s="1"/>
      <c r="L318" s="1"/>
      <c r="M318" s="1"/>
    </row>
    <row r="319" spans="1:13" x14ac:dyDescent="0.25">
      <c r="A319" s="20"/>
      <c r="B319" s="22" t="s">
        <v>403</v>
      </c>
      <c r="C319" s="14" t="s">
        <v>12</v>
      </c>
      <c r="D319" s="15" t="s">
        <v>437</v>
      </c>
      <c r="E319" s="15" t="s">
        <v>438</v>
      </c>
      <c r="F319" s="15"/>
      <c r="G319" s="15"/>
      <c r="H319" s="16" t="s">
        <v>16</v>
      </c>
      <c r="I319" s="16"/>
      <c r="J319" s="16"/>
      <c r="K319" s="1"/>
      <c r="L319" s="1"/>
      <c r="M319" s="1"/>
    </row>
    <row r="320" spans="1:13" x14ac:dyDescent="0.25">
      <c r="A320" s="20"/>
      <c r="B320" s="22" t="s">
        <v>547</v>
      </c>
      <c r="C320" s="14" t="s">
        <v>12</v>
      </c>
      <c r="D320" s="15" t="s">
        <v>440</v>
      </c>
      <c r="E320" s="15" t="s">
        <v>441</v>
      </c>
      <c r="F320" s="15"/>
      <c r="G320" s="15"/>
      <c r="H320" s="16" t="s">
        <v>16</v>
      </c>
      <c r="I320" s="16"/>
      <c r="J320" s="16" t="s">
        <v>17</v>
      </c>
      <c r="K320" s="1"/>
      <c r="L320" s="1"/>
      <c r="M320" s="1"/>
    </row>
    <row r="321" spans="1:13" x14ac:dyDescent="0.25">
      <c r="A321" s="20"/>
      <c r="B321" s="22" t="s">
        <v>3054</v>
      </c>
      <c r="C321" s="14" t="s">
        <v>12</v>
      </c>
      <c r="D321" s="15" t="s">
        <v>443</v>
      </c>
      <c r="E321" s="15" t="s">
        <v>444</v>
      </c>
      <c r="F321" s="15"/>
      <c r="G321" s="15" t="s">
        <v>3055</v>
      </c>
      <c r="H321" s="16" t="s">
        <v>16</v>
      </c>
      <c r="I321" s="16">
        <v>200</v>
      </c>
      <c r="J321" s="16"/>
      <c r="K321" s="1"/>
      <c r="L321" s="1"/>
      <c r="M321" s="1"/>
    </row>
    <row r="322" spans="1:13" x14ac:dyDescent="0.25">
      <c r="A322" s="20"/>
      <c r="B322" s="22" t="s">
        <v>360</v>
      </c>
      <c r="C322" s="14" t="s">
        <v>12</v>
      </c>
      <c r="D322" s="15" t="s">
        <v>446</v>
      </c>
      <c r="E322" s="15" t="s">
        <v>447</v>
      </c>
      <c r="F322" s="15"/>
      <c r="G322" s="15"/>
      <c r="H322" s="16" t="s">
        <v>16</v>
      </c>
      <c r="I322" s="16"/>
      <c r="J322" s="16"/>
      <c r="K322" s="1"/>
      <c r="L322" s="1"/>
    </row>
    <row r="323" spans="1:13" x14ac:dyDescent="0.25">
      <c r="A323" s="20"/>
      <c r="B323" s="22" t="s">
        <v>3305</v>
      </c>
      <c r="C323" s="14" t="s">
        <v>12</v>
      </c>
      <c r="D323" s="15" t="s">
        <v>449</v>
      </c>
      <c r="E323" s="15" t="s">
        <v>450</v>
      </c>
      <c r="F323" s="15"/>
      <c r="G323" s="15" t="s">
        <v>3304</v>
      </c>
      <c r="H323" s="16" t="s">
        <v>16</v>
      </c>
      <c r="I323" s="16">
        <v>5</v>
      </c>
      <c r="J323" s="16"/>
      <c r="K323" s="1"/>
      <c r="L323" s="1"/>
      <c r="M323" s="1"/>
    </row>
    <row r="324" spans="1:13" x14ac:dyDescent="0.25">
      <c r="A324" s="20"/>
      <c r="B324" s="22" t="s">
        <v>3306</v>
      </c>
      <c r="C324" s="14" t="s">
        <v>12</v>
      </c>
      <c r="D324" s="15" t="s">
        <v>452</v>
      </c>
      <c r="E324" s="15" t="s">
        <v>453</v>
      </c>
      <c r="F324" s="15"/>
      <c r="G324" s="15" t="s">
        <v>3307</v>
      </c>
      <c r="H324" s="16" t="s">
        <v>16</v>
      </c>
      <c r="I324" s="16">
        <v>7</v>
      </c>
      <c r="J324" s="16"/>
      <c r="K324" s="1"/>
      <c r="L324" s="1"/>
      <c r="M324" s="1"/>
    </row>
    <row r="325" spans="1:13" x14ac:dyDescent="0.25">
      <c r="A325" s="20"/>
      <c r="B325" s="22" t="s">
        <v>3308</v>
      </c>
      <c r="C325" s="14" t="s">
        <v>12</v>
      </c>
      <c r="D325" s="15" t="s">
        <v>455</v>
      </c>
      <c r="E325" s="15" t="s">
        <v>456</v>
      </c>
      <c r="F325" s="15"/>
      <c r="G325" s="15" t="s">
        <v>3307</v>
      </c>
      <c r="H325" s="16" t="s">
        <v>16</v>
      </c>
      <c r="I325" s="16">
        <v>5</v>
      </c>
      <c r="J325" s="16"/>
      <c r="K325" s="1"/>
      <c r="L325" s="1"/>
      <c r="M325" s="1"/>
    </row>
    <row r="326" spans="1:13" x14ac:dyDescent="0.25">
      <c r="A326" s="20"/>
      <c r="B326" s="22" t="s">
        <v>3056</v>
      </c>
      <c r="C326" s="14" t="s">
        <v>12</v>
      </c>
      <c r="D326" s="15" t="s">
        <v>458</v>
      </c>
      <c r="E326" s="15" t="s">
        <v>459</v>
      </c>
      <c r="F326" s="15"/>
      <c r="G326" s="15" t="s">
        <v>3055</v>
      </c>
      <c r="H326" s="16" t="s">
        <v>16</v>
      </c>
      <c r="I326" s="16">
        <v>148</v>
      </c>
      <c r="J326" s="16"/>
      <c r="K326" s="1"/>
      <c r="L326" s="1"/>
      <c r="M326" s="1"/>
    </row>
    <row r="327" spans="1:13" x14ac:dyDescent="0.25">
      <c r="A327" s="20"/>
      <c r="B327" s="22" t="s">
        <v>2879</v>
      </c>
      <c r="C327" s="14" t="s">
        <v>12</v>
      </c>
      <c r="D327" s="15" t="s">
        <v>461</v>
      </c>
      <c r="E327" s="15" t="s">
        <v>462</v>
      </c>
      <c r="F327" s="15"/>
      <c r="G327" s="15" t="s">
        <v>2643</v>
      </c>
      <c r="H327" s="16" t="s">
        <v>16</v>
      </c>
      <c r="I327" s="16">
        <v>440</v>
      </c>
      <c r="J327" s="16"/>
      <c r="K327" s="1"/>
      <c r="L327" s="1"/>
      <c r="M327" s="1"/>
    </row>
    <row r="328" spans="1:13" x14ac:dyDescent="0.25">
      <c r="A328" s="20"/>
      <c r="B328" s="22" t="s">
        <v>3327</v>
      </c>
      <c r="C328" s="14" t="s">
        <v>12</v>
      </c>
      <c r="D328" s="15" t="s">
        <v>464</v>
      </c>
      <c r="E328" s="15" t="s">
        <v>465</v>
      </c>
      <c r="F328" s="15"/>
      <c r="G328" s="15" t="s">
        <v>2643</v>
      </c>
      <c r="H328" s="16" t="s">
        <v>16</v>
      </c>
      <c r="I328" s="16">
        <v>190</v>
      </c>
      <c r="J328" s="16"/>
      <c r="K328" s="1"/>
      <c r="L328" s="1"/>
      <c r="M328" s="1"/>
    </row>
    <row r="329" spans="1:13" x14ac:dyDescent="0.25">
      <c r="A329" s="20"/>
      <c r="B329" s="22" t="s">
        <v>406</v>
      </c>
      <c r="C329" s="14" t="s">
        <v>12</v>
      </c>
      <c r="D329" s="15" t="s">
        <v>467</v>
      </c>
      <c r="E329" s="15" t="s">
        <v>468</v>
      </c>
      <c r="F329" s="15"/>
      <c r="G329" s="15" t="s">
        <v>2643</v>
      </c>
      <c r="H329" s="16" t="s">
        <v>16</v>
      </c>
      <c r="I329" s="16">
        <v>300</v>
      </c>
      <c r="J329" s="16"/>
      <c r="K329" s="1"/>
      <c r="L329" s="1"/>
      <c r="M329" s="1"/>
    </row>
    <row r="330" spans="1:13" x14ac:dyDescent="0.25">
      <c r="A330" s="20"/>
      <c r="B330" s="35" t="s">
        <v>382</v>
      </c>
      <c r="C330" s="14" t="s">
        <v>88</v>
      </c>
      <c r="D330" s="15" t="s">
        <v>470</v>
      </c>
      <c r="E330" s="15" t="s">
        <v>471</v>
      </c>
      <c r="F330" s="15"/>
      <c r="G330" s="15"/>
      <c r="H330" s="16" t="s">
        <v>16</v>
      </c>
      <c r="I330" s="16"/>
      <c r="J330" s="16" t="s">
        <v>17</v>
      </c>
      <c r="K330" s="1"/>
      <c r="L330" s="1"/>
      <c r="M330" s="1"/>
    </row>
    <row r="331" spans="1:13" x14ac:dyDescent="0.25">
      <c r="A331" s="20"/>
      <c r="B331" s="22" t="s">
        <v>574</v>
      </c>
      <c r="C331" s="14" t="s">
        <v>88</v>
      </c>
      <c r="D331" s="15" t="s">
        <v>473</v>
      </c>
      <c r="E331" s="15" t="s">
        <v>474</v>
      </c>
      <c r="F331" s="15"/>
      <c r="G331" s="15"/>
      <c r="H331" s="16" t="s">
        <v>16</v>
      </c>
      <c r="I331" s="16"/>
      <c r="J331" s="16" t="s">
        <v>17</v>
      </c>
      <c r="K331" s="1"/>
      <c r="L331" s="1"/>
      <c r="M331" s="1"/>
    </row>
    <row r="332" spans="1:13" x14ac:dyDescent="0.25">
      <c r="A332" s="20"/>
      <c r="B332" s="22" t="s">
        <v>571</v>
      </c>
      <c r="C332" s="14" t="s">
        <v>88</v>
      </c>
      <c r="D332" s="15" t="s">
        <v>476</v>
      </c>
      <c r="E332" s="15" t="s">
        <v>477</v>
      </c>
      <c r="F332" s="15"/>
      <c r="G332" s="15"/>
      <c r="H332" s="16" t="s">
        <v>16</v>
      </c>
      <c r="I332" s="16"/>
      <c r="J332" s="16" t="s">
        <v>17</v>
      </c>
      <c r="K332" s="1"/>
      <c r="L332" s="1"/>
      <c r="M332" s="1"/>
    </row>
    <row r="333" spans="1:13" x14ac:dyDescent="0.25">
      <c r="A333" s="20"/>
      <c r="B333" s="22" t="s">
        <v>408</v>
      </c>
      <c r="C333" s="14" t="s">
        <v>88</v>
      </c>
      <c r="D333" s="15" t="s">
        <v>479</v>
      </c>
      <c r="E333" s="15" t="s">
        <v>480</v>
      </c>
      <c r="F333" s="15"/>
      <c r="G333" s="15"/>
      <c r="H333" s="16" t="s">
        <v>16</v>
      </c>
      <c r="I333" s="16"/>
      <c r="J333" s="16"/>
      <c r="K333" s="1"/>
      <c r="L333" s="1"/>
      <c r="M333" s="1"/>
    </row>
    <row r="334" spans="1:13" x14ac:dyDescent="0.25">
      <c r="A334" s="20"/>
      <c r="B334" s="22" t="s">
        <v>410</v>
      </c>
      <c r="C334" s="14" t="s">
        <v>88</v>
      </c>
      <c r="D334" s="15" t="s">
        <v>482</v>
      </c>
      <c r="E334" s="15" t="s">
        <v>483</v>
      </c>
      <c r="F334" s="15"/>
      <c r="G334" s="15"/>
      <c r="H334" s="16" t="s">
        <v>16</v>
      </c>
      <c r="I334" s="16"/>
      <c r="J334" s="16"/>
      <c r="K334" s="1"/>
      <c r="L334" s="1"/>
      <c r="M334" s="1"/>
    </row>
    <row r="335" spans="1:13" x14ac:dyDescent="0.25">
      <c r="A335" s="20"/>
      <c r="B335" s="22" t="s">
        <v>412</v>
      </c>
      <c r="C335" s="14" t="s">
        <v>12</v>
      </c>
      <c r="D335" s="15" t="s">
        <v>485</v>
      </c>
      <c r="E335" s="15" t="s">
        <v>486</v>
      </c>
      <c r="F335" s="15"/>
      <c r="G335" s="15"/>
      <c r="H335" s="16" t="s">
        <v>16</v>
      </c>
      <c r="I335" s="16"/>
      <c r="J335" s="16"/>
      <c r="K335" s="1"/>
      <c r="L335" s="1"/>
      <c r="M335" s="1"/>
    </row>
    <row r="336" spans="1:13" x14ac:dyDescent="0.25">
      <c r="A336" s="20"/>
      <c r="B336" s="22" t="s">
        <v>418</v>
      </c>
      <c r="C336" s="14" t="s">
        <v>88</v>
      </c>
      <c r="D336" s="15" t="s">
        <v>488</v>
      </c>
      <c r="E336" s="15" t="s">
        <v>489</v>
      </c>
      <c r="F336" s="15"/>
      <c r="G336" s="15"/>
      <c r="H336" s="16" t="s">
        <v>16</v>
      </c>
      <c r="I336" s="16"/>
      <c r="J336" s="16"/>
      <c r="K336" s="1"/>
      <c r="L336" s="1"/>
      <c r="M336" s="1"/>
    </row>
    <row r="337" spans="1:13" x14ac:dyDescent="0.25">
      <c r="A337" s="20"/>
      <c r="B337" s="22" t="s">
        <v>416</v>
      </c>
      <c r="C337" s="14" t="s">
        <v>88</v>
      </c>
      <c r="D337" s="15" t="s">
        <v>491</v>
      </c>
      <c r="E337" s="15" t="s">
        <v>492</v>
      </c>
      <c r="F337" s="15"/>
      <c r="G337" s="15" t="s">
        <v>3236</v>
      </c>
      <c r="H337" s="16" t="s">
        <v>16</v>
      </c>
      <c r="I337" s="16">
        <v>128</v>
      </c>
      <c r="J337" s="16"/>
      <c r="K337" s="1"/>
      <c r="L337" s="1"/>
      <c r="M337" s="1"/>
    </row>
    <row r="338" spans="1:13" x14ac:dyDescent="0.25">
      <c r="A338" s="20"/>
      <c r="B338" s="22" t="s">
        <v>3330</v>
      </c>
      <c r="C338" s="14" t="s">
        <v>88</v>
      </c>
      <c r="D338" s="15" t="s">
        <v>494</v>
      </c>
      <c r="E338" s="15" t="s">
        <v>495</v>
      </c>
      <c r="F338" s="15"/>
      <c r="G338" s="15" t="s">
        <v>3236</v>
      </c>
      <c r="H338" s="16" t="s">
        <v>16</v>
      </c>
      <c r="I338" s="16">
        <v>60</v>
      </c>
      <c r="J338" s="16"/>
      <c r="K338" s="1"/>
      <c r="L338" s="1"/>
      <c r="M338" s="1"/>
    </row>
    <row r="339" spans="1:13" x14ac:dyDescent="0.2">
      <c r="A339" s="20"/>
      <c r="B339" s="95" t="s">
        <v>559</v>
      </c>
      <c r="C339" s="14" t="s">
        <v>88</v>
      </c>
      <c r="D339" s="15" t="s">
        <v>497</v>
      </c>
      <c r="E339" s="15" t="s">
        <v>498</v>
      </c>
      <c r="F339" s="15"/>
      <c r="G339" s="15"/>
      <c r="H339" s="16" t="s">
        <v>16</v>
      </c>
      <c r="I339" s="16"/>
      <c r="J339" s="16" t="s">
        <v>17</v>
      </c>
      <c r="K339" s="1"/>
      <c r="L339" s="1"/>
      <c r="M339" s="1"/>
    </row>
    <row r="340" spans="1:13" x14ac:dyDescent="0.2">
      <c r="A340" s="20"/>
      <c r="B340" s="95" t="s">
        <v>541</v>
      </c>
      <c r="C340" s="14" t="s">
        <v>88</v>
      </c>
      <c r="D340" s="15" t="s">
        <v>500</v>
      </c>
      <c r="E340" s="15" t="s">
        <v>501</v>
      </c>
      <c r="F340" s="15"/>
      <c r="G340" s="15"/>
      <c r="H340" s="16" t="s">
        <v>16</v>
      </c>
      <c r="I340" s="16"/>
      <c r="J340" s="16"/>
      <c r="K340" s="1"/>
      <c r="L340" s="1"/>
      <c r="M340" s="1"/>
    </row>
    <row r="341" spans="1:13" x14ac:dyDescent="0.2">
      <c r="A341" s="20"/>
      <c r="B341" s="95" t="s">
        <v>544</v>
      </c>
      <c r="C341" s="14" t="s">
        <v>12</v>
      </c>
      <c r="D341" s="15" t="s">
        <v>503</v>
      </c>
      <c r="E341" s="15" t="s">
        <v>504</v>
      </c>
      <c r="F341" s="15"/>
      <c r="G341" s="15"/>
      <c r="H341" s="16" t="s">
        <v>16</v>
      </c>
      <c r="I341" s="16"/>
      <c r="J341" s="16"/>
      <c r="K341" s="1"/>
      <c r="L341" s="1"/>
      <c r="M341" s="1"/>
    </row>
    <row r="342" spans="1:13" x14ac:dyDescent="0.25">
      <c r="A342" s="20"/>
      <c r="B342" s="22" t="s">
        <v>414</v>
      </c>
      <c r="C342" s="14" t="s">
        <v>88</v>
      </c>
      <c r="D342" s="15" t="s">
        <v>506</v>
      </c>
      <c r="E342" s="15" t="s">
        <v>507</v>
      </c>
      <c r="F342" s="15"/>
      <c r="G342" s="15"/>
      <c r="H342" s="16" t="s">
        <v>16</v>
      </c>
      <c r="I342" s="16"/>
      <c r="J342" s="16"/>
      <c r="K342" s="1"/>
      <c r="L342" s="1"/>
      <c r="M342" s="1"/>
    </row>
    <row r="343" spans="1:13" x14ac:dyDescent="0.25">
      <c r="A343" s="20"/>
      <c r="B343" s="22" t="s">
        <v>420</v>
      </c>
      <c r="C343" s="14" t="s">
        <v>88</v>
      </c>
      <c r="D343" s="15" t="s">
        <v>509</v>
      </c>
      <c r="E343" s="15" t="s">
        <v>510</v>
      </c>
      <c r="F343" s="15"/>
      <c r="G343" s="15"/>
      <c r="H343" s="16" t="s">
        <v>16</v>
      </c>
      <c r="I343" s="16"/>
      <c r="J343" s="16"/>
      <c r="K343" s="1"/>
      <c r="L343" s="1"/>
      <c r="M343" s="1"/>
    </row>
    <row r="344" spans="1:13" x14ac:dyDescent="0.25">
      <c r="A344" s="20"/>
      <c r="B344" s="22" t="s">
        <v>422</v>
      </c>
      <c r="C344" s="14" t="s">
        <v>88</v>
      </c>
      <c r="D344" s="15" t="s">
        <v>512</v>
      </c>
      <c r="E344" s="15" t="s">
        <v>513</v>
      </c>
      <c r="F344" s="15"/>
      <c r="G344" s="15"/>
      <c r="H344" s="16" t="s">
        <v>16</v>
      </c>
      <c r="I344" s="16"/>
      <c r="J344" s="16"/>
      <c r="K344" s="1"/>
      <c r="L344" s="1"/>
      <c r="M344" s="1"/>
    </row>
    <row r="345" spans="1:13" x14ac:dyDescent="0.25">
      <c r="A345" s="20"/>
      <c r="B345" s="22" t="s">
        <v>424</v>
      </c>
      <c r="C345" s="14" t="s">
        <v>88</v>
      </c>
      <c r="D345" s="15" t="s">
        <v>515</v>
      </c>
      <c r="E345" s="15" t="s">
        <v>516</v>
      </c>
      <c r="F345" s="15"/>
      <c r="G345" s="15"/>
      <c r="H345" s="16" t="s">
        <v>16</v>
      </c>
      <c r="I345" s="16"/>
      <c r="J345" s="16"/>
      <c r="K345" s="1"/>
      <c r="L345" s="1"/>
      <c r="M345" s="1"/>
    </row>
    <row r="346" spans="1:13" x14ac:dyDescent="0.25">
      <c r="A346" s="20"/>
      <c r="B346" s="22" t="s">
        <v>769</v>
      </c>
      <c r="C346" s="14" t="s">
        <v>12</v>
      </c>
      <c r="D346" s="15" t="s">
        <v>518</v>
      </c>
      <c r="E346" s="15" t="s">
        <v>519</v>
      </c>
      <c r="F346" s="15"/>
      <c r="G346" s="15"/>
      <c r="H346" s="16" t="s">
        <v>16</v>
      </c>
      <c r="I346" s="16"/>
      <c r="J346" s="16"/>
      <c r="K346" s="1"/>
      <c r="L346" s="1"/>
      <c r="M346" s="1"/>
    </row>
    <row r="347" spans="1:13" x14ac:dyDescent="0.25">
      <c r="A347" s="20"/>
      <c r="B347" s="22" t="s">
        <v>426</v>
      </c>
      <c r="C347" s="14" t="s">
        <v>12</v>
      </c>
      <c r="D347" s="15" t="s">
        <v>521</v>
      </c>
      <c r="E347" s="15" t="s">
        <v>522</v>
      </c>
      <c r="F347" s="15"/>
      <c r="G347" s="15"/>
      <c r="H347" s="16" t="s">
        <v>16</v>
      </c>
      <c r="I347" s="16"/>
      <c r="J347" s="16"/>
      <c r="K347" s="1"/>
      <c r="L347" s="1"/>
      <c r="M347" s="1"/>
    </row>
    <row r="348" spans="1:13" x14ac:dyDescent="0.25">
      <c r="A348" s="20"/>
      <c r="B348" s="22" t="s">
        <v>428</v>
      </c>
      <c r="C348" s="14" t="s">
        <v>88</v>
      </c>
      <c r="D348" s="15" t="s">
        <v>524</v>
      </c>
      <c r="E348" s="15" t="s">
        <v>525</v>
      </c>
      <c r="F348" s="15"/>
      <c r="G348" s="15"/>
      <c r="H348" s="16" t="s">
        <v>16</v>
      </c>
      <c r="I348" s="16"/>
      <c r="J348" s="16"/>
      <c r="K348" s="1"/>
      <c r="L348" s="1"/>
    </row>
    <row r="349" spans="1:13" x14ac:dyDescent="0.25">
      <c r="A349" s="20"/>
      <c r="B349" s="22" t="s">
        <v>430</v>
      </c>
      <c r="C349" s="14" t="s">
        <v>88</v>
      </c>
      <c r="D349" s="15" t="s">
        <v>527</v>
      </c>
      <c r="E349" s="15" t="s">
        <v>528</v>
      </c>
      <c r="F349" s="15"/>
      <c r="G349" s="15"/>
      <c r="H349" s="16" t="s">
        <v>16</v>
      </c>
      <c r="I349" s="16"/>
      <c r="J349" s="16"/>
      <c r="K349" s="1"/>
      <c r="L349" s="1"/>
    </row>
    <row r="350" spans="1:13" x14ac:dyDescent="0.25">
      <c r="A350" s="20"/>
      <c r="B350" s="22" t="s">
        <v>433</v>
      </c>
      <c r="C350" s="14" t="s">
        <v>12</v>
      </c>
      <c r="D350" s="15" t="s">
        <v>530</v>
      </c>
      <c r="E350" s="15" t="s">
        <v>531</v>
      </c>
      <c r="F350" s="15"/>
      <c r="G350" s="15"/>
      <c r="H350" s="16" t="s">
        <v>16</v>
      </c>
      <c r="I350" s="16"/>
      <c r="J350" s="16"/>
      <c r="K350" s="1"/>
      <c r="L350" s="1"/>
    </row>
    <row r="351" spans="1:13" x14ac:dyDescent="0.25">
      <c r="A351" s="20"/>
      <c r="B351" s="22" t="s">
        <v>3082</v>
      </c>
      <c r="C351" s="14" t="s">
        <v>12</v>
      </c>
      <c r="D351" s="15" t="s">
        <v>533</v>
      </c>
      <c r="E351" s="15" t="s">
        <v>534</v>
      </c>
      <c r="F351" s="15"/>
      <c r="G351" s="15" t="s">
        <v>3055</v>
      </c>
      <c r="H351" s="16" t="s">
        <v>16</v>
      </c>
      <c r="I351" s="16">
        <v>2</v>
      </c>
      <c r="J351" s="16"/>
      <c r="K351" s="1"/>
      <c r="L351" s="1"/>
    </row>
    <row r="352" spans="1:13" x14ac:dyDescent="0.25">
      <c r="A352" s="20"/>
      <c r="B352" s="22" t="s">
        <v>3125</v>
      </c>
      <c r="C352" s="14" t="s">
        <v>12</v>
      </c>
      <c r="D352" s="15" t="s">
        <v>536</v>
      </c>
      <c r="E352" s="15" t="s">
        <v>537</v>
      </c>
      <c r="F352" s="15"/>
      <c r="G352" s="15" t="s">
        <v>2828</v>
      </c>
      <c r="H352" s="16" t="s">
        <v>16</v>
      </c>
      <c r="I352" s="16">
        <v>3</v>
      </c>
      <c r="J352" s="16"/>
      <c r="K352" s="1"/>
      <c r="L352" s="1"/>
    </row>
    <row r="353" spans="1:13" x14ac:dyDescent="0.25">
      <c r="A353" s="20"/>
      <c r="B353" s="22" t="s">
        <v>436</v>
      </c>
      <c r="C353" s="14" t="s">
        <v>12</v>
      </c>
      <c r="D353" s="15" t="s">
        <v>539</v>
      </c>
      <c r="E353" s="15" t="s">
        <v>540</v>
      </c>
      <c r="F353" s="15"/>
      <c r="G353" s="15" t="s">
        <v>3236</v>
      </c>
      <c r="H353" s="16" t="s">
        <v>16</v>
      </c>
      <c r="I353" s="16">
        <v>18</v>
      </c>
      <c r="J353" s="16"/>
      <c r="K353" s="1"/>
      <c r="L353" s="1"/>
    </row>
    <row r="354" spans="1:13" x14ac:dyDescent="0.25">
      <c r="A354" s="20"/>
      <c r="B354" s="22" t="s">
        <v>439</v>
      </c>
      <c r="C354" s="14" t="s">
        <v>12</v>
      </c>
      <c r="D354" s="15" t="s">
        <v>542</v>
      </c>
      <c r="E354" s="15" t="s">
        <v>543</v>
      </c>
      <c r="F354" s="15"/>
      <c r="G354" s="15"/>
      <c r="H354" s="16" t="s">
        <v>16</v>
      </c>
      <c r="I354" s="16"/>
      <c r="J354" s="16"/>
      <c r="K354" s="1"/>
      <c r="L354" s="1"/>
    </row>
    <row r="355" spans="1:13" x14ac:dyDescent="0.25">
      <c r="A355" s="20"/>
      <c r="B355" s="22" t="s">
        <v>442</v>
      </c>
      <c r="C355" s="14" t="s">
        <v>12</v>
      </c>
      <c r="D355" s="15" t="s">
        <v>545</v>
      </c>
      <c r="E355" s="15" t="s">
        <v>546</v>
      </c>
      <c r="F355" s="15"/>
      <c r="G355" s="15"/>
      <c r="H355" s="16" t="s">
        <v>16</v>
      </c>
      <c r="I355" s="16"/>
      <c r="J355" s="16"/>
      <c r="K355" s="1"/>
      <c r="L355" s="1"/>
    </row>
    <row r="356" spans="1:13" x14ac:dyDescent="0.25">
      <c r="A356" s="20"/>
      <c r="B356" s="22" t="s">
        <v>445</v>
      </c>
      <c r="C356" s="14" t="s">
        <v>12</v>
      </c>
      <c r="D356" s="15" t="s">
        <v>548</v>
      </c>
      <c r="E356" s="15" t="s">
        <v>549</v>
      </c>
      <c r="F356" s="15"/>
      <c r="G356" s="15"/>
      <c r="H356" s="16" t="s">
        <v>16</v>
      </c>
      <c r="I356" s="16"/>
      <c r="J356" s="16"/>
      <c r="K356" s="1"/>
      <c r="L356" s="1"/>
    </row>
    <row r="357" spans="1:13" x14ac:dyDescent="0.25">
      <c r="A357" s="20"/>
      <c r="B357" s="22" t="s">
        <v>448</v>
      </c>
      <c r="C357" s="14" t="s">
        <v>12</v>
      </c>
      <c r="D357" s="15" t="s">
        <v>551</v>
      </c>
      <c r="E357" s="15" t="s">
        <v>552</v>
      </c>
      <c r="F357" s="15"/>
      <c r="G357" s="15" t="s">
        <v>3236</v>
      </c>
      <c r="H357" s="16" t="s">
        <v>16</v>
      </c>
      <c r="I357" s="16">
        <v>30</v>
      </c>
      <c r="J357" s="16"/>
      <c r="K357" s="1"/>
      <c r="L357" s="1"/>
    </row>
    <row r="358" spans="1:13" x14ac:dyDescent="0.25">
      <c r="A358" s="20"/>
      <c r="B358" s="22" t="s">
        <v>451</v>
      </c>
      <c r="C358" s="14" t="s">
        <v>12</v>
      </c>
      <c r="D358" s="15" t="s">
        <v>554</v>
      </c>
      <c r="E358" s="15" t="s">
        <v>555</v>
      </c>
      <c r="F358" s="15"/>
      <c r="G358" s="15"/>
      <c r="H358" s="16" t="s">
        <v>16</v>
      </c>
      <c r="I358" s="16"/>
      <c r="J358" s="16"/>
      <c r="K358" s="1"/>
      <c r="L358" s="1"/>
    </row>
    <row r="359" spans="1:13" x14ac:dyDescent="0.25">
      <c r="A359" s="20"/>
      <c r="B359" s="22" t="s">
        <v>454</v>
      </c>
      <c r="C359" s="14" t="s">
        <v>12</v>
      </c>
      <c r="D359" s="15" t="s">
        <v>557</v>
      </c>
      <c r="E359" s="15" t="s">
        <v>558</v>
      </c>
      <c r="F359" s="15"/>
      <c r="G359" s="15"/>
      <c r="H359" s="16" t="s">
        <v>16</v>
      </c>
      <c r="I359" s="16"/>
      <c r="J359" s="16"/>
      <c r="K359" s="1"/>
      <c r="L359" s="1"/>
    </row>
    <row r="360" spans="1:13" x14ac:dyDescent="0.25">
      <c r="A360" s="20"/>
      <c r="B360" s="22" t="s">
        <v>457</v>
      </c>
      <c r="C360" s="14" t="s">
        <v>12</v>
      </c>
      <c r="D360" s="15" t="s">
        <v>560</v>
      </c>
      <c r="E360" s="15" t="s">
        <v>561</v>
      </c>
      <c r="F360" s="15"/>
      <c r="G360" s="15"/>
      <c r="H360" s="16" t="s">
        <v>16</v>
      </c>
      <c r="I360" s="16"/>
      <c r="J360" s="16"/>
      <c r="K360" s="1"/>
      <c r="L360" s="1"/>
    </row>
    <row r="361" spans="1:13" x14ac:dyDescent="0.25">
      <c r="A361" s="20"/>
      <c r="B361" s="22" t="s">
        <v>460</v>
      </c>
      <c r="C361" s="14" t="s">
        <v>12</v>
      </c>
      <c r="D361" s="15" t="s">
        <v>563</v>
      </c>
      <c r="E361" s="15" t="s">
        <v>564</v>
      </c>
      <c r="F361" s="15"/>
      <c r="G361" s="15" t="s">
        <v>3236</v>
      </c>
      <c r="H361" s="16" t="s">
        <v>16</v>
      </c>
      <c r="I361" s="16">
        <v>66</v>
      </c>
      <c r="J361" s="16"/>
      <c r="K361" s="1"/>
      <c r="L361" s="1"/>
    </row>
    <row r="362" spans="1:13" x14ac:dyDescent="0.25">
      <c r="A362" s="20"/>
      <c r="B362" s="22" t="s">
        <v>463</v>
      </c>
      <c r="C362" s="14" t="s">
        <v>12</v>
      </c>
      <c r="D362" s="15" t="s">
        <v>566</v>
      </c>
      <c r="E362" s="15" t="s">
        <v>567</v>
      </c>
      <c r="F362" s="15"/>
      <c r="G362" s="15" t="s">
        <v>3236</v>
      </c>
      <c r="H362" s="16" t="s">
        <v>16</v>
      </c>
      <c r="I362" s="16">
        <v>28</v>
      </c>
      <c r="J362" s="16"/>
      <c r="K362" s="1"/>
      <c r="L362" s="1"/>
    </row>
    <row r="363" spans="1:13" x14ac:dyDescent="0.25">
      <c r="A363" s="20"/>
      <c r="B363" s="22" t="s">
        <v>466</v>
      </c>
      <c r="C363" s="14" t="s">
        <v>12</v>
      </c>
      <c r="D363" s="15" t="s">
        <v>569</v>
      </c>
      <c r="E363" s="15" t="s">
        <v>570</v>
      </c>
      <c r="F363" s="15"/>
      <c r="G363" s="15"/>
      <c r="H363" s="16" t="s">
        <v>16</v>
      </c>
      <c r="I363" s="16"/>
      <c r="J363" s="16"/>
      <c r="K363" s="1"/>
      <c r="L363" s="1"/>
    </row>
    <row r="364" spans="1:13" x14ac:dyDescent="0.25">
      <c r="A364" s="20"/>
      <c r="B364" s="22" t="s">
        <v>469</v>
      </c>
      <c r="C364" s="14" t="s">
        <v>12</v>
      </c>
      <c r="D364" s="15" t="s">
        <v>572</v>
      </c>
      <c r="E364" s="15" t="s">
        <v>573</v>
      </c>
      <c r="F364" s="15"/>
      <c r="G364" s="15" t="s">
        <v>3236</v>
      </c>
      <c r="H364" s="16" t="s">
        <v>16</v>
      </c>
      <c r="I364" s="16">
        <v>26</v>
      </c>
      <c r="J364" s="16"/>
      <c r="K364" s="1"/>
      <c r="L364" s="1"/>
    </row>
    <row r="365" spans="1:13" x14ac:dyDescent="0.25">
      <c r="A365" s="20"/>
      <c r="B365" s="22" t="s">
        <v>472</v>
      </c>
      <c r="C365" s="14" t="s">
        <v>12</v>
      </c>
      <c r="D365" s="15" t="s">
        <v>575</v>
      </c>
      <c r="E365" s="15" t="s">
        <v>576</v>
      </c>
      <c r="F365" s="15"/>
      <c r="G365" s="15"/>
      <c r="H365" s="16" t="s">
        <v>16</v>
      </c>
      <c r="I365" s="16"/>
      <c r="J365" s="16"/>
      <c r="K365" s="1"/>
      <c r="L365" s="1"/>
      <c r="M365" s="1"/>
    </row>
    <row r="366" spans="1:13" x14ac:dyDescent="0.25">
      <c r="A366" s="20"/>
      <c r="B366" s="22" t="s">
        <v>475</v>
      </c>
      <c r="C366" s="14" t="s">
        <v>12</v>
      </c>
      <c r="D366" s="15" t="s">
        <v>578</v>
      </c>
      <c r="E366" s="15" t="s">
        <v>579</v>
      </c>
      <c r="F366" s="15"/>
      <c r="G366" s="15"/>
      <c r="H366" s="16" t="s">
        <v>16</v>
      </c>
      <c r="I366" s="16"/>
      <c r="J366" s="16"/>
      <c r="K366" s="1"/>
      <c r="L366" s="1"/>
      <c r="M366" s="1"/>
    </row>
    <row r="367" spans="1:13" x14ac:dyDescent="0.25">
      <c r="A367" s="20"/>
      <c r="B367" s="22" t="s">
        <v>478</v>
      </c>
      <c r="C367" s="14" t="s">
        <v>12</v>
      </c>
      <c r="D367" s="15" t="s">
        <v>1411</v>
      </c>
      <c r="E367" s="15" t="s">
        <v>3948</v>
      </c>
      <c r="F367" s="15"/>
      <c r="G367" s="15"/>
      <c r="H367" s="16" t="s">
        <v>16</v>
      </c>
      <c r="I367" s="16"/>
      <c r="J367" s="16"/>
      <c r="K367" s="1"/>
      <c r="L367" s="1"/>
      <c r="M367" s="1"/>
    </row>
    <row r="368" spans="1:13" x14ac:dyDescent="0.25">
      <c r="A368" s="20"/>
      <c r="B368" s="22" t="s">
        <v>481</v>
      </c>
      <c r="C368" s="14" t="s">
        <v>12</v>
      </c>
      <c r="D368" s="15" t="s">
        <v>1414</v>
      </c>
      <c r="E368" s="15" t="s">
        <v>3949</v>
      </c>
      <c r="F368" s="15"/>
      <c r="G368" s="15"/>
      <c r="H368" s="16" t="s">
        <v>16</v>
      </c>
      <c r="I368" s="16"/>
      <c r="J368" s="16"/>
      <c r="K368" s="1"/>
      <c r="L368" s="1"/>
      <c r="M368" s="1"/>
    </row>
    <row r="369" spans="1:13" x14ac:dyDescent="0.25">
      <c r="A369" s="20"/>
      <c r="B369" s="22" t="s">
        <v>484</v>
      </c>
      <c r="C369" s="14" t="s">
        <v>12</v>
      </c>
      <c r="D369" s="15" t="s">
        <v>1417</v>
      </c>
      <c r="E369" s="15" t="s">
        <v>3950</v>
      </c>
      <c r="F369" s="15"/>
      <c r="G369" s="15" t="s">
        <v>3236</v>
      </c>
      <c r="H369" s="16" t="s">
        <v>16</v>
      </c>
      <c r="I369" s="16">
        <v>15</v>
      </c>
      <c r="J369" s="16"/>
      <c r="K369" s="1"/>
      <c r="L369" s="1"/>
      <c r="M369" s="1"/>
    </row>
    <row r="370" spans="1:13" x14ac:dyDescent="0.25">
      <c r="A370" s="20"/>
      <c r="B370" s="22" t="s">
        <v>487</v>
      </c>
      <c r="C370" s="14" t="s">
        <v>12</v>
      </c>
      <c r="D370" s="15" t="s">
        <v>1420</v>
      </c>
      <c r="E370" s="15" t="s">
        <v>3951</v>
      </c>
      <c r="F370" s="15"/>
      <c r="G370" s="15"/>
      <c r="H370" s="16" t="s">
        <v>16</v>
      </c>
      <c r="I370" s="16"/>
      <c r="J370" s="16"/>
      <c r="K370" s="1"/>
      <c r="L370" s="1"/>
      <c r="M370" s="1"/>
    </row>
    <row r="371" spans="1:13" x14ac:dyDescent="0.25">
      <c r="A371" s="20"/>
      <c r="B371" s="22" t="s">
        <v>490</v>
      </c>
      <c r="C371" s="14" t="s">
        <v>12</v>
      </c>
      <c r="D371" s="15" t="s">
        <v>1423</v>
      </c>
      <c r="E371" s="15" t="s">
        <v>3952</v>
      </c>
      <c r="F371" s="15"/>
      <c r="G371" s="15"/>
      <c r="H371" s="16" t="s">
        <v>16</v>
      </c>
      <c r="I371" s="16"/>
      <c r="J371" s="16"/>
      <c r="K371" s="1"/>
      <c r="L371" s="1"/>
      <c r="M371" s="1"/>
    </row>
    <row r="372" spans="1:13" x14ac:dyDescent="0.25">
      <c r="A372" s="20"/>
      <c r="B372" s="22" t="s">
        <v>493</v>
      </c>
      <c r="C372" s="14" t="s">
        <v>12</v>
      </c>
      <c r="D372" s="15" t="s">
        <v>1426</v>
      </c>
      <c r="E372" s="15" t="s">
        <v>3953</v>
      </c>
      <c r="F372" s="15"/>
      <c r="G372" s="15"/>
      <c r="H372" s="16" t="s">
        <v>16</v>
      </c>
      <c r="I372" s="16"/>
      <c r="J372" s="16"/>
      <c r="K372" s="1"/>
      <c r="L372" s="1"/>
      <c r="M372" s="1"/>
    </row>
    <row r="373" spans="1:13" x14ac:dyDescent="0.25">
      <c r="A373" s="20"/>
      <c r="B373" s="22" t="s">
        <v>496</v>
      </c>
      <c r="C373" s="14" t="s">
        <v>12</v>
      </c>
      <c r="D373" s="15" t="s">
        <v>1429</v>
      </c>
      <c r="E373" s="15" t="s">
        <v>3954</v>
      </c>
      <c r="F373" s="15"/>
      <c r="G373" s="15"/>
      <c r="H373" s="16" t="s">
        <v>16</v>
      </c>
      <c r="I373" s="16"/>
      <c r="J373" s="16"/>
      <c r="K373" s="1"/>
      <c r="L373" s="1"/>
      <c r="M373" s="1"/>
    </row>
    <row r="374" spans="1:13" x14ac:dyDescent="0.25">
      <c r="A374" s="20"/>
      <c r="B374" s="22" t="s">
        <v>499</v>
      </c>
      <c r="C374" s="14" t="s">
        <v>12</v>
      </c>
      <c r="D374" s="15" t="s">
        <v>1432</v>
      </c>
      <c r="E374" s="15" t="s">
        <v>3955</v>
      </c>
      <c r="F374" s="15"/>
      <c r="G374" s="15" t="s">
        <v>3236</v>
      </c>
      <c r="H374" s="16" t="s">
        <v>16</v>
      </c>
      <c r="I374" s="16">
        <v>78</v>
      </c>
      <c r="J374" s="16"/>
      <c r="K374" s="1"/>
      <c r="L374" s="1"/>
      <c r="M374" s="1"/>
    </row>
    <row r="375" spans="1:13" x14ac:dyDescent="0.25">
      <c r="A375" s="20"/>
      <c r="B375" s="22" t="s">
        <v>502</v>
      </c>
      <c r="C375" s="14" t="s">
        <v>12</v>
      </c>
      <c r="D375" s="15" t="s">
        <v>1435</v>
      </c>
      <c r="E375" s="15" t="s">
        <v>3956</v>
      </c>
      <c r="F375" s="15"/>
      <c r="G375" s="15"/>
      <c r="H375" s="16" t="s">
        <v>16</v>
      </c>
      <c r="I375" s="16"/>
      <c r="J375" s="16"/>
      <c r="K375" s="1"/>
      <c r="L375" s="1"/>
      <c r="M375" s="1"/>
    </row>
    <row r="376" spans="1:13" x14ac:dyDescent="0.25">
      <c r="A376" s="20"/>
      <c r="B376" s="22" t="s">
        <v>505</v>
      </c>
      <c r="C376" s="14" t="s">
        <v>12</v>
      </c>
      <c r="D376" s="15" t="s">
        <v>1438</v>
      </c>
      <c r="E376" s="15" t="s">
        <v>3957</v>
      </c>
      <c r="F376" s="15"/>
      <c r="G376" s="15"/>
      <c r="H376" s="16" t="s">
        <v>16</v>
      </c>
      <c r="I376" s="16"/>
      <c r="J376" s="16"/>
      <c r="K376" s="1"/>
      <c r="L376" s="1"/>
      <c r="M376" s="1"/>
    </row>
    <row r="377" spans="1:13" x14ac:dyDescent="0.25">
      <c r="A377" s="20"/>
      <c r="B377" s="22" t="s">
        <v>538</v>
      </c>
      <c r="C377" s="14" t="s">
        <v>88</v>
      </c>
      <c r="D377" s="15" t="s">
        <v>1441</v>
      </c>
      <c r="E377" s="15" t="s">
        <v>3958</v>
      </c>
      <c r="F377" s="15"/>
      <c r="G377" s="15" t="s">
        <v>2702</v>
      </c>
      <c r="H377" s="16" t="s">
        <v>2703</v>
      </c>
      <c r="I377" s="16">
        <v>7</v>
      </c>
      <c r="J377" s="16"/>
      <c r="K377" s="1"/>
      <c r="L377" s="1"/>
      <c r="M377" s="1"/>
    </row>
    <row r="378" spans="1:13" x14ac:dyDescent="0.2">
      <c r="A378" s="20"/>
      <c r="B378" s="95" t="s">
        <v>556</v>
      </c>
      <c r="C378" s="14" t="s">
        <v>88</v>
      </c>
      <c r="D378" s="15" t="s">
        <v>1444</v>
      </c>
      <c r="E378" s="15" t="s">
        <v>3959</v>
      </c>
      <c r="F378" s="15"/>
      <c r="G378" s="15" t="s">
        <v>2702</v>
      </c>
      <c r="H378" s="16" t="s">
        <v>2703</v>
      </c>
      <c r="I378" s="16">
        <v>18</v>
      </c>
      <c r="J378" s="16" t="s">
        <v>17</v>
      </c>
      <c r="K378" s="1"/>
      <c r="L378" s="1"/>
      <c r="M378" s="1"/>
    </row>
    <row r="379" spans="1:13" x14ac:dyDescent="0.25">
      <c r="A379" s="20"/>
      <c r="B379" s="35" t="s">
        <v>380</v>
      </c>
      <c r="C379" s="14" t="s">
        <v>12</v>
      </c>
      <c r="D379" s="15" t="s">
        <v>1447</v>
      </c>
      <c r="E379" s="15" t="s">
        <v>3960</v>
      </c>
      <c r="F379" s="15"/>
      <c r="G379" s="15"/>
      <c r="H379" s="16" t="s">
        <v>16</v>
      </c>
      <c r="I379" s="16"/>
      <c r="J379" s="16" t="s">
        <v>17</v>
      </c>
      <c r="K379" s="1"/>
      <c r="L379" s="1"/>
      <c r="M379" s="1"/>
    </row>
    <row r="380" spans="1:13" x14ac:dyDescent="0.25">
      <c r="A380" s="20"/>
      <c r="B380" s="35" t="s">
        <v>374</v>
      </c>
      <c r="C380" s="14" t="s">
        <v>12</v>
      </c>
      <c r="D380" s="15" t="s">
        <v>1450</v>
      </c>
      <c r="E380" s="15" t="s">
        <v>3961</v>
      </c>
      <c r="F380" s="15"/>
      <c r="G380" s="15"/>
      <c r="H380" s="16" t="s">
        <v>16</v>
      </c>
      <c r="I380" s="16"/>
      <c r="J380" s="16" t="s">
        <v>17</v>
      </c>
      <c r="K380" s="1"/>
      <c r="L380" s="1"/>
      <c r="M380" s="1"/>
    </row>
    <row r="381" spans="1:13" x14ac:dyDescent="0.25">
      <c r="A381" s="20"/>
      <c r="B381" s="35" t="s">
        <v>562</v>
      </c>
      <c r="C381" s="14" t="s">
        <v>12</v>
      </c>
      <c r="D381" s="15" t="s">
        <v>1453</v>
      </c>
      <c r="E381" s="15" t="s">
        <v>3962</v>
      </c>
      <c r="F381" s="15"/>
      <c r="G381" s="15"/>
      <c r="H381" s="16" t="s">
        <v>16</v>
      </c>
      <c r="I381" s="16"/>
      <c r="J381" s="16" t="s">
        <v>17</v>
      </c>
      <c r="K381" s="1"/>
      <c r="L381" s="1"/>
      <c r="M381" s="1"/>
    </row>
    <row r="382" spans="1:13" x14ac:dyDescent="0.25">
      <c r="A382" s="20"/>
      <c r="B382" s="35" t="s">
        <v>565</v>
      </c>
      <c r="C382" s="14" t="s">
        <v>12</v>
      </c>
      <c r="D382" s="15" t="s">
        <v>1456</v>
      </c>
      <c r="E382" s="15" t="s">
        <v>3963</v>
      </c>
      <c r="F382" s="15"/>
      <c r="G382" s="15"/>
      <c r="H382" s="16" t="s">
        <v>16</v>
      </c>
      <c r="I382" s="16"/>
      <c r="J382" s="16" t="s">
        <v>17</v>
      </c>
      <c r="K382" s="1"/>
      <c r="L382" s="1"/>
      <c r="M382" s="1"/>
    </row>
    <row r="383" spans="1:13" x14ac:dyDescent="0.25">
      <c r="A383" s="20"/>
      <c r="B383" s="35" t="s">
        <v>376</v>
      </c>
      <c r="C383" s="14" t="s">
        <v>12</v>
      </c>
      <c r="D383" s="15" t="s">
        <v>1459</v>
      </c>
      <c r="E383" s="15" t="s">
        <v>3964</v>
      </c>
      <c r="F383" s="15"/>
      <c r="G383" s="15"/>
      <c r="H383" s="16" t="s">
        <v>16</v>
      </c>
      <c r="I383" s="16"/>
      <c r="J383" s="16" t="s">
        <v>17</v>
      </c>
      <c r="K383" s="1"/>
      <c r="L383" s="1"/>
      <c r="M383" s="1"/>
    </row>
    <row r="384" spans="1:13" x14ac:dyDescent="0.25">
      <c r="A384" s="20"/>
      <c r="B384" s="35" t="s">
        <v>384</v>
      </c>
      <c r="C384" s="14" t="s">
        <v>12</v>
      </c>
      <c r="D384" s="15" t="s">
        <v>1462</v>
      </c>
      <c r="E384" s="15" t="s">
        <v>3965</v>
      </c>
      <c r="F384" s="15"/>
      <c r="G384" s="15"/>
      <c r="H384" s="16" t="s">
        <v>16</v>
      </c>
      <c r="I384" s="16"/>
      <c r="J384" s="16" t="s">
        <v>17</v>
      </c>
      <c r="K384" s="1"/>
      <c r="L384" s="1"/>
      <c r="M384" s="1"/>
    </row>
    <row r="385" spans="1:13" x14ac:dyDescent="0.25">
      <c r="A385" s="20"/>
      <c r="B385" s="35" t="s">
        <v>388</v>
      </c>
      <c r="C385" s="14" t="s">
        <v>12</v>
      </c>
      <c r="D385" s="15" t="s">
        <v>1465</v>
      </c>
      <c r="E385" s="15" t="s">
        <v>3966</v>
      </c>
      <c r="F385" s="15"/>
      <c r="G385" s="15"/>
      <c r="H385" s="16" t="s">
        <v>16</v>
      </c>
      <c r="I385" s="16"/>
      <c r="J385" s="16" t="s">
        <v>17</v>
      </c>
      <c r="K385" s="1"/>
      <c r="L385" s="1"/>
      <c r="M385" s="1"/>
    </row>
    <row r="386" spans="1:13" x14ac:dyDescent="0.25">
      <c r="A386" s="20"/>
      <c r="B386" s="22" t="s">
        <v>354</v>
      </c>
      <c r="C386" s="14" t="s">
        <v>12</v>
      </c>
      <c r="D386" s="15" t="s">
        <v>1468</v>
      </c>
      <c r="E386" s="15" t="s">
        <v>3967</v>
      </c>
      <c r="F386" s="15"/>
      <c r="G386" s="15" t="s">
        <v>2828</v>
      </c>
      <c r="H386" s="16" t="s">
        <v>16</v>
      </c>
      <c r="I386" s="16">
        <v>66</v>
      </c>
      <c r="J386" s="16"/>
      <c r="K386" s="1"/>
      <c r="L386" s="1"/>
      <c r="M386" s="1"/>
    </row>
    <row r="387" spans="1:13" x14ac:dyDescent="0.25">
      <c r="A387" s="20"/>
      <c r="B387" s="22" t="s">
        <v>3117</v>
      </c>
      <c r="C387" s="14" t="s">
        <v>12</v>
      </c>
      <c r="D387" s="15" t="s">
        <v>1471</v>
      </c>
      <c r="E387" s="15" t="s">
        <v>3968</v>
      </c>
      <c r="F387" s="15"/>
      <c r="G387" s="15" t="s">
        <v>2954</v>
      </c>
      <c r="H387" s="16" t="s">
        <v>16</v>
      </c>
      <c r="I387" s="16">
        <v>8</v>
      </c>
      <c r="J387" s="16"/>
      <c r="K387" s="1"/>
      <c r="L387" s="1"/>
      <c r="M387" s="1"/>
    </row>
    <row r="388" spans="1:13" x14ac:dyDescent="0.25">
      <c r="A388" s="20"/>
      <c r="B388" s="22" t="s">
        <v>3118</v>
      </c>
      <c r="C388" s="14" t="s">
        <v>12</v>
      </c>
      <c r="D388" s="15" t="s">
        <v>1474</v>
      </c>
      <c r="E388" s="15" t="s">
        <v>3969</v>
      </c>
      <c r="F388" s="15"/>
      <c r="G388" s="15" t="s">
        <v>2954</v>
      </c>
      <c r="H388" s="16" t="s">
        <v>16</v>
      </c>
      <c r="I388" s="16">
        <v>5</v>
      </c>
      <c r="J388" s="16"/>
      <c r="K388" s="1"/>
      <c r="L388" s="1"/>
      <c r="M388" s="1"/>
    </row>
    <row r="389" spans="1:13" x14ac:dyDescent="0.25">
      <c r="A389" s="20"/>
      <c r="B389" s="22" t="s">
        <v>356</v>
      </c>
      <c r="C389" s="14" t="s">
        <v>12</v>
      </c>
      <c r="D389" s="15" t="s">
        <v>1477</v>
      </c>
      <c r="E389" s="15" t="s">
        <v>3970</v>
      </c>
      <c r="F389" s="15"/>
      <c r="G389" s="15" t="s">
        <v>2399</v>
      </c>
      <c r="H389" s="16" t="s">
        <v>16</v>
      </c>
      <c r="I389" s="16">
        <v>200</v>
      </c>
      <c r="J389" s="16"/>
      <c r="K389" s="23" t="s">
        <v>119</v>
      </c>
      <c r="L389" s="1"/>
      <c r="M389" s="1"/>
    </row>
    <row r="390" spans="1:13" x14ac:dyDescent="0.25">
      <c r="A390" s="20"/>
      <c r="B390" s="22" t="s">
        <v>550</v>
      </c>
      <c r="C390" s="14" t="s">
        <v>12</v>
      </c>
      <c r="D390" s="15" t="s">
        <v>1480</v>
      </c>
      <c r="E390" s="15" t="s">
        <v>3971</v>
      </c>
      <c r="F390" s="15"/>
      <c r="G390" s="15" t="s">
        <v>2399</v>
      </c>
      <c r="H390" s="16" t="s">
        <v>16</v>
      </c>
      <c r="I390" s="16">
        <v>200</v>
      </c>
      <c r="J390" s="16" t="s">
        <v>17</v>
      </c>
      <c r="K390" s="1"/>
      <c r="L390" s="1"/>
      <c r="M390" s="1"/>
    </row>
    <row r="391" spans="1:13" x14ac:dyDescent="0.25">
      <c r="A391" s="20"/>
      <c r="B391" s="22" t="s">
        <v>358</v>
      </c>
      <c r="C391" s="14" t="s">
        <v>12</v>
      </c>
      <c r="D391" s="15" t="s">
        <v>1483</v>
      </c>
      <c r="E391" s="15" t="s">
        <v>3972</v>
      </c>
      <c r="F391" s="15"/>
      <c r="G391" s="15"/>
      <c r="H391" s="16" t="s">
        <v>16</v>
      </c>
      <c r="I391" s="16"/>
      <c r="J391" s="16"/>
      <c r="K391" s="23"/>
      <c r="L391" s="1"/>
      <c r="M391" s="1"/>
    </row>
    <row r="392" spans="1:13" s="11" customFormat="1" x14ac:dyDescent="0.25">
      <c r="A392" s="20"/>
      <c r="B392" s="22" t="s">
        <v>553</v>
      </c>
      <c r="C392" s="14" t="s">
        <v>12</v>
      </c>
      <c r="D392" s="15" t="s">
        <v>1486</v>
      </c>
      <c r="E392" s="15" t="s">
        <v>3973</v>
      </c>
      <c r="F392" s="15"/>
      <c r="G392" s="15"/>
      <c r="H392" s="16" t="s">
        <v>16</v>
      </c>
      <c r="I392" s="16"/>
      <c r="J392" s="16" t="s">
        <v>17</v>
      </c>
    </row>
    <row r="393" spans="1:13" x14ac:dyDescent="0.25">
      <c r="A393" s="8">
        <v>11</v>
      </c>
      <c r="B393" s="7" t="s">
        <v>580</v>
      </c>
      <c r="C393" s="10"/>
      <c r="D393" s="10"/>
      <c r="E393" s="10"/>
      <c r="F393" s="10"/>
      <c r="G393" s="10"/>
      <c r="H393" s="10"/>
      <c r="I393" s="10"/>
      <c r="J393" s="10"/>
      <c r="K393" s="1"/>
      <c r="L393" s="1"/>
      <c r="M393" s="1"/>
    </row>
    <row r="394" spans="1:13" x14ac:dyDescent="0.25">
      <c r="A394" s="20"/>
      <c r="B394" s="22" t="s">
        <v>581</v>
      </c>
      <c r="C394" s="14" t="s">
        <v>12</v>
      </c>
      <c r="D394" s="15" t="s">
        <v>14</v>
      </c>
      <c r="E394" s="15" t="s">
        <v>582</v>
      </c>
      <c r="F394" s="15"/>
      <c r="G394" s="15"/>
      <c r="H394" s="16" t="s">
        <v>16</v>
      </c>
      <c r="I394" s="16"/>
      <c r="J394" s="16"/>
      <c r="K394" s="1"/>
      <c r="L394" s="1"/>
      <c r="M394" s="1"/>
    </row>
    <row r="395" spans="1:13" x14ac:dyDescent="0.25">
      <c r="A395" s="20"/>
      <c r="B395" s="22" t="s">
        <v>583</v>
      </c>
      <c r="C395" s="14" t="s">
        <v>12</v>
      </c>
      <c r="D395" s="15" t="s">
        <v>19</v>
      </c>
      <c r="E395" s="15" t="s">
        <v>584</v>
      </c>
      <c r="F395" s="15"/>
      <c r="G395" s="15"/>
      <c r="H395" s="16" t="s">
        <v>16</v>
      </c>
      <c r="I395" s="16"/>
      <c r="J395" s="16"/>
      <c r="K395" s="1"/>
      <c r="L395" s="1"/>
      <c r="M395" s="1"/>
    </row>
    <row r="396" spans="1:13" x14ac:dyDescent="0.25">
      <c r="A396" s="20"/>
      <c r="B396" s="22" t="s">
        <v>587</v>
      </c>
      <c r="C396" s="14" t="s">
        <v>12</v>
      </c>
      <c r="D396" s="15" t="s">
        <v>22</v>
      </c>
      <c r="E396" s="15" t="s">
        <v>586</v>
      </c>
      <c r="F396" s="15"/>
      <c r="G396" s="15"/>
      <c r="H396" s="16" t="s">
        <v>16</v>
      </c>
      <c r="I396" s="16"/>
      <c r="J396" s="16"/>
      <c r="K396" s="1"/>
      <c r="L396" s="1"/>
    </row>
    <row r="397" spans="1:13" x14ac:dyDescent="0.25">
      <c r="A397" s="20"/>
      <c r="B397" s="22" t="s">
        <v>589</v>
      </c>
      <c r="C397" s="14" t="s">
        <v>12</v>
      </c>
      <c r="D397" s="15" t="s">
        <v>25</v>
      </c>
      <c r="E397" s="15" t="s">
        <v>588</v>
      </c>
      <c r="F397" s="15"/>
      <c r="G397" s="15"/>
      <c r="H397" s="16" t="s">
        <v>16</v>
      </c>
      <c r="I397" s="16"/>
      <c r="J397" s="16"/>
      <c r="K397" s="1"/>
      <c r="L397" s="1"/>
    </row>
    <row r="398" spans="1:13" x14ac:dyDescent="0.25">
      <c r="A398" s="20"/>
      <c r="B398" s="22" t="s">
        <v>585</v>
      </c>
      <c r="C398" s="14" t="s">
        <v>12</v>
      </c>
      <c r="D398" s="15" t="s">
        <v>28</v>
      </c>
      <c r="E398" s="15" t="s">
        <v>590</v>
      </c>
      <c r="F398" s="15"/>
      <c r="G398" s="15"/>
      <c r="H398" s="16" t="s">
        <v>16</v>
      </c>
      <c r="I398" s="16"/>
      <c r="J398" s="16"/>
      <c r="K398" s="1"/>
      <c r="L398" s="1"/>
    </row>
    <row r="399" spans="1:13" x14ac:dyDescent="0.25">
      <c r="A399" s="93"/>
      <c r="B399" s="22" t="s">
        <v>591</v>
      </c>
      <c r="C399" s="14" t="s">
        <v>12</v>
      </c>
      <c r="D399" s="15" t="s">
        <v>31</v>
      </c>
      <c r="E399" s="15" t="s">
        <v>592</v>
      </c>
      <c r="F399" s="15"/>
      <c r="G399" s="15"/>
      <c r="H399" s="16" t="s">
        <v>90</v>
      </c>
      <c r="I399" s="16"/>
      <c r="J399" s="16"/>
      <c r="K399" s="1"/>
      <c r="L399" s="1"/>
      <c r="M399" s="1"/>
    </row>
    <row r="400" spans="1:13" x14ac:dyDescent="0.25">
      <c r="A400" s="20"/>
      <c r="B400" s="22" t="s">
        <v>593</v>
      </c>
      <c r="C400" s="14" t="s">
        <v>12</v>
      </c>
      <c r="D400" s="15" t="s">
        <v>34</v>
      </c>
      <c r="E400" s="15" t="s">
        <v>594</v>
      </c>
      <c r="F400" s="15"/>
      <c r="G400" s="15"/>
      <c r="H400" s="16" t="s">
        <v>90</v>
      </c>
      <c r="I400" s="16"/>
      <c r="J400" s="16"/>
      <c r="K400" s="1"/>
      <c r="L400" s="1"/>
      <c r="M400" s="1"/>
    </row>
    <row r="401" spans="1:13" x14ac:dyDescent="0.25">
      <c r="A401" s="20"/>
      <c r="B401" s="32" t="s">
        <v>595</v>
      </c>
      <c r="C401" s="17" t="s">
        <v>12</v>
      </c>
      <c r="D401" s="15" t="s">
        <v>37</v>
      </c>
      <c r="E401" s="15" t="s">
        <v>596</v>
      </c>
      <c r="F401" s="18"/>
      <c r="G401" s="18"/>
      <c r="H401" s="19" t="s">
        <v>16</v>
      </c>
      <c r="I401" s="19"/>
      <c r="J401" s="19"/>
      <c r="K401" s="1"/>
      <c r="L401" s="1"/>
      <c r="M401" s="1"/>
    </row>
    <row r="402" spans="1:13" x14ac:dyDescent="0.25">
      <c r="A402" s="20"/>
      <c r="B402" s="32" t="s">
        <v>597</v>
      </c>
      <c r="C402" s="17" t="s">
        <v>12</v>
      </c>
      <c r="D402" s="15" t="s">
        <v>40</v>
      </c>
      <c r="E402" s="15" t="s">
        <v>598</v>
      </c>
      <c r="F402" s="18"/>
      <c r="G402" s="18"/>
      <c r="H402" s="19" t="s">
        <v>16</v>
      </c>
      <c r="I402" s="19"/>
      <c r="J402" s="19"/>
      <c r="K402" s="1"/>
      <c r="L402" s="1"/>
      <c r="M402" s="1"/>
    </row>
    <row r="403" spans="1:13" x14ac:dyDescent="0.25">
      <c r="A403" s="20"/>
      <c r="B403" s="32" t="s">
        <v>599</v>
      </c>
      <c r="C403" s="17" t="s">
        <v>12</v>
      </c>
      <c r="D403" s="15" t="s">
        <v>43</v>
      </c>
      <c r="E403" s="15" t="s">
        <v>600</v>
      </c>
      <c r="F403" s="18"/>
      <c r="G403" s="18"/>
      <c r="H403" s="19" t="s">
        <v>16</v>
      </c>
      <c r="I403" s="19"/>
      <c r="J403" s="16"/>
      <c r="K403" s="1"/>
      <c r="L403" s="1"/>
      <c r="M403" s="1"/>
    </row>
    <row r="404" spans="1:13" x14ac:dyDescent="0.25">
      <c r="A404" s="36"/>
      <c r="B404" s="38" t="s">
        <v>1013</v>
      </c>
      <c r="C404" s="39" t="s">
        <v>12</v>
      </c>
      <c r="D404" s="15" t="s">
        <v>46</v>
      </c>
      <c r="E404" s="15" t="s">
        <v>602</v>
      </c>
      <c r="F404" s="15"/>
      <c r="G404" s="15" t="s">
        <v>2932</v>
      </c>
      <c r="H404" s="16" t="s">
        <v>16</v>
      </c>
      <c r="I404" s="16">
        <v>3</v>
      </c>
      <c r="J404" s="16"/>
      <c r="K404" s="1"/>
      <c r="L404" s="1"/>
      <c r="M404" s="1"/>
    </row>
    <row r="405" spans="1:13" x14ac:dyDescent="0.25">
      <c r="A405" s="20"/>
      <c r="B405" s="22" t="s">
        <v>601</v>
      </c>
      <c r="C405" s="14" t="s">
        <v>12</v>
      </c>
      <c r="D405" s="15" t="s">
        <v>72</v>
      </c>
      <c r="E405" s="15" t="s">
        <v>604</v>
      </c>
      <c r="F405" s="15"/>
      <c r="G405" s="15" t="s">
        <v>2950</v>
      </c>
      <c r="H405" s="16" t="s">
        <v>16</v>
      </c>
      <c r="I405" s="16">
        <v>30</v>
      </c>
      <c r="J405" s="16"/>
      <c r="K405" s="1"/>
      <c r="L405" s="1"/>
      <c r="M405" s="1"/>
    </row>
    <row r="406" spans="1:13" x14ac:dyDescent="0.25">
      <c r="A406" s="20"/>
      <c r="B406" s="22" t="s">
        <v>603</v>
      </c>
      <c r="C406" s="14" t="s">
        <v>12</v>
      </c>
      <c r="D406" s="15" t="s">
        <v>75</v>
      </c>
      <c r="E406" s="15" t="s">
        <v>606</v>
      </c>
      <c r="F406" s="15"/>
      <c r="G406" s="15"/>
      <c r="H406" s="16" t="s">
        <v>16</v>
      </c>
      <c r="I406" s="16"/>
      <c r="J406" s="16"/>
      <c r="K406" s="1"/>
      <c r="L406" s="1"/>
      <c r="M406" s="1"/>
    </row>
    <row r="407" spans="1:13" x14ac:dyDescent="0.25">
      <c r="A407" s="20"/>
      <c r="B407" s="22" t="s">
        <v>605</v>
      </c>
      <c r="C407" s="14" t="s">
        <v>12</v>
      </c>
      <c r="D407" s="15" t="s">
        <v>77</v>
      </c>
      <c r="E407" s="15" t="s">
        <v>608</v>
      </c>
      <c r="F407" s="15"/>
      <c r="G407" s="15"/>
      <c r="H407" s="16" t="s">
        <v>16</v>
      </c>
      <c r="I407" s="16"/>
      <c r="J407" s="16"/>
      <c r="K407" s="1"/>
      <c r="L407" s="1"/>
      <c r="M407" s="1"/>
    </row>
    <row r="408" spans="1:13" x14ac:dyDescent="0.25">
      <c r="A408" s="20"/>
      <c r="B408" s="22" t="s">
        <v>607</v>
      </c>
      <c r="C408" s="14" t="s">
        <v>12</v>
      </c>
      <c r="D408" s="15" t="s">
        <v>80</v>
      </c>
      <c r="E408" s="15" t="s">
        <v>610</v>
      </c>
      <c r="F408" s="15"/>
      <c r="G408" s="15" t="s">
        <v>2950</v>
      </c>
      <c r="H408" s="16" t="s">
        <v>16</v>
      </c>
      <c r="I408" s="16">
        <v>19</v>
      </c>
      <c r="J408" s="16"/>
      <c r="K408" s="1"/>
      <c r="L408" s="1"/>
      <c r="M408" s="1"/>
    </row>
    <row r="409" spans="1:13" x14ac:dyDescent="0.25">
      <c r="A409" s="20"/>
      <c r="B409" s="22" t="s">
        <v>609</v>
      </c>
      <c r="C409" s="14" t="s">
        <v>12</v>
      </c>
      <c r="D409" s="15" t="s">
        <v>84</v>
      </c>
      <c r="E409" s="15" t="s">
        <v>612</v>
      </c>
      <c r="F409" s="15"/>
      <c r="G409" s="15"/>
      <c r="H409" s="16" t="s">
        <v>16</v>
      </c>
      <c r="I409" s="16"/>
      <c r="J409" s="16"/>
      <c r="K409" s="1"/>
      <c r="L409" s="1"/>
      <c r="M409" s="1"/>
    </row>
    <row r="410" spans="1:13" x14ac:dyDescent="0.25">
      <c r="A410" s="20"/>
      <c r="B410" s="22" t="s">
        <v>627</v>
      </c>
      <c r="C410" s="14" t="s">
        <v>12</v>
      </c>
      <c r="D410" s="15" t="s">
        <v>123</v>
      </c>
      <c r="E410" s="15" t="s">
        <v>613</v>
      </c>
      <c r="F410" s="15"/>
      <c r="G410" s="15" t="s">
        <v>2950</v>
      </c>
      <c r="H410" s="16" t="s">
        <v>16</v>
      </c>
      <c r="I410" s="16">
        <v>4</v>
      </c>
      <c r="J410" s="16" t="s">
        <v>17</v>
      </c>
      <c r="K410" s="1"/>
      <c r="L410" s="1"/>
      <c r="M410" s="1"/>
    </row>
    <row r="411" spans="1:13" x14ac:dyDescent="0.25">
      <c r="A411" s="20"/>
      <c r="B411" s="22" t="s">
        <v>611</v>
      </c>
      <c r="C411" s="14" t="s">
        <v>12</v>
      </c>
      <c r="D411" s="15" t="s">
        <v>212</v>
      </c>
      <c r="E411" s="15" t="s">
        <v>615</v>
      </c>
      <c r="F411" s="15"/>
      <c r="G411" s="15"/>
      <c r="H411" s="16" t="s">
        <v>16</v>
      </c>
      <c r="I411" s="16"/>
      <c r="J411" s="16"/>
      <c r="K411" s="1"/>
      <c r="L411" s="1"/>
    </row>
    <row r="412" spans="1:13" x14ac:dyDescent="0.25">
      <c r="A412" s="20"/>
      <c r="B412" s="22" t="s">
        <v>3323</v>
      </c>
      <c r="C412" s="14" t="s">
        <v>12</v>
      </c>
      <c r="D412" s="15" t="s">
        <v>214</v>
      </c>
      <c r="E412" s="15" t="s">
        <v>617</v>
      </c>
      <c r="F412" s="15"/>
      <c r="G412" s="15" t="s">
        <v>3236</v>
      </c>
      <c r="H412" s="16" t="s">
        <v>16</v>
      </c>
      <c r="I412" s="16">
        <v>8</v>
      </c>
      <c r="J412" s="16"/>
      <c r="K412" s="1"/>
      <c r="L412" s="1"/>
    </row>
    <row r="413" spans="1:13" x14ac:dyDescent="0.25">
      <c r="A413" s="20"/>
      <c r="B413" s="22" t="s">
        <v>2957</v>
      </c>
      <c r="C413" s="14" t="s">
        <v>12</v>
      </c>
      <c r="D413" s="15" t="s">
        <v>216</v>
      </c>
      <c r="E413" s="15" t="s">
        <v>619</v>
      </c>
      <c r="F413" s="15"/>
      <c r="G413" s="15" t="s">
        <v>2801</v>
      </c>
      <c r="H413" s="16" t="s">
        <v>16</v>
      </c>
      <c r="I413" s="16">
        <v>3</v>
      </c>
      <c r="J413" s="16"/>
      <c r="K413" s="1"/>
      <c r="L413" s="1"/>
      <c r="M413" s="1"/>
    </row>
    <row r="414" spans="1:13" x14ac:dyDescent="0.25">
      <c r="A414" s="20"/>
      <c r="B414" s="22" t="s">
        <v>2612</v>
      </c>
      <c r="C414" s="14" t="s">
        <v>12</v>
      </c>
      <c r="D414" s="15" t="s">
        <v>218</v>
      </c>
      <c r="E414" s="15" t="s">
        <v>620</v>
      </c>
      <c r="F414" s="15"/>
      <c r="G414" s="15" t="s">
        <v>2353</v>
      </c>
      <c r="H414" s="16" t="s">
        <v>16</v>
      </c>
      <c r="I414" s="16">
        <v>100</v>
      </c>
      <c r="J414" s="16"/>
      <c r="K414" s="1"/>
      <c r="L414" s="1"/>
      <c r="M414" s="1"/>
    </row>
    <row r="415" spans="1:13" x14ac:dyDescent="0.25">
      <c r="A415" s="20"/>
      <c r="B415" s="22" t="s">
        <v>2613</v>
      </c>
      <c r="C415" s="14" t="s">
        <v>12</v>
      </c>
      <c r="D415" s="15" t="s">
        <v>220</v>
      </c>
      <c r="E415" s="15" t="s">
        <v>622</v>
      </c>
      <c r="F415" s="15"/>
      <c r="G415" s="15" t="s">
        <v>2353</v>
      </c>
      <c r="H415" s="16" t="s">
        <v>16</v>
      </c>
      <c r="I415" s="16">
        <v>72</v>
      </c>
      <c r="J415" s="16"/>
      <c r="K415" s="1"/>
      <c r="L415" s="1"/>
      <c r="M415" s="1"/>
    </row>
    <row r="416" spans="1:13" x14ac:dyDescent="0.25">
      <c r="A416" s="20"/>
      <c r="B416" s="22" t="s">
        <v>2610</v>
      </c>
      <c r="C416" s="14" t="s">
        <v>12</v>
      </c>
      <c r="D416" s="15" t="s">
        <v>222</v>
      </c>
      <c r="E416" s="15" t="s">
        <v>624</v>
      </c>
      <c r="F416" s="15" t="s">
        <v>2611</v>
      </c>
      <c r="G416" s="15" t="s">
        <v>2353</v>
      </c>
      <c r="H416" s="16" t="s">
        <v>16</v>
      </c>
      <c r="I416" s="16">
        <v>13</v>
      </c>
      <c r="J416" s="16"/>
      <c r="K416" s="1"/>
      <c r="L416" s="1"/>
      <c r="M416" s="1"/>
    </row>
    <row r="417" spans="1:13" x14ac:dyDescent="0.25">
      <c r="A417" s="20"/>
      <c r="B417" s="22" t="s">
        <v>2609</v>
      </c>
      <c r="C417" s="14" t="s">
        <v>12</v>
      </c>
      <c r="D417" s="15" t="s">
        <v>224</v>
      </c>
      <c r="E417" s="15" t="s">
        <v>626</v>
      </c>
      <c r="F417" s="15" t="s">
        <v>2611</v>
      </c>
      <c r="G417" s="15" t="s">
        <v>2353</v>
      </c>
      <c r="H417" s="16" t="s">
        <v>16</v>
      </c>
      <c r="I417" s="16">
        <v>184</v>
      </c>
      <c r="J417" s="16"/>
      <c r="K417" s="1"/>
      <c r="L417" s="1"/>
      <c r="M417" s="1"/>
    </row>
    <row r="418" spans="1:13" x14ac:dyDescent="0.25">
      <c r="A418" s="20"/>
      <c r="B418" s="32" t="s">
        <v>614</v>
      </c>
      <c r="C418" s="17" t="s">
        <v>12</v>
      </c>
      <c r="D418" s="15" t="s">
        <v>226</v>
      </c>
      <c r="E418" s="15" t="s">
        <v>628</v>
      </c>
      <c r="F418" s="18"/>
      <c r="G418" s="18"/>
      <c r="H418" s="19" t="s">
        <v>16</v>
      </c>
      <c r="I418" s="19"/>
      <c r="J418" s="16"/>
      <c r="K418" s="1"/>
      <c r="L418" s="1"/>
      <c r="M418" s="1"/>
    </row>
    <row r="419" spans="1:13" x14ac:dyDescent="0.25">
      <c r="A419" s="13"/>
      <c r="B419" s="22" t="s">
        <v>625</v>
      </c>
      <c r="C419" s="17" t="s">
        <v>12</v>
      </c>
      <c r="D419" s="15" t="s">
        <v>228</v>
      </c>
      <c r="E419" s="15" t="s">
        <v>3974</v>
      </c>
      <c r="F419" s="15"/>
      <c r="G419" s="15"/>
      <c r="H419" s="16" t="s">
        <v>16</v>
      </c>
      <c r="I419" s="16"/>
      <c r="J419" s="16" t="s">
        <v>17</v>
      </c>
      <c r="K419" s="1"/>
      <c r="L419" s="1"/>
      <c r="M419" s="1"/>
    </row>
    <row r="420" spans="1:13" s="11" customFormat="1" x14ac:dyDescent="0.25">
      <c r="A420" s="20"/>
      <c r="B420" s="22" t="s">
        <v>616</v>
      </c>
      <c r="C420" s="14" t="s">
        <v>12</v>
      </c>
      <c r="D420" s="15" t="s">
        <v>230</v>
      </c>
      <c r="E420" s="15" t="s">
        <v>3975</v>
      </c>
      <c r="F420" s="48"/>
      <c r="G420" s="48"/>
      <c r="H420" s="49" t="s">
        <v>16</v>
      </c>
      <c r="I420" s="49"/>
      <c r="J420" s="16"/>
      <c r="M420" s="12"/>
    </row>
    <row r="421" spans="1:13" x14ac:dyDescent="0.25">
      <c r="A421" s="36"/>
      <c r="B421" s="22" t="s">
        <v>618</v>
      </c>
      <c r="C421" s="14" t="s">
        <v>12</v>
      </c>
      <c r="D421" s="15" t="s">
        <v>232</v>
      </c>
      <c r="E421" s="15" t="s">
        <v>3976</v>
      </c>
      <c r="F421" s="15"/>
      <c r="G421" s="15"/>
      <c r="H421" s="16" t="s">
        <v>16</v>
      </c>
      <c r="I421" s="16"/>
      <c r="J421" s="16"/>
      <c r="K421" s="1"/>
      <c r="L421" s="1"/>
    </row>
    <row r="422" spans="1:13" x14ac:dyDescent="0.25">
      <c r="A422" s="13"/>
      <c r="B422" s="22" t="s">
        <v>2614</v>
      </c>
      <c r="C422" s="14" t="s">
        <v>12</v>
      </c>
      <c r="D422" s="15" t="s">
        <v>234</v>
      </c>
      <c r="E422" s="15" t="s">
        <v>3977</v>
      </c>
      <c r="F422" s="15"/>
      <c r="G422" s="15" t="s">
        <v>2283</v>
      </c>
      <c r="H422" s="16" t="s">
        <v>16</v>
      </c>
      <c r="I422" s="16">
        <v>210</v>
      </c>
      <c r="J422" s="16"/>
      <c r="K422" s="1"/>
      <c r="L422" s="1"/>
    </row>
    <row r="423" spans="1:13" x14ac:dyDescent="0.25">
      <c r="A423" s="13"/>
      <c r="B423" s="22" t="s">
        <v>621</v>
      </c>
      <c r="C423" s="14" t="s">
        <v>12</v>
      </c>
      <c r="D423" s="15" t="s">
        <v>236</v>
      </c>
      <c r="E423" s="15" t="s">
        <v>3978</v>
      </c>
      <c r="F423" s="15"/>
      <c r="G423" s="15"/>
      <c r="H423" s="16" t="s">
        <v>16</v>
      </c>
      <c r="I423" s="16"/>
      <c r="J423" s="16"/>
      <c r="K423" s="1"/>
      <c r="L423" s="1"/>
      <c r="M423" s="1"/>
    </row>
    <row r="424" spans="1:13" x14ac:dyDescent="0.25">
      <c r="A424" s="13"/>
      <c r="B424" s="22" t="s">
        <v>623</v>
      </c>
      <c r="C424" s="14" t="s">
        <v>12</v>
      </c>
      <c r="D424" s="15" t="s">
        <v>238</v>
      </c>
      <c r="E424" s="15" t="s">
        <v>3979</v>
      </c>
      <c r="F424" s="15"/>
      <c r="G424" s="15"/>
      <c r="H424" s="16" t="s">
        <v>16</v>
      </c>
      <c r="I424" s="16"/>
      <c r="J424" s="16"/>
      <c r="K424" s="1"/>
      <c r="L424" s="1"/>
      <c r="M424" s="1"/>
    </row>
    <row r="425" spans="1:13" x14ac:dyDescent="0.25">
      <c r="A425" s="6">
        <v>12</v>
      </c>
      <c r="B425" s="7" t="s">
        <v>629</v>
      </c>
      <c r="C425" s="10"/>
      <c r="D425" s="10"/>
      <c r="E425" s="10"/>
      <c r="F425" s="10"/>
      <c r="G425" s="10"/>
      <c r="H425" s="10"/>
      <c r="I425" s="10"/>
      <c r="J425" s="10"/>
      <c r="K425" s="1"/>
      <c r="L425" s="1"/>
      <c r="M425" s="1"/>
    </row>
    <row r="426" spans="1:13" x14ac:dyDescent="0.25">
      <c r="A426" s="20"/>
      <c r="B426" s="22" t="s">
        <v>636</v>
      </c>
      <c r="C426" s="14" t="s">
        <v>12</v>
      </c>
      <c r="D426" s="15" t="s">
        <v>14</v>
      </c>
      <c r="E426" s="15" t="s">
        <v>631</v>
      </c>
      <c r="F426" s="15"/>
      <c r="G426" s="15"/>
      <c r="H426" s="16" t="s">
        <v>16</v>
      </c>
      <c r="I426" s="16"/>
      <c r="J426" s="16"/>
      <c r="K426" s="1"/>
      <c r="L426" s="1"/>
    </row>
    <row r="427" spans="1:13" x14ac:dyDescent="0.25">
      <c r="A427" s="20"/>
      <c r="B427" s="22" t="s">
        <v>638</v>
      </c>
      <c r="C427" s="14" t="s">
        <v>12</v>
      </c>
      <c r="D427" s="15" t="s">
        <v>19</v>
      </c>
      <c r="E427" s="15" t="s">
        <v>633</v>
      </c>
      <c r="F427" s="15"/>
      <c r="G427" s="15"/>
      <c r="H427" s="16" t="s">
        <v>16</v>
      </c>
      <c r="I427" s="16"/>
      <c r="J427" s="16"/>
      <c r="K427" s="1"/>
      <c r="L427" s="1"/>
      <c r="M427" s="1"/>
    </row>
    <row r="428" spans="1:13" x14ac:dyDescent="0.25">
      <c r="A428" s="36"/>
      <c r="B428" s="22" t="s">
        <v>640</v>
      </c>
      <c r="C428" s="14" t="s">
        <v>12</v>
      </c>
      <c r="D428" s="15" t="s">
        <v>22</v>
      </c>
      <c r="E428" s="15" t="s">
        <v>635</v>
      </c>
      <c r="F428" s="15"/>
      <c r="G428" s="15"/>
      <c r="H428" s="16" t="s">
        <v>16</v>
      </c>
      <c r="I428" s="16"/>
      <c r="J428" s="16"/>
      <c r="K428" s="1"/>
      <c r="L428" s="1"/>
      <c r="M428" s="1"/>
    </row>
    <row r="429" spans="1:13" x14ac:dyDescent="0.25">
      <c r="A429" s="20"/>
      <c r="B429" s="22" t="s">
        <v>642</v>
      </c>
      <c r="C429" s="14" t="s">
        <v>12</v>
      </c>
      <c r="D429" s="15" t="s">
        <v>25</v>
      </c>
      <c r="E429" s="15" t="s">
        <v>637</v>
      </c>
      <c r="F429" s="15"/>
      <c r="G429" s="15"/>
      <c r="H429" s="16" t="s">
        <v>16</v>
      </c>
      <c r="I429" s="16"/>
      <c r="J429" s="16"/>
      <c r="K429" s="1"/>
      <c r="L429" s="1"/>
      <c r="M429" s="1"/>
    </row>
    <row r="430" spans="1:13" x14ac:dyDescent="0.25">
      <c r="A430" s="20"/>
      <c r="B430" s="22" t="s">
        <v>644</v>
      </c>
      <c r="C430" s="14" t="s">
        <v>12</v>
      </c>
      <c r="D430" s="15" t="s">
        <v>28</v>
      </c>
      <c r="E430" s="15" t="s">
        <v>639</v>
      </c>
      <c r="F430" s="15"/>
      <c r="G430" s="15"/>
      <c r="H430" s="16" t="s">
        <v>16</v>
      </c>
      <c r="I430" s="16"/>
      <c r="J430" s="16"/>
      <c r="K430" s="1"/>
      <c r="L430" s="1"/>
      <c r="M430" s="1"/>
    </row>
    <row r="431" spans="1:13" x14ac:dyDescent="0.25">
      <c r="A431" s="20"/>
      <c r="B431" s="22" t="s">
        <v>646</v>
      </c>
      <c r="C431" s="14" t="s">
        <v>12</v>
      </c>
      <c r="D431" s="15" t="s">
        <v>31</v>
      </c>
      <c r="E431" s="15" t="s">
        <v>641</v>
      </c>
      <c r="F431" s="15"/>
      <c r="G431" s="15"/>
      <c r="H431" s="16" t="s">
        <v>16</v>
      </c>
      <c r="I431" s="16"/>
      <c r="J431" s="16"/>
      <c r="K431" s="1"/>
      <c r="L431" s="1"/>
    </row>
    <row r="432" spans="1:13" x14ac:dyDescent="0.25">
      <c r="A432" s="20"/>
      <c r="B432" s="22" t="s">
        <v>2967</v>
      </c>
      <c r="C432" s="14" t="s">
        <v>12</v>
      </c>
      <c r="D432" s="15" t="s">
        <v>34</v>
      </c>
      <c r="E432" s="15" t="s">
        <v>643</v>
      </c>
      <c r="F432" s="15"/>
      <c r="G432" s="15" t="s">
        <v>2801</v>
      </c>
      <c r="H432" s="16" t="s">
        <v>16</v>
      </c>
      <c r="I432" s="16">
        <v>2</v>
      </c>
      <c r="J432" s="16"/>
      <c r="K432" s="1"/>
      <c r="L432" s="1"/>
    </row>
    <row r="433" spans="1:14" s="11" customFormat="1" x14ac:dyDescent="0.25">
      <c r="A433" s="20"/>
      <c r="B433" s="22" t="s">
        <v>2966</v>
      </c>
      <c r="C433" s="14" t="s">
        <v>12</v>
      </c>
      <c r="D433" s="15" t="s">
        <v>37</v>
      </c>
      <c r="E433" s="15" t="s">
        <v>645</v>
      </c>
      <c r="F433" s="15"/>
      <c r="G433" s="15" t="s">
        <v>2801</v>
      </c>
      <c r="H433" s="16" t="s">
        <v>16</v>
      </c>
      <c r="I433" s="16">
        <v>14</v>
      </c>
      <c r="J433" s="16"/>
    </row>
    <row r="434" spans="1:14" x14ac:dyDescent="0.25">
      <c r="A434" s="20"/>
      <c r="B434" s="22" t="s">
        <v>2642</v>
      </c>
      <c r="C434" s="14" t="s">
        <v>12</v>
      </c>
      <c r="D434" s="15" t="s">
        <v>40</v>
      </c>
      <c r="E434" s="15" t="s">
        <v>647</v>
      </c>
      <c r="F434" s="15"/>
      <c r="G434" s="15" t="s">
        <v>2643</v>
      </c>
      <c r="H434" s="16" t="s">
        <v>2644</v>
      </c>
      <c r="I434" s="16">
        <v>10</v>
      </c>
      <c r="J434" s="16"/>
      <c r="K434" s="1"/>
      <c r="L434" s="1"/>
      <c r="M434" s="1"/>
    </row>
    <row r="435" spans="1:14" x14ac:dyDescent="0.25">
      <c r="A435" s="20"/>
      <c r="B435" s="22" t="s">
        <v>2907</v>
      </c>
      <c r="C435" s="14" t="s">
        <v>12</v>
      </c>
      <c r="D435" s="15" t="s">
        <v>43</v>
      </c>
      <c r="E435" s="15" t="s">
        <v>649</v>
      </c>
      <c r="F435" s="15"/>
      <c r="G435" s="15" t="s">
        <v>2891</v>
      </c>
      <c r="H435" s="16" t="s">
        <v>246</v>
      </c>
      <c r="I435" s="16">
        <v>50</v>
      </c>
      <c r="J435" s="16"/>
      <c r="K435" s="1"/>
      <c r="L435" s="1"/>
    </row>
    <row r="436" spans="1:14" x14ac:dyDescent="0.25">
      <c r="A436" s="20"/>
      <c r="B436" s="22" t="s">
        <v>2635</v>
      </c>
      <c r="C436" s="14" t="s">
        <v>12</v>
      </c>
      <c r="D436" s="15" t="s">
        <v>46</v>
      </c>
      <c r="E436" s="15" t="s">
        <v>3980</v>
      </c>
      <c r="F436" s="15"/>
      <c r="G436" s="15" t="s">
        <v>2525</v>
      </c>
      <c r="H436" s="16" t="s">
        <v>2645</v>
      </c>
      <c r="I436" s="16">
        <v>10</v>
      </c>
      <c r="J436" s="16"/>
      <c r="K436" s="1"/>
      <c r="L436" s="1"/>
      <c r="M436" s="1"/>
      <c r="N436" s="1">
        <f>4500*4</f>
        <v>18000</v>
      </c>
    </row>
    <row r="437" spans="1:14" x14ac:dyDescent="0.25">
      <c r="A437" s="20"/>
      <c r="B437" s="22" t="s">
        <v>3093</v>
      </c>
      <c r="C437" s="14" t="s">
        <v>12</v>
      </c>
      <c r="D437" s="15" t="s">
        <v>72</v>
      </c>
      <c r="E437" s="15" t="s">
        <v>3981</v>
      </c>
      <c r="F437" s="15"/>
      <c r="G437" s="15" t="s">
        <v>2804</v>
      </c>
      <c r="H437" s="16" t="s">
        <v>2814</v>
      </c>
      <c r="I437" s="16">
        <v>14</v>
      </c>
      <c r="J437" s="16"/>
      <c r="K437" s="1"/>
      <c r="L437" s="1"/>
      <c r="M437" s="1"/>
    </row>
    <row r="438" spans="1:14" x14ac:dyDescent="0.25">
      <c r="A438" s="20"/>
      <c r="B438" s="22" t="s">
        <v>2808</v>
      </c>
      <c r="C438" s="14" t="s">
        <v>12</v>
      </c>
      <c r="D438" s="15" t="s">
        <v>75</v>
      </c>
      <c r="E438" s="15" t="s">
        <v>3982</v>
      </c>
      <c r="F438" s="15"/>
      <c r="G438" s="15" t="s">
        <v>2795</v>
      </c>
      <c r="H438" s="16" t="s">
        <v>169</v>
      </c>
      <c r="I438" s="16">
        <v>20</v>
      </c>
      <c r="J438" s="16"/>
      <c r="K438" s="1"/>
      <c r="L438" s="1"/>
      <c r="M438" s="1"/>
    </row>
    <row r="439" spans="1:14" x14ac:dyDescent="0.25">
      <c r="A439" s="20"/>
      <c r="B439" s="95" t="s">
        <v>648</v>
      </c>
      <c r="C439" s="14" t="s">
        <v>12</v>
      </c>
      <c r="D439" s="15" t="s">
        <v>77</v>
      </c>
      <c r="E439" s="15" t="s">
        <v>3983</v>
      </c>
      <c r="F439" s="15"/>
      <c r="G439" s="15"/>
      <c r="H439" s="16" t="s">
        <v>16</v>
      </c>
      <c r="I439" s="16"/>
      <c r="J439" s="16"/>
      <c r="K439" s="1"/>
      <c r="L439" s="1"/>
    </row>
    <row r="440" spans="1:14" x14ac:dyDescent="0.25">
      <c r="A440" s="20"/>
      <c r="B440" s="22" t="s">
        <v>630</v>
      </c>
      <c r="C440" s="14" t="s">
        <v>12</v>
      </c>
      <c r="D440" s="15" t="s">
        <v>80</v>
      </c>
      <c r="E440" s="15" t="s">
        <v>3984</v>
      </c>
      <c r="F440" s="15"/>
      <c r="G440" s="15"/>
      <c r="H440" s="16" t="s">
        <v>16</v>
      </c>
      <c r="I440" s="16"/>
      <c r="J440" s="16" t="s">
        <v>17</v>
      </c>
      <c r="K440" s="1"/>
      <c r="L440" s="1"/>
      <c r="M440" s="1"/>
    </row>
    <row r="441" spans="1:14" x14ac:dyDescent="0.25">
      <c r="A441" s="20"/>
      <c r="B441" s="22" t="s">
        <v>632</v>
      </c>
      <c r="C441" s="14" t="s">
        <v>12</v>
      </c>
      <c r="D441" s="15" t="s">
        <v>84</v>
      </c>
      <c r="E441" s="15" t="s">
        <v>3985</v>
      </c>
      <c r="F441" s="15"/>
      <c r="G441" s="15"/>
      <c r="H441" s="16" t="s">
        <v>16</v>
      </c>
      <c r="I441" s="16"/>
      <c r="J441" s="16" t="s">
        <v>17</v>
      </c>
      <c r="K441" s="1"/>
      <c r="L441" s="1"/>
      <c r="M441" s="1"/>
    </row>
    <row r="442" spans="1:14" s="11" customFormat="1" x14ac:dyDescent="0.25">
      <c r="A442" s="20"/>
      <c r="B442" s="22" t="s">
        <v>634</v>
      </c>
      <c r="C442" s="14" t="s">
        <v>12</v>
      </c>
      <c r="D442" s="15" t="s">
        <v>123</v>
      </c>
      <c r="E442" s="15" t="s">
        <v>3986</v>
      </c>
      <c r="F442" s="15"/>
      <c r="G442" s="15"/>
      <c r="H442" s="16" t="s">
        <v>16</v>
      </c>
      <c r="I442" s="16"/>
      <c r="J442" s="16"/>
      <c r="M442" s="12"/>
    </row>
    <row r="443" spans="1:14" s="11" customFormat="1" x14ac:dyDescent="0.25">
      <c r="A443" s="20"/>
      <c r="B443" s="22" t="s">
        <v>4565</v>
      </c>
      <c r="C443" s="14" t="s">
        <v>12</v>
      </c>
      <c r="D443" s="15" t="s">
        <v>212</v>
      </c>
      <c r="E443" s="15" t="s">
        <v>4566</v>
      </c>
      <c r="F443" s="15"/>
      <c r="G443" s="15" t="s">
        <v>2932</v>
      </c>
      <c r="H443" s="16" t="s">
        <v>16</v>
      </c>
      <c r="I443" s="16">
        <v>1</v>
      </c>
      <c r="J443" s="16"/>
      <c r="M443" s="12"/>
    </row>
    <row r="444" spans="1:14" s="11" customFormat="1" x14ac:dyDescent="0.25">
      <c r="A444" s="20"/>
      <c r="B444" s="22" t="s">
        <v>4567</v>
      </c>
      <c r="C444" s="14" t="s">
        <v>12</v>
      </c>
      <c r="D444" s="15" t="s">
        <v>214</v>
      </c>
      <c r="E444" s="15" t="s">
        <v>4568</v>
      </c>
      <c r="F444" s="15"/>
      <c r="G444" s="15" t="s">
        <v>2932</v>
      </c>
      <c r="H444" s="16" t="s">
        <v>16</v>
      </c>
      <c r="I444" s="16">
        <v>1</v>
      </c>
      <c r="J444" s="16"/>
      <c r="M444" s="12"/>
    </row>
    <row r="445" spans="1:14" x14ac:dyDescent="0.25">
      <c r="A445" s="8">
        <v>13</v>
      </c>
      <c r="B445" s="7" t="s">
        <v>650</v>
      </c>
      <c r="C445" s="10"/>
      <c r="D445" s="10"/>
      <c r="E445" s="10"/>
      <c r="F445" s="10"/>
      <c r="G445" s="10"/>
      <c r="H445" s="10"/>
      <c r="I445" s="10"/>
      <c r="J445" s="10"/>
      <c r="K445" s="1"/>
      <c r="L445" s="1"/>
      <c r="M445" s="1"/>
    </row>
    <row r="446" spans="1:14" s="11" customFormat="1" x14ac:dyDescent="0.25">
      <c r="A446" s="20"/>
      <c r="B446" s="22" t="s">
        <v>712</v>
      </c>
      <c r="C446" s="14" t="s">
        <v>88</v>
      </c>
      <c r="D446" s="15" t="s">
        <v>14</v>
      </c>
      <c r="E446" s="15" t="s">
        <v>652</v>
      </c>
      <c r="F446" s="15"/>
      <c r="G446" s="15"/>
      <c r="H446" s="16" t="s">
        <v>16</v>
      </c>
      <c r="I446" s="16"/>
      <c r="J446" s="16"/>
      <c r="M446" s="12"/>
    </row>
    <row r="447" spans="1:14" x14ac:dyDescent="0.25">
      <c r="A447" s="20"/>
      <c r="B447" s="22" t="s">
        <v>714</v>
      </c>
      <c r="C447" s="14" t="s">
        <v>88</v>
      </c>
      <c r="D447" s="15" t="s">
        <v>19</v>
      </c>
      <c r="E447" s="15" t="s">
        <v>654</v>
      </c>
      <c r="F447" s="15"/>
      <c r="G447" s="15"/>
      <c r="H447" s="16" t="s">
        <v>16</v>
      </c>
      <c r="I447" s="16"/>
      <c r="J447" s="16"/>
      <c r="K447" s="1"/>
      <c r="L447" s="1"/>
      <c r="M447" s="1"/>
    </row>
    <row r="448" spans="1:14" x14ac:dyDescent="0.25">
      <c r="A448" s="20"/>
      <c r="B448" s="22" t="s">
        <v>716</v>
      </c>
      <c r="C448" s="14" t="s">
        <v>88</v>
      </c>
      <c r="D448" s="15" t="s">
        <v>22</v>
      </c>
      <c r="E448" s="15" t="s">
        <v>656</v>
      </c>
      <c r="F448" s="15"/>
      <c r="G448" s="15" t="s">
        <v>2933</v>
      </c>
      <c r="H448" s="16" t="s">
        <v>16</v>
      </c>
      <c r="I448" s="16">
        <v>2</v>
      </c>
      <c r="J448" s="16"/>
      <c r="K448" s="1"/>
      <c r="L448" s="1"/>
      <c r="M448" s="1"/>
    </row>
    <row r="449" spans="1:13" x14ac:dyDescent="0.25">
      <c r="A449" s="20"/>
      <c r="B449" s="22" t="s">
        <v>718</v>
      </c>
      <c r="C449" s="14" t="s">
        <v>88</v>
      </c>
      <c r="D449" s="15" t="s">
        <v>25</v>
      </c>
      <c r="E449" s="15" t="s">
        <v>658</v>
      </c>
      <c r="F449" s="15"/>
      <c r="G449" s="15"/>
      <c r="H449" s="16" t="s">
        <v>16</v>
      </c>
      <c r="I449" s="16"/>
      <c r="J449" s="16"/>
      <c r="K449" s="1"/>
      <c r="L449" s="1"/>
      <c r="M449" s="1"/>
    </row>
    <row r="450" spans="1:13" x14ac:dyDescent="0.25">
      <c r="A450" s="20"/>
      <c r="B450" s="22" t="s">
        <v>651</v>
      </c>
      <c r="C450" s="14" t="s">
        <v>88</v>
      </c>
      <c r="D450" s="15" t="s">
        <v>28</v>
      </c>
      <c r="E450" s="15" t="s">
        <v>660</v>
      </c>
      <c r="F450" s="15"/>
      <c r="G450" s="15"/>
      <c r="H450" s="16" t="s">
        <v>16</v>
      </c>
      <c r="I450" s="16"/>
      <c r="J450" s="16"/>
      <c r="K450" s="1"/>
      <c r="L450" s="1"/>
      <c r="M450" s="1"/>
    </row>
    <row r="451" spans="1:13" x14ac:dyDescent="0.25">
      <c r="A451" s="20"/>
      <c r="B451" s="22" t="s">
        <v>653</v>
      </c>
      <c r="C451" s="14" t="s">
        <v>88</v>
      </c>
      <c r="D451" s="15" t="s">
        <v>31</v>
      </c>
      <c r="E451" s="15" t="s">
        <v>662</v>
      </c>
      <c r="F451" s="15"/>
      <c r="G451" s="15"/>
      <c r="H451" s="16" t="s">
        <v>16</v>
      </c>
      <c r="I451" s="16"/>
      <c r="J451" s="16"/>
      <c r="K451" s="1"/>
      <c r="L451" s="1"/>
      <c r="M451" s="1"/>
    </row>
    <row r="452" spans="1:13" x14ac:dyDescent="0.25">
      <c r="A452" s="20"/>
      <c r="B452" s="22" t="s">
        <v>2874</v>
      </c>
      <c r="C452" s="14" t="s">
        <v>88</v>
      </c>
      <c r="D452" s="15" t="s">
        <v>34</v>
      </c>
      <c r="E452" s="15" t="s">
        <v>664</v>
      </c>
      <c r="F452" s="15"/>
      <c r="G452" s="15" t="s">
        <v>2804</v>
      </c>
      <c r="H452" s="16" t="s">
        <v>16</v>
      </c>
      <c r="I452" s="16">
        <v>32</v>
      </c>
      <c r="J452" s="16"/>
      <c r="K452" s="1"/>
      <c r="L452" s="1"/>
    </row>
    <row r="453" spans="1:13" x14ac:dyDescent="0.25">
      <c r="A453" s="20"/>
      <c r="B453" s="22" t="s">
        <v>2615</v>
      </c>
      <c r="C453" s="14" t="s">
        <v>88</v>
      </c>
      <c r="D453" s="15" t="s">
        <v>37</v>
      </c>
      <c r="E453" s="15" t="s">
        <v>666</v>
      </c>
      <c r="F453" s="15" t="s">
        <v>2617</v>
      </c>
      <c r="G453" s="15" t="s">
        <v>2353</v>
      </c>
      <c r="H453" s="16" t="s">
        <v>16</v>
      </c>
      <c r="I453" s="16">
        <v>12</v>
      </c>
      <c r="J453" s="16" t="s">
        <v>2616</v>
      </c>
      <c r="K453" s="1"/>
      <c r="L453" s="1"/>
      <c r="M453" s="1"/>
    </row>
    <row r="454" spans="1:13" x14ac:dyDescent="0.25">
      <c r="A454" s="20"/>
      <c r="B454" s="22" t="s">
        <v>655</v>
      </c>
      <c r="C454" s="14" t="s">
        <v>88</v>
      </c>
      <c r="D454" s="15" t="s">
        <v>40</v>
      </c>
      <c r="E454" s="15" t="s">
        <v>668</v>
      </c>
      <c r="F454" s="15"/>
      <c r="G454" s="15"/>
      <c r="H454" s="16" t="s">
        <v>16</v>
      </c>
      <c r="I454" s="16"/>
      <c r="J454" s="16"/>
      <c r="K454" s="1"/>
      <c r="L454" s="1"/>
      <c r="M454" s="1"/>
    </row>
    <row r="455" spans="1:13" x14ac:dyDescent="0.25">
      <c r="A455" s="20"/>
      <c r="B455" s="22" t="s">
        <v>663</v>
      </c>
      <c r="C455" s="14" t="s">
        <v>12</v>
      </c>
      <c r="D455" s="15" t="s">
        <v>43</v>
      </c>
      <c r="E455" s="15" t="s">
        <v>670</v>
      </c>
      <c r="F455" s="15"/>
      <c r="G455" s="15"/>
      <c r="H455" s="16" t="s">
        <v>16</v>
      </c>
      <c r="I455" s="16"/>
      <c r="J455" s="16" t="s">
        <v>17</v>
      </c>
      <c r="K455" s="1"/>
      <c r="L455" s="1"/>
      <c r="M455" s="1"/>
    </row>
    <row r="456" spans="1:13" x14ac:dyDescent="0.25">
      <c r="A456" s="20"/>
      <c r="B456" s="22" t="s">
        <v>2847</v>
      </c>
      <c r="C456" s="14" t="s">
        <v>12</v>
      </c>
      <c r="D456" s="15" t="s">
        <v>46</v>
      </c>
      <c r="E456" s="15" t="s">
        <v>672</v>
      </c>
      <c r="F456" s="15"/>
      <c r="G456" s="15" t="s">
        <v>2833</v>
      </c>
      <c r="H456" s="16" t="s">
        <v>16</v>
      </c>
      <c r="I456" s="16">
        <v>5</v>
      </c>
      <c r="J456" s="16" t="s">
        <v>2841</v>
      </c>
      <c r="K456" s="1"/>
      <c r="L456" s="1"/>
    </row>
    <row r="457" spans="1:13" x14ac:dyDescent="0.25">
      <c r="A457" s="20"/>
      <c r="B457" s="22" t="s">
        <v>2832</v>
      </c>
      <c r="C457" s="14" t="s">
        <v>12</v>
      </c>
      <c r="D457" s="15" t="s">
        <v>72</v>
      </c>
      <c r="E457" s="15" t="s">
        <v>674</v>
      </c>
      <c r="F457" s="15"/>
      <c r="G457" s="15" t="s">
        <v>2833</v>
      </c>
      <c r="H457" s="16" t="s">
        <v>16</v>
      </c>
      <c r="I457" s="16">
        <v>4</v>
      </c>
      <c r="J457" s="16" t="s">
        <v>2841</v>
      </c>
      <c r="K457" s="1"/>
      <c r="L457" s="1"/>
    </row>
    <row r="458" spans="1:13" x14ac:dyDescent="0.25">
      <c r="A458" s="20"/>
      <c r="B458" s="22" t="s">
        <v>2827</v>
      </c>
      <c r="C458" s="14" t="s">
        <v>12</v>
      </c>
      <c r="D458" s="15" t="s">
        <v>75</v>
      </c>
      <c r="E458" s="15" t="s">
        <v>676</v>
      </c>
      <c r="F458" s="15"/>
      <c r="G458" s="15" t="s">
        <v>2828</v>
      </c>
      <c r="H458" s="16" t="s">
        <v>16</v>
      </c>
      <c r="I458" s="16">
        <v>9</v>
      </c>
      <c r="J458" s="16" t="s">
        <v>2841</v>
      </c>
      <c r="K458" s="1"/>
      <c r="L458" s="1"/>
    </row>
    <row r="459" spans="1:13" x14ac:dyDescent="0.25">
      <c r="A459" s="20"/>
      <c r="B459" s="22" t="s">
        <v>2829</v>
      </c>
      <c r="C459" s="14" t="s">
        <v>12</v>
      </c>
      <c r="D459" s="15" t="s">
        <v>77</v>
      </c>
      <c r="E459" s="15" t="s">
        <v>678</v>
      </c>
      <c r="F459" s="15"/>
      <c r="G459" s="15" t="s">
        <v>2828</v>
      </c>
      <c r="H459" s="16" t="s">
        <v>16</v>
      </c>
      <c r="I459" s="16">
        <v>1</v>
      </c>
      <c r="J459" s="16"/>
      <c r="K459" s="1"/>
      <c r="L459" s="1"/>
      <c r="M459" s="1"/>
    </row>
    <row r="460" spans="1:13" x14ac:dyDescent="0.25">
      <c r="A460" s="20"/>
      <c r="B460" s="35" t="s">
        <v>665</v>
      </c>
      <c r="C460" s="14" t="s">
        <v>12</v>
      </c>
      <c r="D460" s="15" t="s">
        <v>80</v>
      </c>
      <c r="E460" s="15" t="s">
        <v>681</v>
      </c>
      <c r="F460" s="15"/>
      <c r="G460" s="15"/>
      <c r="H460" s="16" t="s">
        <v>16</v>
      </c>
      <c r="I460" s="16"/>
      <c r="J460" s="16"/>
      <c r="K460" s="1"/>
      <c r="L460" s="1"/>
      <c r="M460" s="1"/>
    </row>
    <row r="461" spans="1:13" x14ac:dyDescent="0.25">
      <c r="A461" s="20"/>
      <c r="B461" s="35" t="s">
        <v>667</v>
      </c>
      <c r="C461" s="14" t="s">
        <v>12</v>
      </c>
      <c r="D461" s="15" t="s">
        <v>84</v>
      </c>
      <c r="E461" s="15" t="s">
        <v>683</v>
      </c>
      <c r="F461" s="15"/>
      <c r="G461" s="15"/>
      <c r="H461" s="16" t="s">
        <v>16</v>
      </c>
      <c r="I461" s="16"/>
      <c r="J461" s="16"/>
      <c r="K461" s="1"/>
      <c r="L461" s="1"/>
      <c r="M461" s="1"/>
    </row>
    <row r="462" spans="1:13" x14ac:dyDescent="0.25">
      <c r="A462" s="20"/>
      <c r="B462" s="22" t="s">
        <v>669</v>
      </c>
      <c r="C462" s="14" t="s">
        <v>12</v>
      </c>
      <c r="D462" s="15" t="s">
        <v>123</v>
      </c>
      <c r="E462" s="15" t="s">
        <v>685</v>
      </c>
      <c r="F462" s="15"/>
      <c r="G462" s="15"/>
      <c r="H462" s="16" t="s">
        <v>16</v>
      </c>
      <c r="I462" s="16"/>
      <c r="J462" s="16"/>
      <c r="K462" s="1"/>
      <c r="L462" s="1"/>
      <c r="M462" s="1"/>
    </row>
    <row r="463" spans="1:13" x14ac:dyDescent="0.25">
      <c r="A463" s="20"/>
      <c r="B463" s="22" t="s">
        <v>2837</v>
      </c>
      <c r="C463" s="14" t="s">
        <v>12</v>
      </c>
      <c r="D463" s="15" t="s">
        <v>212</v>
      </c>
      <c r="E463" s="15" t="s">
        <v>687</v>
      </c>
      <c r="F463" s="15"/>
      <c r="G463" s="15" t="s">
        <v>2833</v>
      </c>
      <c r="H463" s="16" t="s">
        <v>16</v>
      </c>
      <c r="I463" s="16">
        <v>10</v>
      </c>
      <c r="J463" s="16" t="s">
        <v>2841</v>
      </c>
      <c r="K463" s="1"/>
      <c r="L463" s="1"/>
      <c r="M463" s="1"/>
    </row>
    <row r="464" spans="1:13" x14ac:dyDescent="0.25">
      <c r="A464" s="20"/>
      <c r="B464" s="22" t="s">
        <v>671</v>
      </c>
      <c r="C464" s="14" t="s">
        <v>12</v>
      </c>
      <c r="D464" s="15" t="s">
        <v>214</v>
      </c>
      <c r="E464" s="15" t="s">
        <v>689</v>
      </c>
      <c r="F464" s="15"/>
      <c r="G464" s="15"/>
      <c r="H464" s="16" t="s">
        <v>16</v>
      </c>
      <c r="I464" s="16"/>
      <c r="J464" s="16"/>
      <c r="K464" s="1"/>
      <c r="L464" s="1"/>
      <c r="M464" s="1"/>
    </row>
    <row r="465" spans="1:13" x14ac:dyDescent="0.25">
      <c r="A465" s="20"/>
      <c r="B465" s="22" t="s">
        <v>673</v>
      </c>
      <c r="C465" s="14" t="s">
        <v>12</v>
      </c>
      <c r="D465" s="15" t="s">
        <v>216</v>
      </c>
      <c r="E465" s="15" t="s">
        <v>691</v>
      </c>
      <c r="F465" s="15"/>
      <c r="G465" s="15"/>
      <c r="H465" s="16" t="s">
        <v>16</v>
      </c>
      <c r="I465" s="16"/>
      <c r="J465" s="16"/>
      <c r="K465" s="1"/>
      <c r="L465" s="1"/>
      <c r="M465" s="1"/>
    </row>
    <row r="466" spans="1:13" x14ac:dyDescent="0.25">
      <c r="A466" s="20"/>
      <c r="B466" s="22" t="s">
        <v>675</v>
      </c>
      <c r="C466" s="14" t="s">
        <v>12</v>
      </c>
      <c r="D466" s="15" t="s">
        <v>218</v>
      </c>
      <c r="E466" s="15" t="s">
        <v>693</v>
      </c>
      <c r="F466" s="15"/>
      <c r="G466" s="15"/>
      <c r="H466" s="16" t="s">
        <v>16</v>
      </c>
      <c r="I466" s="16"/>
      <c r="J466" s="16"/>
      <c r="K466" s="1"/>
      <c r="L466" s="1"/>
      <c r="M466" s="1"/>
    </row>
    <row r="467" spans="1:13" x14ac:dyDescent="0.25">
      <c r="A467" s="20"/>
      <c r="B467" s="22" t="s">
        <v>3018</v>
      </c>
      <c r="C467" s="14" t="s">
        <v>12</v>
      </c>
      <c r="D467" s="15" t="s">
        <v>220</v>
      </c>
      <c r="E467" s="15" t="s">
        <v>695</v>
      </c>
      <c r="F467" s="15"/>
      <c r="G467" s="15" t="s">
        <v>3017</v>
      </c>
      <c r="H467" s="16" t="s">
        <v>16</v>
      </c>
      <c r="I467" s="16">
        <v>250</v>
      </c>
      <c r="J467" s="16"/>
      <c r="K467" s="1"/>
      <c r="L467" s="1"/>
      <c r="M467" s="1"/>
    </row>
    <row r="468" spans="1:13" x14ac:dyDescent="0.25">
      <c r="A468" s="20"/>
      <c r="B468" s="22" t="s">
        <v>677</v>
      </c>
      <c r="C468" s="14" t="s">
        <v>12</v>
      </c>
      <c r="D468" s="15" t="s">
        <v>222</v>
      </c>
      <c r="E468" s="15" t="s">
        <v>697</v>
      </c>
      <c r="F468" s="15"/>
      <c r="G468" s="15" t="s">
        <v>3017</v>
      </c>
      <c r="H468" s="16" t="s">
        <v>16</v>
      </c>
      <c r="I468" s="16">
        <v>200</v>
      </c>
      <c r="J468" s="16"/>
      <c r="K468" s="1"/>
      <c r="L468" s="1"/>
      <c r="M468" s="1"/>
    </row>
    <row r="469" spans="1:13" x14ac:dyDescent="0.25">
      <c r="A469" s="20"/>
      <c r="B469" s="22" t="s">
        <v>680</v>
      </c>
      <c r="C469" s="14" t="s">
        <v>12</v>
      </c>
      <c r="D469" s="15" t="s">
        <v>224</v>
      </c>
      <c r="E469" s="15" t="s">
        <v>699</v>
      </c>
      <c r="F469" s="15"/>
      <c r="G469" s="15" t="s">
        <v>2969</v>
      </c>
      <c r="H469" s="16" t="s">
        <v>16</v>
      </c>
      <c r="I469" s="16">
        <v>100</v>
      </c>
      <c r="J469" s="16"/>
      <c r="K469" s="1"/>
      <c r="L469" s="1"/>
      <c r="M469" s="1"/>
    </row>
    <row r="470" spans="1:13" x14ac:dyDescent="0.25">
      <c r="A470" s="20"/>
      <c r="B470" s="22" t="s">
        <v>682</v>
      </c>
      <c r="C470" s="14" t="s">
        <v>12</v>
      </c>
      <c r="D470" s="15" t="s">
        <v>226</v>
      </c>
      <c r="E470" s="15" t="s">
        <v>701</v>
      </c>
      <c r="F470" s="15"/>
      <c r="G470" s="15" t="s">
        <v>2969</v>
      </c>
      <c r="H470" s="16" t="s">
        <v>16</v>
      </c>
      <c r="I470" s="16">
        <f>84+150+153</f>
        <v>387</v>
      </c>
      <c r="J470" s="16"/>
      <c r="K470" s="1"/>
      <c r="L470" s="1"/>
      <c r="M470" s="1"/>
    </row>
    <row r="471" spans="1:13" x14ac:dyDescent="0.25">
      <c r="A471" s="20"/>
      <c r="B471" s="22" t="s">
        <v>3024</v>
      </c>
      <c r="C471" s="14" t="s">
        <v>12</v>
      </c>
      <c r="D471" s="15" t="s">
        <v>228</v>
      </c>
      <c r="E471" s="15" t="s">
        <v>703</v>
      </c>
      <c r="F471" s="15"/>
      <c r="G471" s="15" t="s">
        <v>3017</v>
      </c>
      <c r="H471" s="16" t="s">
        <v>16</v>
      </c>
      <c r="I471" s="16">
        <v>100</v>
      </c>
      <c r="J471" s="16"/>
      <c r="K471" s="1"/>
      <c r="L471" s="1"/>
      <c r="M471" s="1"/>
    </row>
    <row r="472" spans="1:13" x14ac:dyDescent="0.25">
      <c r="A472" s="20"/>
      <c r="B472" s="22" t="s">
        <v>3019</v>
      </c>
      <c r="C472" s="14" t="s">
        <v>12</v>
      </c>
      <c r="D472" s="15" t="s">
        <v>230</v>
      </c>
      <c r="E472" s="15" t="s">
        <v>705</v>
      </c>
      <c r="F472" s="15"/>
      <c r="G472" s="15" t="s">
        <v>2969</v>
      </c>
      <c r="H472" s="16" t="s">
        <v>16</v>
      </c>
      <c r="I472" s="16">
        <f>265+59+25</f>
        <v>349</v>
      </c>
      <c r="J472" s="16"/>
      <c r="K472" s="1"/>
      <c r="L472" s="1"/>
      <c r="M472" s="1"/>
    </row>
    <row r="473" spans="1:13" x14ac:dyDescent="0.25">
      <c r="A473" s="20"/>
      <c r="B473" s="22" t="s">
        <v>3023</v>
      </c>
      <c r="C473" s="14" t="s">
        <v>12</v>
      </c>
      <c r="D473" s="15" t="s">
        <v>232</v>
      </c>
      <c r="E473" s="15" t="s">
        <v>707</v>
      </c>
      <c r="F473" s="15"/>
      <c r="G473" s="15" t="s">
        <v>3017</v>
      </c>
      <c r="H473" s="16" t="s">
        <v>16</v>
      </c>
      <c r="I473" s="16">
        <v>40</v>
      </c>
      <c r="J473" s="16"/>
      <c r="K473" s="1"/>
      <c r="L473" s="1"/>
      <c r="M473" s="1"/>
    </row>
    <row r="474" spans="1:13" x14ac:dyDescent="0.25">
      <c r="A474" s="20"/>
      <c r="B474" s="22" t="s">
        <v>3026</v>
      </c>
      <c r="C474" s="14" t="s">
        <v>12</v>
      </c>
      <c r="D474" s="15" t="s">
        <v>234</v>
      </c>
      <c r="E474" s="15" t="s">
        <v>709</v>
      </c>
      <c r="F474" s="15"/>
      <c r="G474" s="15" t="s">
        <v>2969</v>
      </c>
      <c r="H474" s="16" t="s">
        <v>16</v>
      </c>
      <c r="I474" s="16">
        <v>50</v>
      </c>
      <c r="J474" s="16"/>
      <c r="K474" s="1"/>
      <c r="L474" s="1"/>
      <c r="M474" s="1"/>
    </row>
    <row r="475" spans="1:13" x14ac:dyDescent="0.25">
      <c r="A475" s="20"/>
      <c r="B475" s="22" t="s">
        <v>3025</v>
      </c>
      <c r="C475" s="14" t="s">
        <v>12</v>
      </c>
      <c r="D475" s="15" t="s">
        <v>236</v>
      </c>
      <c r="E475" s="15" t="s">
        <v>711</v>
      </c>
      <c r="F475" s="15"/>
      <c r="G475" s="15" t="s">
        <v>2969</v>
      </c>
      <c r="H475" s="16" t="s">
        <v>16</v>
      </c>
      <c r="I475" s="16">
        <v>70</v>
      </c>
      <c r="J475" s="16"/>
      <c r="K475" s="1"/>
      <c r="L475" s="1"/>
      <c r="M475" s="1"/>
    </row>
    <row r="476" spans="1:13" x14ac:dyDescent="0.25">
      <c r="A476" s="20"/>
      <c r="B476" s="22" t="s">
        <v>684</v>
      </c>
      <c r="C476" s="14" t="s">
        <v>88</v>
      </c>
      <c r="D476" s="15" t="s">
        <v>238</v>
      </c>
      <c r="E476" s="15" t="s">
        <v>713</v>
      </c>
      <c r="F476" s="15"/>
      <c r="G476" s="15"/>
      <c r="H476" s="16" t="s">
        <v>16</v>
      </c>
      <c r="I476" s="16"/>
      <c r="J476" s="16" t="s">
        <v>679</v>
      </c>
      <c r="K476" s="1"/>
      <c r="L476" s="1"/>
    </row>
    <row r="477" spans="1:13" x14ac:dyDescent="0.25">
      <c r="A477" s="20"/>
      <c r="B477" s="22" t="s">
        <v>686</v>
      </c>
      <c r="C477" s="14" t="s">
        <v>88</v>
      </c>
      <c r="D477" s="15" t="s">
        <v>240</v>
      </c>
      <c r="E477" s="15" t="s">
        <v>715</v>
      </c>
      <c r="F477" s="15"/>
      <c r="G477" s="15"/>
      <c r="H477" s="16" t="s">
        <v>16</v>
      </c>
      <c r="I477" s="16"/>
      <c r="J477" s="16"/>
      <c r="K477" s="1"/>
      <c r="L477" s="1"/>
    </row>
    <row r="478" spans="1:13" x14ac:dyDescent="0.25">
      <c r="A478" s="20"/>
      <c r="B478" s="22" t="s">
        <v>3021</v>
      </c>
      <c r="C478" s="14" t="s">
        <v>88</v>
      </c>
      <c r="D478" s="15" t="s">
        <v>334</v>
      </c>
      <c r="E478" s="15" t="s">
        <v>717</v>
      </c>
      <c r="F478" s="15"/>
      <c r="G478" s="15" t="s">
        <v>2969</v>
      </c>
      <c r="H478" s="16" t="s">
        <v>16</v>
      </c>
      <c r="I478" s="16">
        <v>40</v>
      </c>
      <c r="J478" s="16"/>
      <c r="K478" s="1"/>
      <c r="L478" s="1"/>
      <c r="M478" s="1"/>
    </row>
    <row r="479" spans="1:13" x14ac:dyDescent="0.25">
      <c r="A479" s="20"/>
      <c r="B479" s="22" t="s">
        <v>3020</v>
      </c>
      <c r="C479" s="14" t="s">
        <v>88</v>
      </c>
      <c r="D479" s="15" t="s">
        <v>337</v>
      </c>
      <c r="E479" s="15" t="s">
        <v>719</v>
      </c>
      <c r="F479" s="15"/>
      <c r="G479" s="15" t="s">
        <v>2969</v>
      </c>
      <c r="H479" s="16" t="s">
        <v>16</v>
      </c>
      <c r="I479" s="16">
        <f>96+18+10</f>
        <v>124</v>
      </c>
      <c r="J479" s="16"/>
      <c r="K479" s="1"/>
      <c r="L479" s="1"/>
      <c r="M479" s="1"/>
    </row>
    <row r="480" spans="1:13" x14ac:dyDescent="0.25">
      <c r="A480" s="20"/>
      <c r="B480" s="22" t="s">
        <v>2863</v>
      </c>
      <c r="C480" s="14" t="s">
        <v>88</v>
      </c>
      <c r="D480" s="15" t="s">
        <v>340</v>
      </c>
      <c r="E480" s="15" t="s">
        <v>721</v>
      </c>
      <c r="F480" s="15"/>
      <c r="G480" s="15" t="s">
        <v>2833</v>
      </c>
      <c r="H480" s="16" t="s">
        <v>16</v>
      </c>
      <c r="I480" s="16">
        <v>18</v>
      </c>
      <c r="J480" s="16"/>
      <c r="K480" s="1"/>
      <c r="L480" s="1"/>
      <c r="M480" s="1"/>
    </row>
    <row r="481" spans="1:13" s="11" customFormat="1" x14ac:dyDescent="0.25">
      <c r="A481" s="20"/>
      <c r="B481" s="22" t="s">
        <v>659</v>
      </c>
      <c r="C481" s="14" t="s">
        <v>12</v>
      </c>
      <c r="D481" s="15" t="s">
        <v>343</v>
      </c>
      <c r="E481" s="15" t="s">
        <v>723</v>
      </c>
      <c r="F481" s="15"/>
      <c r="G481" s="15"/>
      <c r="H481" s="16" t="s">
        <v>16</v>
      </c>
      <c r="I481" s="16"/>
      <c r="J481" s="16"/>
    </row>
    <row r="482" spans="1:13" x14ac:dyDescent="0.25">
      <c r="A482" s="20"/>
      <c r="B482" s="22" t="s">
        <v>661</v>
      </c>
      <c r="C482" s="14" t="s">
        <v>12</v>
      </c>
      <c r="D482" s="15" t="s">
        <v>345</v>
      </c>
      <c r="E482" s="15" t="s">
        <v>725</v>
      </c>
      <c r="F482" s="15"/>
      <c r="G482" s="15"/>
      <c r="H482" s="16" t="s">
        <v>16</v>
      </c>
      <c r="I482" s="16"/>
      <c r="J482" s="16"/>
      <c r="K482" s="1"/>
      <c r="L482" s="1"/>
      <c r="M482" s="1"/>
    </row>
    <row r="483" spans="1:13" x14ac:dyDescent="0.25">
      <c r="A483" s="20"/>
      <c r="B483" s="22" t="s">
        <v>3131</v>
      </c>
      <c r="C483" s="14" t="s">
        <v>12</v>
      </c>
      <c r="D483" s="15" t="s">
        <v>348</v>
      </c>
      <c r="E483" s="15" t="s">
        <v>727</v>
      </c>
      <c r="F483" s="15"/>
      <c r="G483" s="15" t="s">
        <v>3055</v>
      </c>
      <c r="H483" s="16" t="s">
        <v>16</v>
      </c>
      <c r="I483" s="16">
        <v>350</v>
      </c>
      <c r="J483" s="16"/>
      <c r="K483" s="1"/>
      <c r="L483" s="1"/>
      <c r="M483" s="1"/>
    </row>
    <row r="484" spans="1:13" x14ac:dyDescent="0.25">
      <c r="A484" s="20"/>
      <c r="B484" s="22" t="s">
        <v>2843</v>
      </c>
      <c r="C484" s="14" t="s">
        <v>12</v>
      </c>
      <c r="D484" s="15" t="s">
        <v>351</v>
      </c>
      <c r="E484" s="15" t="s">
        <v>729</v>
      </c>
      <c r="F484" s="15"/>
      <c r="G484" s="15" t="s">
        <v>2833</v>
      </c>
      <c r="H484" s="16" t="s">
        <v>16</v>
      </c>
      <c r="I484" s="16">
        <v>5</v>
      </c>
      <c r="J484" s="16"/>
      <c r="K484" s="1"/>
      <c r="L484" s="1"/>
      <c r="M484" s="1"/>
    </row>
    <row r="485" spans="1:13" x14ac:dyDescent="0.25">
      <c r="A485" s="20"/>
      <c r="B485" s="22" t="s">
        <v>3132</v>
      </c>
      <c r="C485" s="14" t="s">
        <v>12</v>
      </c>
      <c r="D485" s="15" t="s">
        <v>431</v>
      </c>
      <c r="E485" s="15" t="s">
        <v>731</v>
      </c>
      <c r="F485" s="15"/>
      <c r="G485" s="15" t="s">
        <v>3055</v>
      </c>
      <c r="H485" s="16" t="s">
        <v>16</v>
      </c>
      <c r="I485" s="16">
        <v>200</v>
      </c>
      <c r="J485" s="16"/>
      <c r="K485" s="1"/>
      <c r="L485" s="1"/>
      <c r="M485" s="1"/>
    </row>
    <row r="486" spans="1:13" x14ac:dyDescent="0.25">
      <c r="A486" s="20"/>
      <c r="B486" s="22" t="s">
        <v>688</v>
      </c>
      <c r="C486" s="14" t="s">
        <v>12</v>
      </c>
      <c r="D486" s="15" t="s">
        <v>434</v>
      </c>
      <c r="E486" s="15" t="s">
        <v>733</v>
      </c>
      <c r="F486" s="15"/>
      <c r="G486" s="15"/>
      <c r="H486" s="16" t="s">
        <v>16</v>
      </c>
      <c r="I486" s="16"/>
      <c r="J486" s="16"/>
      <c r="K486" s="1"/>
      <c r="L486" s="1"/>
      <c r="M486" s="1"/>
    </row>
    <row r="487" spans="1:13" x14ac:dyDescent="0.25">
      <c r="A487" s="20"/>
      <c r="B487" s="22" t="s">
        <v>690</v>
      </c>
      <c r="C487" s="14" t="s">
        <v>12</v>
      </c>
      <c r="D487" s="15" t="s">
        <v>437</v>
      </c>
      <c r="E487" s="15" t="s">
        <v>735</v>
      </c>
      <c r="F487" s="15"/>
      <c r="G487" s="15"/>
      <c r="H487" s="16" t="s">
        <v>16</v>
      </c>
      <c r="I487" s="16"/>
      <c r="J487" s="16"/>
      <c r="K487" s="1"/>
      <c r="L487" s="1"/>
      <c r="M487" s="1"/>
    </row>
    <row r="488" spans="1:13" x14ac:dyDescent="0.25">
      <c r="A488" s="20"/>
      <c r="B488" s="22" t="s">
        <v>692</v>
      </c>
      <c r="C488" s="14" t="s">
        <v>12</v>
      </c>
      <c r="D488" s="15" t="s">
        <v>440</v>
      </c>
      <c r="E488" s="15" t="s">
        <v>737</v>
      </c>
      <c r="F488" s="15"/>
      <c r="G488" s="15"/>
      <c r="H488" s="16" t="s">
        <v>16</v>
      </c>
      <c r="I488" s="16"/>
      <c r="J488" s="16"/>
      <c r="K488" s="1"/>
      <c r="L488" s="1"/>
      <c r="M488" s="1"/>
    </row>
    <row r="489" spans="1:13" x14ac:dyDescent="0.25">
      <c r="A489" s="20"/>
      <c r="B489" s="22" t="s">
        <v>694</v>
      </c>
      <c r="C489" s="14" t="s">
        <v>12</v>
      </c>
      <c r="D489" s="15" t="s">
        <v>443</v>
      </c>
      <c r="E489" s="15" t="s">
        <v>739</v>
      </c>
      <c r="F489" s="15"/>
      <c r="G489" s="15"/>
      <c r="H489" s="16" t="s">
        <v>16</v>
      </c>
      <c r="I489" s="16"/>
      <c r="J489" s="16"/>
      <c r="K489" s="1"/>
      <c r="L489" s="1"/>
      <c r="M489" s="1"/>
    </row>
    <row r="490" spans="1:13" x14ac:dyDescent="0.25">
      <c r="A490" s="20"/>
      <c r="B490" s="22" t="s">
        <v>696</v>
      </c>
      <c r="C490" s="14" t="s">
        <v>12</v>
      </c>
      <c r="D490" s="15" t="s">
        <v>446</v>
      </c>
      <c r="E490" s="15" t="s">
        <v>741</v>
      </c>
      <c r="F490" s="15"/>
      <c r="G490" s="15"/>
      <c r="H490" s="16" t="s">
        <v>16</v>
      </c>
      <c r="I490" s="16"/>
      <c r="J490" s="16"/>
      <c r="K490" s="1"/>
      <c r="L490" s="1"/>
      <c r="M490" s="1"/>
    </row>
    <row r="491" spans="1:13" x14ac:dyDescent="0.25">
      <c r="A491" s="20"/>
      <c r="B491" s="22" t="s">
        <v>698</v>
      </c>
      <c r="C491" s="14" t="s">
        <v>12</v>
      </c>
      <c r="D491" s="15" t="s">
        <v>449</v>
      </c>
      <c r="E491" s="15" t="s">
        <v>743</v>
      </c>
      <c r="F491" s="15"/>
      <c r="G491" s="15"/>
      <c r="H491" s="16" t="s">
        <v>16</v>
      </c>
      <c r="I491" s="16"/>
      <c r="J491" s="16"/>
      <c r="K491" s="1"/>
      <c r="L491" s="1"/>
      <c r="M491" s="1"/>
    </row>
    <row r="492" spans="1:13" x14ac:dyDescent="0.25">
      <c r="A492" s="20"/>
      <c r="B492" s="22" t="s">
        <v>700</v>
      </c>
      <c r="C492" s="14" t="s">
        <v>12</v>
      </c>
      <c r="D492" s="15" t="s">
        <v>452</v>
      </c>
      <c r="E492" s="15" t="s">
        <v>745</v>
      </c>
      <c r="F492" s="15"/>
      <c r="G492" s="15"/>
      <c r="H492" s="16" t="s">
        <v>16</v>
      </c>
      <c r="I492" s="16"/>
      <c r="J492" s="16"/>
      <c r="K492" s="1"/>
      <c r="L492" s="1"/>
      <c r="M492" s="1"/>
    </row>
    <row r="493" spans="1:13" x14ac:dyDescent="0.25">
      <c r="A493" s="20"/>
      <c r="B493" s="22" t="s">
        <v>747</v>
      </c>
      <c r="C493" s="14" t="s">
        <v>12</v>
      </c>
      <c r="D493" s="15" t="s">
        <v>455</v>
      </c>
      <c r="E493" s="15" t="s">
        <v>746</v>
      </c>
      <c r="F493" s="15"/>
      <c r="G493" s="15" t="s">
        <v>2795</v>
      </c>
      <c r="H493" s="16" t="s">
        <v>16</v>
      </c>
      <c r="I493" s="16">
        <v>60</v>
      </c>
      <c r="J493" s="16"/>
      <c r="K493" s="1"/>
      <c r="L493" s="1"/>
      <c r="M493" s="1"/>
    </row>
    <row r="494" spans="1:13" x14ac:dyDescent="0.25">
      <c r="A494" s="20"/>
      <c r="B494" s="22" t="s">
        <v>702</v>
      </c>
      <c r="C494" s="14" t="s">
        <v>12</v>
      </c>
      <c r="D494" s="15" t="s">
        <v>458</v>
      </c>
      <c r="E494" s="15" t="s">
        <v>748</v>
      </c>
      <c r="F494" s="15"/>
      <c r="G494" s="15"/>
      <c r="H494" s="16" t="s">
        <v>16</v>
      </c>
      <c r="I494" s="16"/>
      <c r="J494" s="16" t="s">
        <v>17</v>
      </c>
      <c r="K494" s="1"/>
      <c r="L494" s="1"/>
      <c r="M494" s="1"/>
    </row>
    <row r="495" spans="1:13" x14ac:dyDescent="0.25">
      <c r="A495" s="20"/>
      <c r="B495" s="22" t="s">
        <v>704</v>
      </c>
      <c r="C495" s="14" t="s">
        <v>12</v>
      </c>
      <c r="D495" s="15" t="s">
        <v>461</v>
      </c>
      <c r="E495" s="15" t="s">
        <v>750</v>
      </c>
      <c r="F495" s="15"/>
      <c r="G495" s="15"/>
      <c r="H495" s="16" t="s">
        <v>16</v>
      </c>
      <c r="I495" s="16"/>
      <c r="J495" s="16"/>
      <c r="K495" s="1"/>
      <c r="L495" s="1"/>
      <c r="M495" s="1"/>
    </row>
    <row r="496" spans="1:13" x14ac:dyDescent="0.25">
      <c r="A496" s="20"/>
      <c r="B496" s="22" t="s">
        <v>706</v>
      </c>
      <c r="C496" s="14" t="s">
        <v>12</v>
      </c>
      <c r="D496" s="15" t="s">
        <v>464</v>
      </c>
      <c r="E496" s="15" t="s">
        <v>752</v>
      </c>
      <c r="F496" s="15"/>
      <c r="G496" s="15"/>
      <c r="H496" s="16" t="s">
        <v>16</v>
      </c>
      <c r="I496" s="16"/>
      <c r="J496" s="16"/>
      <c r="K496" s="1"/>
      <c r="L496" s="1"/>
      <c r="M496" s="1"/>
    </row>
    <row r="497" spans="1:13" x14ac:dyDescent="0.25">
      <c r="A497" s="20"/>
      <c r="B497" s="22" t="s">
        <v>708</v>
      </c>
      <c r="C497" s="14" t="s">
        <v>12</v>
      </c>
      <c r="D497" s="15" t="s">
        <v>467</v>
      </c>
      <c r="E497" s="15" t="s">
        <v>754</v>
      </c>
      <c r="F497" s="15"/>
      <c r="G497" s="15"/>
      <c r="H497" s="16" t="s">
        <v>16</v>
      </c>
      <c r="I497" s="16"/>
      <c r="J497" s="16"/>
      <c r="K497" s="1"/>
      <c r="L497" s="1"/>
      <c r="M497" s="1"/>
    </row>
    <row r="498" spans="1:13" x14ac:dyDescent="0.25">
      <c r="A498" s="20"/>
      <c r="B498" s="22" t="s">
        <v>710</v>
      </c>
      <c r="C498" s="14" t="s">
        <v>12</v>
      </c>
      <c r="D498" s="15" t="s">
        <v>470</v>
      </c>
      <c r="E498" s="15" t="s">
        <v>756</v>
      </c>
      <c r="F498" s="15"/>
      <c r="G498" s="15"/>
      <c r="H498" s="16" t="s">
        <v>16</v>
      </c>
      <c r="I498" s="16"/>
      <c r="J498" s="16"/>
      <c r="K498" s="1"/>
      <c r="L498" s="1"/>
      <c r="M498" s="1"/>
    </row>
    <row r="499" spans="1:13" x14ac:dyDescent="0.25">
      <c r="A499" s="20"/>
      <c r="B499" s="22" t="s">
        <v>720</v>
      </c>
      <c r="C499" s="14" t="s">
        <v>12</v>
      </c>
      <c r="D499" s="15" t="s">
        <v>473</v>
      </c>
      <c r="E499" s="15" t="s">
        <v>758</v>
      </c>
      <c r="F499" s="15"/>
      <c r="G499" s="15"/>
      <c r="H499" s="16" t="s">
        <v>16</v>
      </c>
      <c r="I499" s="16"/>
      <c r="J499" s="16"/>
      <c r="K499" s="1"/>
      <c r="L499" s="1"/>
      <c r="M499" s="1"/>
    </row>
    <row r="500" spans="1:13" x14ac:dyDescent="0.25">
      <c r="A500" s="20"/>
      <c r="B500" s="22" t="s">
        <v>722</v>
      </c>
      <c r="C500" s="14" t="s">
        <v>12</v>
      </c>
      <c r="D500" s="15" t="s">
        <v>476</v>
      </c>
      <c r="E500" s="15" t="s">
        <v>760</v>
      </c>
      <c r="F500" s="15"/>
      <c r="G500" s="15"/>
      <c r="H500" s="16" t="s">
        <v>16</v>
      </c>
      <c r="I500" s="16"/>
      <c r="J500" s="16"/>
      <c r="K500" s="1"/>
      <c r="L500" s="1"/>
      <c r="M500" s="1"/>
    </row>
    <row r="501" spans="1:13" x14ac:dyDescent="0.25">
      <c r="A501" s="20"/>
      <c r="B501" s="22" t="s">
        <v>724</v>
      </c>
      <c r="C501" s="14" t="s">
        <v>12</v>
      </c>
      <c r="D501" s="15" t="s">
        <v>479</v>
      </c>
      <c r="E501" s="15" t="s">
        <v>762</v>
      </c>
      <c r="F501" s="15"/>
      <c r="G501" s="15"/>
      <c r="H501" s="16" t="s">
        <v>16</v>
      </c>
      <c r="I501" s="16"/>
      <c r="J501" s="16"/>
      <c r="K501" s="1"/>
      <c r="L501" s="1"/>
      <c r="M501" s="1"/>
    </row>
    <row r="502" spans="1:13" x14ac:dyDescent="0.25">
      <c r="A502" s="20"/>
      <c r="B502" s="22" t="s">
        <v>728</v>
      </c>
      <c r="C502" s="14" t="s">
        <v>12</v>
      </c>
      <c r="D502" s="15" t="s">
        <v>482</v>
      </c>
      <c r="E502" s="15" t="s">
        <v>764</v>
      </c>
      <c r="F502" s="15"/>
      <c r="G502" s="15"/>
      <c r="H502" s="16" t="s">
        <v>16</v>
      </c>
      <c r="I502" s="16"/>
      <c r="J502" s="16"/>
      <c r="K502" s="1"/>
      <c r="L502" s="1"/>
      <c r="M502" s="1"/>
    </row>
    <row r="503" spans="1:13" x14ac:dyDescent="0.25">
      <c r="A503" s="20"/>
      <c r="B503" s="22" t="s">
        <v>2836</v>
      </c>
      <c r="C503" s="14" t="s">
        <v>12</v>
      </c>
      <c r="D503" s="15" t="s">
        <v>485</v>
      </c>
      <c r="E503" s="15" t="s">
        <v>766</v>
      </c>
      <c r="F503" s="15"/>
      <c r="G503" s="15" t="s">
        <v>2833</v>
      </c>
      <c r="H503" s="16" t="s">
        <v>16</v>
      </c>
      <c r="I503" s="16">
        <v>6</v>
      </c>
      <c r="J503" s="16" t="s">
        <v>2841</v>
      </c>
      <c r="K503" s="1"/>
      <c r="L503" s="1"/>
      <c r="M503" s="1"/>
    </row>
    <row r="504" spans="1:13" x14ac:dyDescent="0.25">
      <c r="A504" s="20"/>
      <c r="B504" s="22" t="s">
        <v>2831</v>
      </c>
      <c r="C504" s="14" t="s">
        <v>12</v>
      </c>
      <c r="D504" s="15" t="s">
        <v>488</v>
      </c>
      <c r="E504" s="15" t="s">
        <v>768</v>
      </c>
      <c r="F504" s="15"/>
      <c r="G504" s="15" t="s">
        <v>2804</v>
      </c>
      <c r="H504" s="16" t="s">
        <v>16</v>
      </c>
      <c r="I504" s="16">
        <v>8</v>
      </c>
      <c r="J504" s="16"/>
      <c r="K504" s="1"/>
      <c r="L504" s="1"/>
      <c r="M504" s="1"/>
    </row>
    <row r="505" spans="1:13" x14ac:dyDescent="0.25">
      <c r="A505" s="20"/>
      <c r="B505" s="22" t="s">
        <v>2849</v>
      </c>
      <c r="C505" s="14" t="s">
        <v>12</v>
      </c>
      <c r="D505" s="15" t="s">
        <v>491</v>
      </c>
      <c r="E505" s="15" t="s">
        <v>3987</v>
      </c>
      <c r="F505" s="15" t="s">
        <v>2850</v>
      </c>
      <c r="G505" s="15" t="s">
        <v>2833</v>
      </c>
      <c r="H505" s="16" t="s">
        <v>16</v>
      </c>
      <c r="I505" s="16">
        <v>1</v>
      </c>
      <c r="J505" s="16"/>
      <c r="K505" s="1"/>
      <c r="L505" s="1"/>
      <c r="M505" s="1"/>
    </row>
    <row r="506" spans="1:13" x14ac:dyDescent="0.25">
      <c r="A506" s="20"/>
      <c r="B506" s="22" t="s">
        <v>2877</v>
      </c>
      <c r="C506" s="14" t="s">
        <v>12</v>
      </c>
      <c r="D506" s="15" t="s">
        <v>494</v>
      </c>
      <c r="E506" s="15" t="s">
        <v>771</v>
      </c>
      <c r="F506" s="15"/>
      <c r="G506" s="15" t="s">
        <v>2804</v>
      </c>
      <c r="H506" s="16" t="s">
        <v>2878</v>
      </c>
      <c r="I506" s="16">
        <v>30</v>
      </c>
      <c r="J506" s="16"/>
      <c r="K506" s="1"/>
      <c r="L506" s="1"/>
      <c r="M506" s="1"/>
    </row>
    <row r="507" spans="1:13" x14ac:dyDescent="0.25">
      <c r="A507" s="20"/>
      <c r="B507" s="22" t="s">
        <v>2821</v>
      </c>
      <c r="C507" s="14" t="s">
        <v>12</v>
      </c>
      <c r="D507" s="15" t="s">
        <v>497</v>
      </c>
      <c r="E507" s="15" t="s">
        <v>773</v>
      </c>
      <c r="F507" s="15" t="s">
        <v>2822</v>
      </c>
      <c r="G507" s="15" t="s">
        <v>2813</v>
      </c>
      <c r="H507" s="16" t="s">
        <v>16</v>
      </c>
      <c r="I507" s="16">
        <v>19</v>
      </c>
      <c r="J507" s="16"/>
      <c r="K507" s="1"/>
      <c r="L507" s="1"/>
      <c r="M507" s="1"/>
    </row>
    <row r="508" spans="1:13" x14ac:dyDescent="0.25">
      <c r="A508" s="20"/>
      <c r="B508" s="22" t="s">
        <v>2839</v>
      </c>
      <c r="C508" s="14" t="s">
        <v>12</v>
      </c>
      <c r="D508" s="15" t="s">
        <v>500</v>
      </c>
      <c r="E508" s="15" t="s">
        <v>775</v>
      </c>
      <c r="F508" s="15"/>
      <c r="G508" s="15" t="s">
        <v>2833</v>
      </c>
      <c r="H508" s="16" t="s">
        <v>16</v>
      </c>
      <c r="I508" s="16">
        <v>10</v>
      </c>
      <c r="J508" s="16" t="s">
        <v>2841</v>
      </c>
      <c r="K508" s="1"/>
      <c r="L508" s="1"/>
      <c r="M508" s="1"/>
    </row>
    <row r="509" spans="1:13" x14ac:dyDescent="0.25">
      <c r="A509" s="20"/>
      <c r="B509" s="22" t="s">
        <v>730</v>
      </c>
      <c r="C509" s="14" t="s">
        <v>12</v>
      </c>
      <c r="D509" s="15" t="s">
        <v>503</v>
      </c>
      <c r="E509" s="15" t="s">
        <v>777</v>
      </c>
      <c r="F509" s="15"/>
      <c r="G509" s="15"/>
      <c r="H509" s="16" t="s">
        <v>16</v>
      </c>
      <c r="I509" s="16"/>
      <c r="J509" s="16"/>
      <c r="K509" s="1"/>
      <c r="L509" s="1"/>
      <c r="M509" s="1"/>
    </row>
    <row r="510" spans="1:13" x14ac:dyDescent="0.25">
      <c r="A510" s="20"/>
      <c r="B510" s="22" t="s">
        <v>732</v>
      </c>
      <c r="C510" s="14" t="s">
        <v>12</v>
      </c>
      <c r="D510" s="15" t="s">
        <v>506</v>
      </c>
      <c r="E510" s="15" t="s">
        <v>779</v>
      </c>
      <c r="F510" s="15"/>
      <c r="G510" s="15"/>
      <c r="H510" s="16" t="s">
        <v>16</v>
      </c>
      <c r="I510" s="16"/>
      <c r="J510" s="16"/>
      <c r="K510" s="1"/>
      <c r="L510" s="1"/>
      <c r="M510" s="1"/>
    </row>
    <row r="511" spans="1:13" x14ac:dyDescent="0.25">
      <c r="A511" s="20"/>
      <c r="B511" s="22" t="s">
        <v>734</v>
      </c>
      <c r="C511" s="14" t="s">
        <v>12</v>
      </c>
      <c r="D511" s="15" t="s">
        <v>509</v>
      </c>
      <c r="E511" s="15" t="s">
        <v>781</v>
      </c>
      <c r="F511" s="15"/>
      <c r="G511" s="15"/>
      <c r="H511" s="16" t="s">
        <v>16</v>
      </c>
      <c r="I511" s="16"/>
      <c r="J511" s="16"/>
      <c r="K511" s="1"/>
      <c r="L511" s="1"/>
      <c r="M511" s="1"/>
    </row>
    <row r="512" spans="1:13" x14ac:dyDescent="0.25">
      <c r="A512" s="20"/>
      <c r="B512" s="22" t="s">
        <v>736</v>
      </c>
      <c r="C512" s="14" t="s">
        <v>12</v>
      </c>
      <c r="D512" s="15" t="s">
        <v>512</v>
      </c>
      <c r="E512" s="15" t="s">
        <v>783</v>
      </c>
      <c r="F512" s="15"/>
      <c r="G512" s="15"/>
      <c r="H512" s="16" t="s">
        <v>16</v>
      </c>
      <c r="I512" s="16"/>
      <c r="J512" s="16"/>
      <c r="K512" s="1"/>
      <c r="L512" s="1"/>
      <c r="M512" s="1"/>
    </row>
    <row r="513" spans="1:13" x14ac:dyDescent="0.25">
      <c r="A513" s="20"/>
      <c r="B513" s="22" t="s">
        <v>738</v>
      </c>
      <c r="C513" s="14" t="s">
        <v>12</v>
      </c>
      <c r="D513" s="15" t="s">
        <v>515</v>
      </c>
      <c r="E513" s="15" t="s">
        <v>785</v>
      </c>
      <c r="F513" s="15"/>
      <c r="G513" s="15"/>
      <c r="H513" s="16" t="s">
        <v>16</v>
      </c>
      <c r="I513" s="16"/>
      <c r="J513" s="16"/>
      <c r="K513" s="1"/>
      <c r="L513" s="1"/>
      <c r="M513" s="1"/>
    </row>
    <row r="514" spans="1:13" x14ac:dyDescent="0.25">
      <c r="A514" s="20"/>
      <c r="B514" s="22" t="s">
        <v>740</v>
      </c>
      <c r="C514" s="14" t="s">
        <v>12</v>
      </c>
      <c r="D514" s="15" t="s">
        <v>518</v>
      </c>
      <c r="E514" s="15" t="s">
        <v>787</v>
      </c>
      <c r="F514" s="15"/>
      <c r="G514" s="15"/>
      <c r="H514" s="16" t="s">
        <v>16</v>
      </c>
      <c r="I514" s="16"/>
      <c r="J514" s="16"/>
      <c r="K514" s="1"/>
      <c r="L514" s="1"/>
      <c r="M514" s="1"/>
    </row>
    <row r="515" spans="1:13" x14ac:dyDescent="0.25">
      <c r="A515" s="93"/>
      <c r="B515" s="22" t="s">
        <v>742</v>
      </c>
      <c r="C515" s="14" t="s">
        <v>12</v>
      </c>
      <c r="D515" s="15" t="s">
        <v>521</v>
      </c>
      <c r="E515" s="15" t="s">
        <v>789</v>
      </c>
      <c r="F515" s="15"/>
      <c r="G515" s="15"/>
      <c r="H515" s="16" t="s">
        <v>16</v>
      </c>
      <c r="I515" s="16"/>
      <c r="J515" s="16"/>
      <c r="K515" s="1"/>
      <c r="L515" s="1"/>
    </row>
    <row r="516" spans="1:13" x14ac:dyDescent="0.25">
      <c r="A516" s="20"/>
      <c r="B516" s="22" t="s">
        <v>744</v>
      </c>
      <c r="C516" s="14" t="s">
        <v>12</v>
      </c>
      <c r="D516" s="15" t="s">
        <v>524</v>
      </c>
      <c r="E516" s="15" t="s">
        <v>791</v>
      </c>
      <c r="F516" s="15"/>
      <c r="G516" s="15"/>
      <c r="H516" s="16" t="s">
        <v>16</v>
      </c>
      <c r="I516" s="16"/>
      <c r="J516" s="16"/>
      <c r="K516" s="1"/>
      <c r="L516" s="1"/>
    </row>
    <row r="517" spans="1:13" x14ac:dyDescent="0.25">
      <c r="A517" s="20"/>
      <c r="B517" s="22" t="s">
        <v>726</v>
      </c>
      <c r="C517" s="14" t="s">
        <v>12</v>
      </c>
      <c r="D517" s="15" t="s">
        <v>527</v>
      </c>
      <c r="E517" s="15" t="s">
        <v>793</v>
      </c>
      <c r="F517" s="15"/>
      <c r="G517" s="15"/>
      <c r="H517" s="16" t="s">
        <v>16</v>
      </c>
      <c r="I517" s="16"/>
      <c r="J517" s="16"/>
      <c r="K517" s="1"/>
      <c r="L517" s="1"/>
    </row>
    <row r="518" spans="1:13" x14ac:dyDescent="0.25">
      <c r="A518" s="20"/>
      <c r="B518" s="22" t="s">
        <v>749</v>
      </c>
      <c r="C518" s="14" t="s">
        <v>12</v>
      </c>
      <c r="D518" s="15" t="s">
        <v>530</v>
      </c>
      <c r="E518" s="15" t="s">
        <v>795</v>
      </c>
      <c r="F518" s="15"/>
      <c r="G518" s="15"/>
      <c r="H518" s="16" t="s">
        <v>16</v>
      </c>
      <c r="I518" s="16"/>
      <c r="J518" s="16"/>
      <c r="K518" s="1"/>
      <c r="L518" s="1"/>
      <c r="M518" s="1"/>
    </row>
    <row r="519" spans="1:13" x14ac:dyDescent="0.25">
      <c r="A519" s="20"/>
      <c r="B519" s="22" t="s">
        <v>751</v>
      </c>
      <c r="C519" s="14" t="s">
        <v>12</v>
      </c>
      <c r="D519" s="15" t="s">
        <v>533</v>
      </c>
      <c r="E519" s="15" t="s">
        <v>797</v>
      </c>
      <c r="F519" s="15"/>
      <c r="G519" s="15" t="s">
        <v>2833</v>
      </c>
      <c r="H519" s="16" t="s">
        <v>16</v>
      </c>
      <c r="I519" s="16">
        <v>145</v>
      </c>
      <c r="J519" s="16"/>
      <c r="K519" s="1"/>
      <c r="L519" s="1"/>
      <c r="M519" s="1"/>
    </row>
    <row r="520" spans="1:13" x14ac:dyDescent="0.25">
      <c r="A520" s="20"/>
      <c r="B520" s="22" t="s">
        <v>753</v>
      </c>
      <c r="C520" s="14" t="s">
        <v>12</v>
      </c>
      <c r="D520" s="15" t="s">
        <v>536</v>
      </c>
      <c r="E520" s="15" t="s">
        <v>799</v>
      </c>
      <c r="F520" s="15"/>
      <c r="G520" s="15"/>
      <c r="H520" s="16" t="s">
        <v>16</v>
      </c>
      <c r="I520" s="16"/>
      <c r="J520" s="16"/>
      <c r="K520" s="1"/>
      <c r="L520" s="1"/>
      <c r="M520" s="1"/>
    </row>
    <row r="521" spans="1:13" x14ac:dyDescent="0.25">
      <c r="A521" s="20"/>
      <c r="B521" s="32" t="s">
        <v>755</v>
      </c>
      <c r="C521" s="17" t="s">
        <v>12</v>
      </c>
      <c r="D521" s="15" t="s">
        <v>539</v>
      </c>
      <c r="E521" s="15" t="s">
        <v>801</v>
      </c>
      <c r="F521" s="18"/>
      <c r="G521" s="18"/>
      <c r="H521" s="19" t="s">
        <v>16</v>
      </c>
      <c r="I521" s="19"/>
      <c r="J521" s="19"/>
      <c r="K521" s="1"/>
      <c r="L521" s="1"/>
      <c r="M521" s="1"/>
    </row>
    <row r="522" spans="1:13" x14ac:dyDescent="0.25">
      <c r="A522" s="20"/>
      <c r="B522" s="32" t="s">
        <v>757</v>
      </c>
      <c r="C522" s="17" t="s">
        <v>12</v>
      </c>
      <c r="D522" s="15" t="s">
        <v>542</v>
      </c>
      <c r="E522" s="15" t="s">
        <v>3988</v>
      </c>
      <c r="F522" s="18"/>
      <c r="G522" s="18" t="s">
        <v>3011</v>
      </c>
      <c r="H522" s="19" t="s">
        <v>16</v>
      </c>
      <c r="I522" s="19">
        <v>20</v>
      </c>
      <c r="J522" s="19"/>
      <c r="K522" s="1"/>
      <c r="L522" s="1"/>
      <c r="M522" s="1"/>
    </row>
    <row r="523" spans="1:13" x14ac:dyDescent="0.25">
      <c r="A523" s="20"/>
      <c r="B523" s="22" t="s">
        <v>759</v>
      </c>
      <c r="C523" s="14" t="s">
        <v>12</v>
      </c>
      <c r="D523" s="15" t="s">
        <v>545</v>
      </c>
      <c r="E523" s="15" t="s">
        <v>3989</v>
      </c>
      <c r="F523" s="15"/>
      <c r="G523" s="15"/>
      <c r="H523" s="16" t="s">
        <v>16</v>
      </c>
      <c r="I523" s="16"/>
      <c r="J523" s="16"/>
      <c r="K523" s="1"/>
      <c r="L523" s="1"/>
      <c r="M523" s="1"/>
    </row>
    <row r="524" spans="1:13" x14ac:dyDescent="0.25">
      <c r="A524" s="20"/>
      <c r="B524" s="22" t="s">
        <v>761</v>
      </c>
      <c r="C524" s="14" t="s">
        <v>12</v>
      </c>
      <c r="D524" s="15" t="s">
        <v>548</v>
      </c>
      <c r="E524" s="15" t="s">
        <v>3990</v>
      </c>
      <c r="F524" s="15"/>
      <c r="G524" s="15" t="s">
        <v>2833</v>
      </c>
      <c r="H524" s="16" t="s">
        <v>16</v>
      </c>
      <c r="I524" s="16">
        <v>80</v>
      </c>
      <c r="J524" s="16"/>
      <c r="K524" s="1"/>
      <c r="L524" s="1"/>
      <c r="M524" s="1"/>
    </row>
    <row r="525" spans="1:13" x14ac:dyDescent="0.25">
      <c r="A525" s="20"/>
      <c r="B525" s="22" t="s">
        <v>763</v>
      </c>
      <c r="C525" s="14" t="s">
        <v>12</v>
      </c>
      <c r="D525" s="15" t="s">
        <v>551</v>
      </c>
      <c r="E525" s="15" t="s">
        <v>3991</v>
      </c>
      <c r="F525" s="15"/>
      <c r="G525" s="15"/>
      <c r="H525" s="16" t="s">
        <v>16</v>
      </c>
      <c r="I525" s="16"/>
      <c r="J525" s="16"/>
      <c r="K525" s="1"/>
      <c r="L525" s="1"/>
      <c r="M525" s="1"/>
    </row>
    <row r="526" spans="1:13" x14ac:dyDescent="0.25">
      <c r="A526" s="20"/>
      <c r="B526" s="32" t="s">
        <v>765</v>
      </c>
      <c r="C526" s="17" t="s">
        <v>12</v>
      </c>
      <c r="D526" s="15" t="s">
        <v>554</v>
      </c>
      <c r="E526" s="15" t="s">
        <v>3992</v>
      </c>
      <c r="F526" s="18"/>
      <c r="G526" s="18"/>
      <c r="H526" s="19" t="s">
        <v>16</v>
      </c>
      <c r="I526" s="19"/>
      <c r="J526" s="16"/>
      <c r="K526" s="1"/>
      <c r="L526" s="1"/>
      <c r="M526" s="1"/>
    </row>
    <row r="527" spans="1:13" x14ac:dyDescent="0.25">
      <c r="A527" s="20"/>
      <c r="B527" s="111" t="s">
        <v>3033</v>
      </c>
      <c r="C527" s="114" t="s">
        <v>12</v>
      </c>
      <c r="D527" s="15" t="s">
        <v>557</v>
      </c>
      <c r="E527" s="15" t="s">
        <v>3993</v>
      </c>
      <c r="F527" s="112"/>
      <c r="G527" s="112" t="s">
        <v>3017</v>
      </c>
      <c r="H527" s="19" t="s">
        <v>16</v>
      </c>
      <c r="I527" s="19">
        <v>31</v>
      </c>
      <c r="J527" s="16"/>
      <c r="K527" s="1"/>
      <c r="L527" s="1"/>
    </row>
    <row r="528" spans="1:13" x14ac:dyDescent="0.25">
      <c r="A528" s="20"/>
      <c r="B528" s="111" t="s">
        <v>3099</v>
      </c>
      <c r="C528" s="114" t="s">
        <v>12</v>
      </c>
      <c r="D528" s="15" t="s">
        <v>560</v>
      </c>
      <c r="E528" s="15" t="s">
        <v>3994</v>
      </c>
      <c r="F528" s="112"/>
      <c r="G528" s="112" t="s">
        <v>2873</v>
      </c>
      <c r="H528" s="19" t="s">
        <v>16</v>
      </c>
      <c r="I528" s="19">
        <v>108</v>
      </c>
      <c r="J528" s="16"/>
      <c r="K528" s="1"/>
      <c r="L528" s="1"/>
    </row>
    <row r="529" spans="1:13" x14ac:dyDescent="0.25">
      <c r="A529" s="20"/>
      <c r="B529" s="111" t="s">
        <v>3103</v>
      </c>
      <c r="C529" s="114" t="s">
        <v>12</v>
      </c>
      <c r="D529" s="15" t="s">
        <v>563</v>
      </c>
      <c r="E529" s="15" t="s">
        <v>3995</v>
      </c>
      <c r="F529" s="112"/>
      <c r="G529" s="112" t="s">
        <v>2873</v>
      </c>
      <c r="H529" s="19" t="s">
        <v>16</v>
      </c>
      <c r="I529" s="19">
        <v>29</v>
      </c>
      <c r="J529" s="16"/>
      <c r="K529" s="1"/>
      <c r="L529" s="1"/>
    </row>
    <row r="530" spans="1:13" x14ac:dyDescent="0.25">
      <c r="A530" s="20"/>
      <c r="B530" s="22" t="s">
        <v>767</v>
      </c>
      <c r="C530" s="14" t="s">
        <v>12</v>
      </c>
      <c r="D530" s="15" t="s">
        <v>566</v>
      </c>
      <c r="E530" s="15" t="s">
        <v>3996</v>
      </c>
      <c r="F530" s="15"/>
      <c r="G530" s="15"/>
      <c r="H530" s="16" t="s">
        <v>16</v>
      </c>
      <c r="I530" s="16"/>
      <c r="J530" s="16"/>
      <c r="K530" s="1"/>
      <c r="L530" s="1"/>
      <c r="M530" s="1"/>
    </row>
    <row r="531" spans="1:13" x14ac:dyDescent="0.25">
      <c r="A531" s="20"/>
      <c r="B531" s="22" t="s">
        <v>770</v>
      </c>
      <c r="C531" s="14" t="s">
        <v>12</v>
      </c>
      <c r="D531" s="15" t="s">
        <v>569</v>
      </c>
      <c r="E531" s="15" t="s">
        <v>3997</v>
      </c>
      <c r="F531" s="15"/>
      <c r="G531" s="15"/>
      <c r="H531" s="16" t="s">
        <v>16</v>
      </c>
      <c r="I531" s="16"/>
      <c r="J531" s="16"/>
      <c r="K531" s="1"/>
      <c r="L531" s="1"/>
      <c r="M531" s="1"/>
    </row>
    <row r="532" spans="1:13" x14ac:dyDescent="0.25">
      <c r="A532" s="20"/>
      <c r="B532" s="22" t="s">
        <v>772</v>
      </c>
      <c r="C532" s="14" t="s">
        <v>12</v>
      </c>
      <c r="D532" s="15" t="s">
        <v>572</v>
      </c>
      <c r="E532" s="15" t="s">
        <v>3998</v>
      </c>
      <c r="F532" s="15"/>
      <c r="G532" s="15"/>
      <c r="H532" s="16" t="s">
        <v>16</v>
      </c>
      <c r="I532" s="16"/>
      <c r="J532" s="16"/>
      <c r="K532" s="1"/>
      <c r="L532" s="1"/>
      <c r="M532" s="1"/>
    </row>
    <row r="533" spans="1:13" x14ac:dyDescent="0.25">
      <c r="A533" s="20"/>
      <c r="B533" s="32" t="s">
        <v>774</v>
      </c>
      <c r="C533" s="17" t="s">
        <v>12</v>
      </c>
      <c r="D533" s="15" t="s">
        <v>575</v>
      </c>
      <c r="E533" s="15" t="s">
        <v>3999</v>
      </c>
      <c r="F533" s="18"/>
      <c r="G533" s="18"/>
      <c r="H533" s="19" t="s">
        <v>16</v>
      </c>
      <c r="I533" s="19"/>
      <c r="J533" s="16"/>
      <c r="K533" s="1"/>
      <c r="L533" s="1"/>
      <c r="M533" s="1"/>
    </row>
    <row r="534" spans="1:13" x14ac:dyDescent="0.25">
      <c r="A534" s="20"/>
      <c r="B534" s="22" t="s">
        <v>800</v>
      </c>
      <c r="C534" s="17"/>
      <c r="D534" s="15" t="s">
        <v>578</v>
      </c>
      <c r="E534" s="15" t="s">
        <v>4000</v>
      </c>
      <c r="F534" s="15"/>
      <c r="G534" s="15"/>
      <c r="H534" s="16" t="s">
        <v>16</v>
      </c>
      <c r="I534" s="16"/>
      <c r="J534" s="16" t="s">
        <v>17</v>
      </c>
      <c r="K534" s="1"/>
      <c r="L534" s="1"/>
      <c r="M534" s="1"/>
    </row>
    <row r="535" spans="1:13" x14ac:dyDescent="0.25">
      <c r="A535" s="20"/>
      <c r="B535" s="22" t="s">
        <v>776</v>
      </c>
      <c r="C535" s="14" t="s">
        <v>88</v>
      </c>
      <c r="D535" s="15" t="s">
        <v>1411</v>
      </c>
      <c r="E535" s="15" t="s">
        <v>4001</v>
      </c>
      <c r="F535" s="15"/>
      <c r="G535" s="15"/>
      <c r="H535" s="16" t="s">
        <v>16</v>
      </c>
      <c r="I535" s="16"/>
      <c r="J535" s="16"/>
      <c r="K535" s="1"/>
      <c r="L535" s="1"/>
      <c r="M535" s="1"/>
    </row>
    <row r="536" spans="1:13" x14ac:dyDescent="0.25">
      <c r="A536" s="20"/>
      <c r="B536" s="22" t="s">
        <v>778</v>
      </c>
      <c r="C536" s="14" t="s">
        <v>88</v>
      </c>
      <c r="D536" s="15" t="s">
        <v>1414</v>
      </c>
      <c r="E536" s="15" t="s">
        <v>4002</v>
      </c>
      <c r="F536" s="15"/>
      <c r="G536" s="15"/>
      <c r="H536" s="16" t="s">
        <v>16</v>
      </c>
      <c r="I536" s="16"/>
      <c r="J536" s="16"/>
      <c r="K536" s="1"/>
      <c r="L536" s="1"/>
      <c r="M536" s="1"/>
    </row>
    <row r="537" spans="1:13" x14ac:dyDescent="0.25">
      <c r="A537" s="20"/>
      <c r="B537" s="22" t="s">
        <v>3086</v>
      </c>
      <c r="C537" s="14" t="s">
        <v>88</v>
      </c>
      <c r="D537" s="15" t="s">
        <v>1417</v>
      </c>
      <c r="E537" s="15" t="s">
        <v>4003</v>
      </c>
      <c r="F537" s="15"/>
      <c r="G537" s="15" t="s">
        <v>2802</v>
      </c>
      <c r="H537" s="16" t="s">
        <v>16</v>
      </c>
      <c r="I537" s="16">
        <v>28</v>
      </c>
      <c r="J537" s="16"/>
      <c r="K537" s="1"/>
      <c r="L537" s="1"/>
      <c r="M537" s="1"/>
    </row>
    <row r="538" spans="1:13" x14ac:dyDescent="0.25">
      <c r="A538" s="20"/>
      <c r="B538" s="22" t="s">
        <v>3087</v>
      </c>
      <c r="C538" s="14" t="s">
        <v>88</v>
      </c>
      <c r="D538" s="15" t="s">
        <v>1420</v>
      </c>
      <c r="E538" s="15" t="s">
        <v>4004</v>
      </c>
      <c r="F538" s="15"/>
      <c r="G538" s="15" t="s">
        <v>2802</v>
      </c>
      <c r="H538" s="16" t="s">
        <v>16</v>
      </c>
      <c r="I538" s="16">
        <v>10</v>
      </c>
      <c r="J538" s="16"/>
      <c r="K538" s="1"/>
      <c r="L538" s="1"/>
      <c r="M538" s="1"/>
    </row>
    <row r="539" spans="1:13" x14ac:dyDescent="0.25">
      <c r="A539" s="20"/>
      <c r="B539" s="22" t="s">
        <v>3085</v>
      </c>
      <c r="C539" s="14" t="s">
        <v>88</v>
      </c>
      <c r="D539" s="15" t="s">
        <v>1423</v>
      </c>
      <c r="E539" s="15" t="s">
        <v>4005</v>
      </c>
      <c r="F539" s="15"/>
      <c r="G539" s="15" t="s">
        <v>2802</v>
      </c>
      <c r="H539" s="16" t="s">
        <v>16</v>
      </c>
      <c r="I539" s="16">
        <v>18</v>
      </c>
      <c r="J539" s="16"/>
      <c r="K539" s="1"/>
      <c r="L539" s="1"/>
      <c r="M539" s="1"/>
    </row>
    <row r="540" spans="1:13" x14ac:dyDescent="0.25">
      <c r="A540" s="20"/>
      <c r="B540" s="22" t="s">
        <v>3088</v>
      </c>
      <c r="C540" s="14" t="s">
        <v>88</v>
      </c>
      <c r="D540" s="15" t="s">
        <v>1426</v>
      </c>
      <c r="E540" s="15" t="s">
        <v>4006</v>
      </c>
      <c r="F540" s="15"/>
      <c r="G540" s="15" t="s">
        <v>2802</v>
      </c>
      <c r="H540" s="16" t="s">
        <v>16</v>
      </c>
      <c r="I540" s="16">
        <v>84</v>
      </c>
      <c r="J540" s="16"/>
      <c r="K540" s="1"/>
      <c r="L540" s="1"/>
      <c r="M540" s="1"/>
    </row>
    <row r="541" spans="1:13" x14ac:dyDescent="0.25">
      <c r="A541" s="20"/>
      <c r="B541" s="22" t="s">
        <v>3084</v>
      </c>
      <c r="C541" s="14" t="s">
        <v>88</v>
      </c>
      <c r="D541" s="15" t="s">
        <v>1429</v>
      </c>
      <c r="E541" s="15" t="s">
        <v>4007</v>
      </c>
      <c r="F541" s="15"/>
      <c r="G541" s="15" t="s">
        <v>2802</v>
      </c>
      <c r="H541" s="16" t="s">
        <v>16</v>
      </c>
      <c r="I541" s="16">
        <v>26</v>
      </c>
      <c r="J541" s="16"/>
      <c r="K541" s="1"/>
      <c r="L541" s="1"/>
      <c r="M541" s="1"/>
    </row>
    <row r="542" spans="1:13" x14ac:dyDescent="0.25">
      <c r="A542" s="20"/>
      <c r="B542" s="22" t="s">
        <v>3083</v>
      </c>
      <c r="C542" s="14" t="s">
        <v>88</v>
      </c>
      <c r="D542" s="15" t="s">
        <v>1432</v>
      </c>
      <c r="E542" s="15" t="s">
        <v>4008</v>
      </c>
      <c r="F542" s="15"/>
      <c r="G542" s="15" t="s">
        <v>2802</v>
      </c>
      <c r="H542" s="16" t="s">
        <v>16</v>
      </c>
      <c r="I542" s="16">
        <v>6</v>
      </c>
      <c r="J542" s="16"/>
      <c r="K542" s="1"/>
      <c r="L542" s="1"/>
      <c r="M542" s="1"/>
    </row>
    <row r="543" spans="1:13" x14ac:dyDescent="0.25">
      <c r="A543" s="20"/>
      <c r="B543" s="22" t="s">
        <v>780</v>
      </c>
      <c r="C543" s="14" t="s">
        <v>88</v>
      </c>
      <c r="D543" s="15" t="s">
        <v>1435</v>
      </c>
      <c r="E543" s="15" t="s">
        <v>4009</v>
      </c>
      <c r="F543" s="15"/>
      <c r="G543" s="15"/>
      <c r="H543" s="16" t="s">
        <v>16</v>
      </c>
      <c r="I543" s="16"/>
      <c r="J543" s="16"/>
      <c r="K543" s="1"/>
      <c r="L543" s="1"/>
      <c r="M543" s="1"/>
    </row>
    <row r="544" spans="1:13" x14ac:dyDescent="0.25">
      <c r="A544" s="20"/>
      <c r="B544" s="22" t="s">
        <v>3015</v>
      </c>
      <c r="C544" s="14" t="s">
        <v>88</v>
      </c>
      <c r="D544" s="15" t="s">
        <v>1438</v>
      </c>
      <c r="E544" s="15" t="s">
        <v>4010</v>
      </c>
      <c r="F544" s="15"/>
      <c r="G544" s="15" t="s">
        <v>2954</v>
      </c>
      <c r="H544" s="16" t="s">
        <v>16</v>
      </c>
      <c r="I544" s="16">
        <v>5</v>
      </c>
      <c r="J544" s="16"/>
      <c r="K544" s="1"/>
      <c r="L544" s="1"/>
      <c r="M544" s="1"/>
    </row>
    <row r="545" spans="1:13" x14ac:dyDescent="0.25">
      <c r="A545" s="20"/>
      <c r="B545" s="22" t="s">
        <v>2654</v>
      </c>
      <c r="C545" s="14" t="s">
        <v>88</v>
      </c>
      <c r="D545" s="15" t="s">
        <v>1441</v>
      </c>
      <c r="E545" s="15" t="s">
        <v>4011</v>
      </c>
      <c r="F545" s="15"/>
      <c r="G545" s="15" t="s">
        <v>2398</v>
      </c>
      <c r="H545" s="16" t="s">
        <v>16</v>
      </c>
      <c r="I545" s="16">
        <v>1</v>
      </c>
      <c r="J545" s="16" t="s">
        <v>2655</v>
      </c>
      <c r="K545" s="1"/>
      <c r="L545" s="1"/>
      <c r="M545" s="1"/>
    </row>
    <row r="546" spans="1:13" x14ac:dyDescent="0.25">
      <c r="A546" s="93"/>
      <c r="B546" s="22" t="s">
        <v>782</v>
      </c>
      <c r="C546" s="14" t="s">
        <v>12</v>
      </c>
      <c r="D546" s="15" t="s">
        <v>1444</v>
      </c>
      <c r="E546" s="15" t="s">
        <v>4012</v>
      </c>
      <c r="F546" s="15"/>
      <c r="G546" s="15"/>
      <c r="H546" s="16" t="s">
        <v>16</v>
      </c>
      <c r="I546" s="16"/>
      <c r="J546" s="16"/>
      <c r="K546" s="1"/>
      <c r="L546" s="1"/>
    </row>
    <row r="547" spans="1:13" x14ac:dyDescent="0.25">
      <c r="A547" s="20"/>
      <c r="B547" s="22" t="s">
        <v>784</v>
      </c>
      <c r="C547" s="14" t="s">
        <v>12</v>
      </c>
      <c r="D547" s="15" t="s">
        <v>1447</v>
      </c>
      <c r="E547" s="15" t="s">
        <v>4013</v>
      </c>
      <c r="F547" s="15"/>
      <c r="G547" s="15"/>
      <c r="H547" s="16" t="s">
        <v>16</v>
      </c>
      <c r="I547" s="16"/>
      <c r="J547" s="16"/>
      <c r="K547" s="1"/>
      <c r="L547" s="1"/>
      <c r="M547" s="1"/>
    </row>
    <row r="548" spans="1:13" x14ac:dyDescent="0.25">
      <c r="A548" s="20"/>
      <c r="B548" s="22" t="s">
        <v>786</v>
      </c>
      <c r="C548" s="14" t="s">
        <v>12</v>
      </c>
      <c r="D548" s="15" t="s">
        <v>1450</v>
      </c>
      <c r="E548" s="15" t="s">
        <v>4014</v>
      </c>
      <c r="F548" s="15" t="s">
        <v>3121</v>
      </c>
      <c r="G548" s="15" t="s">
        <v>2833</v>
      </c>
      <c r="H548" s="16" t="s">
        <v>16</v>
      </c>
      <c r="I548" s="16">
        <v>7</v>
      </c>
      <c r="J548" s="16"/>
      <c r="K548" s="1"/>
      <c r="L548" s="1"/>
      <c r="M548" s="1"/>
    </row>
    <row r="549" spans="1:13" x14ac:dyDescent="0.25">
      <c r="A549" s="20"/>
      <c r="B549" s="22" t="s">
        <v>2848</v>
      </c>
      <c r="C549" s="14" t="s">
        <v>12</v>
      </c>
      <c r="D549" s="15" t="s">
        <v>1453</v>
      </c>
      <c r="E549" s="15" t="s">
        <v>4015</v>
      </c>
      <c r="F549" s="15" t="s">
        <v>2523</v>
      </c>
      <c r="G549" s="15" t="s">
        <v>2833</v>
      </c>
      <c r="H549" s="16" t="s">
        <v>16</v>
      </c>
      <c r="I549" s="16">
        <v>10</v>
      </c>
      <c r="J549" s="16" t="s">
        <v>2841</v>
      </c>
      <c r="K549" s="1"/>
      <c r="L549" s="1"/>
    </row>
    <row r="550" spans="1:13" x14ac:dyDescent="0.25">
      <c r="A550" s="36"/>
      <c r="B550" s="22" t="s">
        <v>792</v>
      </c>
      <c r="C550" s="14" t="s">
        <v>12</v>
      </c>
      <c r="D550" s="15" t="s">
        <v>1456</v>
      </c>
      <c r="E550" s="15" t="s">
        <v>4016</v>
      </c>
      <c r="F550" s="15"/>
      <c r="G550" s="15"/>
      <c r="H550" s="16" t="s">
        <v>16</v>
      </c>
      <c r="I550" s="16"/>
      <c r="J550" s="16"/>
      <c r="K550" s="1"/>
      <c r="L550" s="1"/>
      <c r="M550" s="1"/>
    </row>
    <row r="551" spans="1:13" x14ac:dyDescent="0.25">
      <c r="A551" s="20"/>
      <c r="B551" s="22" t="s">
        <v>657</v>
      </c>
      <c r="C551" s="14" t="s">
        <v>88</v>
      </c>
      <c r="D551" s="15" t="s">
        <v>1459</v>
      </c>
      <c r="E551" s="15" t="s">
        <v>4017</v>
      </c>
      <c r="F551" s="15"/>
      <c r="G551" s="15"/>
      <c r="H551" s="16" t="s">
        <v>16</v>
      </c>
      <c r="I551" s="16"/>
      <c r="J551" s="16"/>
      <c r="K551" s="1"/>
      <c r="L551" s="1"/>
      <c r="M551" s="1"/>
    </row>
    <row r="552" spans="1:13" x14ac:dyDescent="0.25">
      <c r="A552" s="20"/>
      <c r="B552" s="22" t="s">
        <v>794</v>
      </c>
      <c r="C552" s="14" t="s">
        <v>12</v>
      </c>
      <c r="D552" s="15" t="s">
        <v>1462</v>
      </c>
      <c r="E552" s="15" t="s">
        <v>4018</v>
      </c>
      <c r="F552" s="15"/>
      <c r="G552" s="15"/>
      <c r="H552" s="16" t="s">
        <v>16</v>
      </c>
      <c r="I552" s="16"/>
      <c r="J552" s="16"/>
      <c r="K552" s="1"/>
      <c r="L552" s="1"/>
      <c r="M552" s="1"/>
    </row>
    <row r="553" spans="1:13" x14ac:dyDescent="0.25">
      <c r="A553" s="20"/>
      <c r="B553" s="22" t="s">
        <v>796</v>
      </c>
      <c r="C553" s="14" t="s">
        <v>12</v>
      </c>
      <c r="D553" s="15" t="s">
        <v>1465</v>
      </c>
      <c r="E553" s="15" t="s">
        <v>4019</v>
      </c>
      <c r="F553" s="15"/>
      <c r="G553" s="15"/>
      <c r="H553" s="16" t="s">
        <v>16</v>
      </c>
      <c r="I553" s="16"/>
      <c r="J553" s="16"/>
      <c r="K553" s="1"/>
      <c r="L553" s="1"/>
      <c r="M553" s="1"/>
    </row>
    <row r="554" spans="1:13" x14ac:dyDescent="0.25">
      <c r="A554" s="20"/>
      <c r="B554" s="22" t="s">
        <v>798</v>
      </c>
      <c r="C554" s="14" t="s">
        <v>12</v>
      </c>
      <c r="D554" s="15" t="s">
        <v>1468</v>
      </c>
      <c r="E554" s="15" t="s">
        <v>4020</v>
      </c>
      <c r="F554" s="15"/>
      <c r="G554" s="15"/>
      <c r="H554" s="16" t="s">
        <v>16</v>
      </c>
      <c r="I554" s="16"/>
      <c r="J554" s="16"/>
      <c r="K554" s="1"/>
      <c r="L554" s="1"/>
      <c r="M554" s="1"/>
    </row>
    <row r="555" spans="1:13" x14ac:dyDescent="0.25">
      <c r="A555" s="20"/>
      <c r="B555" s="22" t="s">
        <v>788</v>
      </c>
      <c r="C555" s="14" t="s">
        <v>12</v>
      </c>
      <c r="D555" s="15" t="s">
        <v>1471</v>
      </c>
      <c r="E555" s="15" t="s">
        <v>4021</v>
      </c>
      <c r="F555" s="15"/>
      <c r="G555" s="15"/>
      <c r="H555" s="16" t="s">
        <v>16</v>
      </c>
      <c r="I555" s="16"/>
      <c r="J555" s="16"/>
      <c r="K555" s="1"/>
      <c r="L555" s="1"/>
    </row>
    <row r="556" spans="1:13" s="11" customFormat="1" x14ac:dyDescent="0.25">
      <c r="A556" s="20"/>
      <c r="B556" s="22" t="s">
        <v>790</v>
      </c>
      <c r="C556" s="14" t="s">
        <v>12</v>
      </c>
      <c r="D556" s="15" t="s">
        <v>1474</v>
      </c>
      <c r="E556" s="15" t="s">
        <v>4022</v>
      </c>
      <c r="F556" s="15"/>
      <c r="G556" s="15"/>
      <c r="H556" s="16" t="s">
        <v>16</v>
      </c>
      <c r="I556" s="16"/>
      <c r="J556" s="16"/>
      <c r="M556" s="12"/>
    </row>
    <row r="557" spans="1:13" s="11" customFormat="1" x14ac:dyDescent="0.25">
      <c r="A557" s="20"/>
      <c r="B557" s="22" t="s">
        <v>4472</v>
      </c>
      <c r="C557" s="14" t="s">
        <v>12</v>
      </c>
      <c r="D557" s="15" t="s">
        <v>1477</v>
      </c>
      <c r="E557" s="15" t="s">
        <v>4473</v>
      </c>
      <c r="F557" s="15"/>
      <c r="G557" s="15" t="s">
        <v>3304</v>
      </c>
      <c r="H557" s="16" t="s">
        <v>16</v>
      </c>
      <c r="I557" s="16">
        <v>1</v>
      </c>
      <c r="J557" s="16"/>
      <c r="M557" s="12"/>
    </row>
    <row r="558" spans="1:13" s="11" customFormat="1" x14ac:dyDescent="0.25">
      <c r="A558" s="20"/>
      <c r="B558" s="22" t="s">
        <v>4557</v>
      </c>
      <c r="C558" s="14" t="s">
        <v>12</v>
      </c>
      <c r="D558" s="15" t="s">
        <v>1480</v>
      </c>
      <c r="E558" s="15" t="s">
        <v>4558</v>
      </c>
      <c r="F558" s="15"/>
      <c r="G558" s="15" t="s">
        <v>2932</v>
      </c>
      <c r="H558" s="16" t="s">
        <v>16</v>
      </c>
      <c r="I558" s="16">
        <v>1</v>
      </c>
      <c r="J558" s="16"/>
      <c r="M558" s="12"/>
    </row>
    <row r="559" spans="1:13" s="11" customFormat="1" x14ac:dyDescent="0.25">
      <c r="A559" s="20"/>
      <c r="B559" s="22" t="s">
        <v>4559</v>
      </c>
      <c r="C559" s="14" t="s">
        <v>12</v>
      </c>
      <c r="D559" s="15" t="s">
        <v>1483</v>
      </c>
      <c r="E559" s="15" t="s">
        <v>4560</v>
      </c>
      <c r="F559" s="15"/>
      <c r="G559" s="15" t="s">
        <v>2932</v>
      </c>
      <c r="H559" s="16" t="s">
        <v>16</v>
      </c>
      <c r="I559" s="16">
        <v>11</v>
      </c>
      <c r="J559" s="16"/>
      <c r="M559" s="12"/>
    </row>
    <row r="560" spans="1:13" x14ac:dyDescent="0.25">
      <c r="A560" s="8">
        <v>14</v>
      </c>
      <c r="B560" s="7" t="s">
        <v>802</v>
      </c>
      <c r="C560" s="10"/>
      <c r="D560" s="10"/>
      <c r="E560" s="10"/>
      <c r="F560" s="10"/>
      <c r="G560" s="10"/>
      <c r="H560" s="10"/>
      <c r="I560" s="10"/>
      <c r="J560" s="10"/>
      <c r="K560" s="1"/>
      <c r="L560" s="1"/>
      <c r="M560" s="1"/>
    </row>
    <row r="561" spans="1:13" x14ac:dyDescent="0.25">
      <c r="A561" s="20"/>
      <c r="B561" s="22" t="s">
        <v>803</v>
      </c>
      <c r="C561" s="14" t="s">
        <v>88</v>
      </c>
      <c r="D561" s="15" t="s">
        <v>14</v>
      </c>
      <c r="E561" s="15" t="s">
        <v>804</v>
      </c>
      <c r="F561" s="15"/>
      <c r="G561" s="15"/>
      <c r="H561" s="16" t="s">
        <v>805</v>
      </c>
      <c r="I561" s="16"/>
      <c r="J561" s="16"/>
      <c r="K561" s="1"/>
      <c r="L561" s="1"/>
      <c r="M561" s="1"/>
    </row>
    <row r="562" spans="1:13" x14ac:dyDescent="0.25">
      <c r="A562" s="20"/>
      <c r="B562" s="22" t="s">
        <v>806</v>
      </c>
      <c r="C562" s="14" t="s">
        <v>12</v>
      </c>
      <c r="D562" s="15" t="s">
        <v>19</v>
      </c>
      <c r="E562" s="15" t="s">
        <v>807</v>
      </c>
      <c r="F562" s="15"/>
      <c r="G562" s="15"/>
      <c r="H562" s="16" t="s">
        <v>16</v>
      </c>
      <c r="I562" s="16"/>
      <c r="J562" s="16"/>
      <c r="K562" s="1"/>
      <c r="L562" s="1"/>
      <c r="M562" s="1"/>
    </row>
    <row r="563" spans="1:13" x14ac:dyDescent="0.25">
      <c r="A563" s="20"/>
      <c r="B563" s="22" t="s">
        <v>808</v>
      </c>
      <c r="C563" s="14" t="s">
        <v>12</v>
      </c>
      <c r="D563" s="15" t="s">
        <v>22</v>
      </c>
      <c r="E563" s="15" t="s">
        <v>809</v>
      </c>
      <c r="F563" s="15"/>
      <c r="G563" s="15" t="s">
        <v>2802</v>
      </c>
      <c r="H563" s="16" t="s">
        <v>16</v>
      </c>
      <c r="I563" s="16">
        <v>5</v>
      </c>
      <c r="J563" s="16"/>
      <c r="K563" s="1"/>
      <c r="L563" s="1"/>
      <c r="M563" s="1"/>
    </row>
    <row r="564" spans="1:13" x14ac:dyDescent="0.25">
      <c r="A564" s="20"/>
      <c r="B564" s="22" t="s">
        <v>810</v>
      </c>
      <c r="C564" s="14" t="s">
        <v>12</v>
      </c>
      <c r="D564" s="15" t="s">
        <v>25</v>
      </c>
      <c r="E564" s="15" t="s">
        <v>811</v>
      </c>
      <c r="F564" s="15"/>
      <c r="G564" s="15" t="s">
        <v>2802</v>
      </c>
      <c r="H564" s="16" t="s">
        <v>16</v>
      </c>
      <c r="I564" s="16">
        <v>190</v>
      </c>
      <c r="J564" s="16"/>
      <c r="K564" s="1"/>
      <c r="L564" s="1"/>
      <c r="M564" s="1"/>
    </row>
    <row r="565" spans="1:13" x14ac:dyDescent="0.25">
      <c r="A565" s="20"/>
      <c r="B565" s="22" t="s">
        <v>812</v>
      </c>
      <c r="C565" s="14" t="s">
        <v>12</v>
      </c>
      <c r="D565" s="15" t="s">
        <v>28</v>
      </c>
      <c r="E565" s="15" t="s">
        <v>813</v>
      </c>
      <c r="F565" s="15"/>
      <c r="G565" s="15"/>
      <c r="H565" s="16" t="s">
        <v>16</v>
      </c>
      <c r="I565" s="16"/>
      <c r="J565" s="16"/>
      <c r="K565" s="1"/>
      <c r="L565" s="1"/>
      <c r="M565" s="1"/>
    </row>
    <row r="566" spans="1:13" x14ac:dyDescent="0.25">
      <c r="A566" s="20"/>
      <c r="B566" s="22" t="s">
        <v>2803</v>
      </c>
      <c r="C566" s="14" t="s">
        <v>12</v>
      </c>
      <c r="D566" s="15" t="s">
        <v>31</v>
      </c>
      <c r="E566" s="15" t="s">
        <v>815</v>
      </c>
      <c r="F566" s="15"/>
      <c r="G566" s="15" t="s">
        <v>2802</v>
      </c>
      <c r="H566" s="16" t="s">
        <v>16</v>
      </c>
      <c r="I566" s="16">
        <v>5</v>
      </c>
      <c r="J566" s="16"/>
      <c r="K566" s="1"/>
      <c r="L566" s="1"/>
      <c r="M566" s="1"/>
    </row>
    <row r="567" spans="1:13" x14ac:dyDescent="0.25">
      <c r="A567" s="36"/>
      <c r="B567" s="22" t="s">
        <v>814</v>
      </c>
      <c r="C567" s="14" t="s">
        <v>88</v>
      </c>
      <c r="D567" s="15" t="s">
        <v>34</v>
      </c>
      <c r="E567" s="15" t="s">
        <v>817</v>
      </c>
      <c r="F567" s="15"/>
      <c r="G567" s="15"/>
      <c r="H567" s="16" t="s">
        <v>805</v>
      </c>
      <c r="I567" s="16"/>
      <c r="J567" s="16"/>
      <c r="K567" s="1"/>
      <c r="L567" s="1"/>
      <c r="M567" s="1"/>
    </row>
    <row r="568" spans="1:13" x14ac:dyDescent="0.25">
      <c r="A568" s="20"/>
      <c r="B568" s="22" t="s">
        <v>816</v>
      </c>
      <c r="C568" s="14" t="s">
        <v>88</v>
      </c>
      <c r="D568" s="15" t="s">
        <v>37</v>
      </c>
      <c r="E568" s="15" t="s">
        <v>819</v>
      </c>
      <c r="F568" s="15"/>
      <c r="G568" s="15"/>
      <c r="H568" s="16" t="s">
        <v>805</v>
      </c>
      <c r="I568" s="16"/>
      <c r="J568" s="16"/>
      <c r="K568" s="1"/>
      <c r="L568" s="1"/>
      <c r="M568" s="1"/>
    </row>
    <row r="569" spans="1:13" x14ac:dyDescent="0.25">
      <c r="A569" s="20"/>
      <c r="B569" s="22" t="s">
        <v>818</v>
      </c>
      <c r="C569" s="14" t="s">
        <v>12</v>
      </c>
      <c r="D569" s="15" t="s">
        <v>40</v>
      </c>
      <c r="E569" s="15" t="s">
        <v>821</v>
      </c>
      <c r="F569" s="15"/>
      <c r="G569" s="15"/>
      <c r="H569" s="16" t="s">
        <v>16</v>
      </c>
      <c r="I569" s="16"/>
      <c r="J569" s="16"/>
      <c r="K569" s="1"/>
      <c r="L569" s="1"/>
      <c r="M569" s="1"/>
    </row>
    <row r="570" spans="1:13" s="115" customFormat="1" x14ac:dyDescent="0.25">
      <c r="A570" s="119"/>
      <c r="B570" s="111" t="s">
        <v>820</v>
      </c>
      <c r="C570" s="114" t="s">
        <v>88</v>
      </c>
      <c r="D570" s="15" t="s">
        <v>43</v>
      </c>
      <c r="E570" s="15" t="s">
        <v>4023</v>
      </c>
      <c r="F570" s="120"/>
      <c r="G570" s="120"/>
      <c r="H570" s="121" t="s">
        <v>805</v>
      </c>
      <c r="I570" s="121"/>
      <c r="J570" s="121"/>
    </row>
    <row r="571" spans="1:13" x14ac:dyDescent="0.25">
      <c r="A571" s="8">
        <v>15</v>
      </c>
      <c r="B571" s="7" t="s">
        <v>822</v>
      </c>
      <c r="C571" s="10"/>
      <c r="D571" s="10"/>
      <c r="E571" s="10"/>
      <c r="F571" s="10"/>
      <c r="G571" s="10"/>
      <c r="H571" s="10"/>
      <c r="I571" s="10"/>
      <c r="J571" s="10"/>
      <c r="K571" s="1"/>
      <c r="L571" s="1"/>
      <c r="M571" s="1"/>
    </row>
    <row r="572" spans="1:13" x14ac:dyDescent="0.25">
      <c r="A572" s="20"/>
      <c r="B572" s="22" t="s">
        <v>839</v>
      </c>
      <c r="C572" s="14" t="s">
        <v>12</v>
      </c>
      <c r="D572" s="15" t="s">
        <v>14</v>
      </c>
      <c r="E572" s="15" t="s">
        <v>824</v>
      </c>
      <c r="F572" s="15"/>
      <c r="G572" s="15"/>
      <c r="H572" s="16" t="s">
        <v>16</v>
      </c>
      <c r="I572" s="16"/>
      <c r="J572" s="16"/>
      <c r="K572" s="1"/>
      <c r="L572" s="1"/>
      <c r="M572" s="1"/>
    </row>
    <row r="573" spans="1:13" x14ac:dyDescent="0.25">
      <c r="A573" s="20"/>
      <c r="B573" s="22" t="s">
        <v>841</v>
      </c>
      <c r="C573" s="14" t="s">
        <v>12</v>
      </c>
      <c r="D573" s="15" t="s">
        <v>19</v>
      </c>
      <c r="E573" s="15" t="s">
        <v>826</v>
      </c>
      <c r="F573" s="15"/>
      <c r="G573" s="15"/>
      <c r="H573" s="16" t="s">
        <v>16</v>
      </c>
      <c r="I573" s="16"/>
      <c r="J573" s="16"/>
      <c r="K573" s="1"/>
      <c r="L573" s="1"/>
      <c r="M573" s="1"/>
    </row>
    <row r="574" spans="1:13" x14ac:dyDescent="0.25">
      <c r="A574" s="20"/>
      <c r="B574" s="22" t="s">
        <v>843</v>
      </c>
      <c r="C574" s="14" t="s">
        <v>12</v>
      </c>
      <c r="D574" s="15" t="s">
        <v>22</v>
      </c>
      <c r="E574" s="15" t="s">
        <v>828</v>
      </c>
      <c r="F574" s="15"/>
      <c r="G574" s="15"/>
      <c r="H574" s="16" t="s">
        <v>16</v>
      </c>
      <c r="I574" s="16"/>
      <c r="J574" s="16"/>
      <c r="K574" s="1"/>
      <c r="L574" s="1"/>
      <c r="M574" s="1"/>
    </row>
    <row r="575" spans="1:13" x14ac:dyDescent="0.25">
      <c r="A575" s="36"/>
      <c r="B575" s="35" t="s">
        <v>943</v>
      </c>
      <c r="C575" s="14" t="s">
        <v>12</v>
      </c>
      <c r="D575" s="15" t="s">
        <v>25</v>
      </c>
      <c r="E575" s="15" t="s">
        <v>830</v>
      </c>
      <c r="F575" s="15"/>
      <c r="G575" s="15" t="s">
        <v>3236</v>
      </c>
      <c r="H575" s="16" t="s">
        <v>16</v>
      </c>
      <c r="I575" s="16">
        <v>39</v>
      </c>
      <c r="J575" s="16"/>
      <c r="K575" s="1"/>
      <c r="L575" s="1"/>
      <c r="M575" s="1"/>
    </row>
    <row r="576" spans="1:13" x14ac:dyDescent="0.25">
      <c r="A576" s="20"/>
      <c r="B576" s="22" t="s">
        <v>845</v>
      </c>
      <c r="C576" s="14" t="s">
        <v>12</v>
      </c>
      <c r="D576" s="15" t="s">
        <v>28</v>
      </c>
      <c r="E576" s="15" t="s">
        <v>832</v>
      </c>
      <c r="F576" s="15"/>
      <c r="G576" s="15"/>
      <c r="H576" s="16" t="s">
        <v>16</v>
      </c>
      <c r="I576" s="16"/>
      <c r="J576" s="16"/>
      <c r="K576" s="1"/>
      <c r="L576" s="1"/>
      <c r="M576" s="1"/>
    </row>
    <row r="577" spans="1:13" x14ac:dyDescent="0.25">
      <c r="A577" s="20"/>
      <c r="B577" s="22" t="s">
        <v>847</v>
      </c>
      <c r="C577" s="14" t="s">
        <v>12</v>
      </c>
      <c r="D577" s="15" t="s">
        <v>31</v>
      </c>
      <c r="E577" s="15" t="s">
        <v>834</v>
      </c>
      <c r="F577" s="15"/>
      <c r="G577" s="15"/>
      <c r="H577" s="16" t="s">
        <v>16</v>
      </c>
      <c r="I577" s="16"/>
      <c r="J577" s="16"/>
      <c r="K577" s="1"/>
      <c r="L577" s="1"/>
      <c r="M577" s="1"/>
    </row>
    <row r="578" spans="1:13" x14ac:dyDescent="0.25">
      <c r="A578" s="20"/>
      <c r="B578" s="22" t="s">
        <v>849</v>
      </c>
      <c r="C578" s="14" t="s">
        <v>12</v>
      </c>
      <c r="D578" s="15" t="s">
        <v>34</v>
      </c>
      <c r="E578" s="15" t="s">
        <v>836</v>
      </c>
      <c r="F578" s="15"/>
      <c r="G578" s="15"/>
      <c r="H578" s="16" t="s">
        <v>16</v>
      </c>
      <c r="I578" s="16"/>
      <c r="J578" s="16"/>
      <c r="K578" s="1"/>
      <c r="L578" s="1"/>
      <c r="M578" s="1"/>
    </row>
    <row r="579" spans="1:13" x14ac:dyDescent="0.25">
      <c r="A579" s="36"/>
      <c r="B579" s="35" t="s">
        <v>949</v>
      </c>
      <c r="C579" s="14" t="s">
        <v>12</v>
      </c>
      <c r="D579" s="15" t="s">
        <v>37</v>
      </c>
      <c r="E579" s="15" t="s">
        <v>838</v>
      </c>
      <c r="F579" s="15"/>
      <c r="G579" s="15"/>
      <c r="H579" s="16" t="s">
        <v>16</v>
      </c>
      <c r="I579" s="16"/>
      <c r="J579" s="16"/>
      <c r="K579" s="1"/>
      <c r="L579" s="1"/>
      <c r="M579" s="1"/>
    </row>
    <row r="580" spans="1:13" x14ac:dyDescent="0.25">
      <c r="A580" s="20"/>
      <c r="B580" s="22" t="s">
        <v>3263</v>
      </c>
      <c r="C580" s="14" t="s">
        <v>12</v>
      </c>
      <c r="D580" s="15" t="s">
        <v>40</v>
      </c>
      <c r="E580" s="15" t="s">
        <v>840</v>
      </c>
      <c r="F580" s="15"/>
      <c r="G580" s="15" t="s">
        <v>2950</v>
      </c>
      <c r="H580" s="16" t="s">
        <v>246</v>
      </c>
      <c r="I580" s="16">
        <v>10</v>
      </c>
      <c r="J580" s="16"/>
      <c r="K580" s="1"/>
      <c r="L580" s="1"/>
      <c r="M580" s="1"/>
    </row>
    <row r="581" spans="1:13" x14ac:dyDescent="0.25">
      <c r="A581" s="20"/>
      <c r="B581" s="22" t="s">
        <v>851</v>
      </c>
      <c r="C581" s="14" t="s">
        <v>12</v>
      </c>
      <c r="D581" s="15" t="s">
        <v>43</v>
      </c>
      <c r="E581" s="15" t="s">
        <v>842</v>
      </c>
      <c r="F581" s="15"/>
      <c r="G581" s="15"/>
      <c r="H581" s="16" t="s">
        <v>16</v>
      </c>
      <c r="I581" s="16"/>
      <c r="J581" s="16"/>
      <c r="K581" s="1"/>
      <c r="L581" s="1"/>
      <c r="M581" s="1"/>
    </row>
    <row r="582" spans="1:13" x14ac:dyDescent="0.25">
      <c r="A582" s="20"/>
      <c r="B582" s="22" t="s">
        <v>853</v>
      </c>
      <c r="C582" s="14" t="s">
        <v>12</v>
      </c>
      <c r="D582" s="15" t="s">
        <v>46</v>
      </c>
      <c r="E582" s="15" t="s">
        <v>844</v>
      </c>
      <c r="F582" s="15"/>
      <c r="G582" s="15"/>
      <c r="H582" s="16" t="s">
        <v>16</v>
      </c>
      <c r="I582" s="16"/>
      <c r="J582" s="16"/>
      <c r="K582" s="1"/>
      <c r="L582" s="1"/>
      <c r="M582" s="1"/>
    </row>
    <row r="583" spans="1:13" x14ac:dyDescent="0.25">
      <c r="A583" s="20"/>
      <c r="B583" s="22" t="s">
        <v>855</v>
      </c>
      <c r="C583" s="14" t="s">
        <v>12</v>
      </c>
      <c r="D583" s="15" t="s">
        <v>72</v>
      </c>
      <c r="E583" s="15" t="s">
        <v>846</v>
      </c>
      <c r="F583" s="15"/>
      <c r="G583" s="15"/>
      <c r="H583" s="16" t="s">
        <v>16</v>
      </c>
      <c r="I583" s="16"/>
      <c r="J583" s="16"/>
      <c r="K583" s="1"/>
      <c r="L583" s="1"/>
      <c r="M583" s="1"/>
    </row>
    <row r="584" spans="1:13" x14ac:dyDescent="0.25">
      <c r="A584" s="20"/>
      <c r="B584" s="22" t="s">
        <v>857</v>
      </c>
      <c r="C584" s="14" t="s">
        <v>12</v>
      </c>
      <c r="D584" s="15" t="s">
        <v>75</v>
      </c>
      <c r="E584" s="15" t="s">
        <v>848</v>
      </c>
      <c r="F584" s="15"/>
      <c r="G584" s="15"/>
      <c r="H584" s="16" t="s">
        <v>16</v>
      </c>
      <c r="I584" s="16"/>
      <c r="J584" s="16"/>
      <c r="K584" s="1"/>
      <c r="L584" s="1"/>
      <c r="M584" s="1"/>
    </row>
    <row r="585" spans="1:13" s="11" customFormat="1" x14ac:dyDescent="0.25">
      <c r="A585" s="20"/>
      <c r="B585" s="22" t="s">
        <v>2944</v>
      </c>
      <c r="C585" s="14" t="s">
        <v>12</v>
      </c>
      <c r="D585" s="15" t="s">
        <v>77</v>
      </c>
      <c r="E585" s="15" t="s">
        <v>850</v>
      </c>
      <c r="F585" s="15"/>
      <c r="G585" s="15" t="s">
        <v>2804</v>
      </c>
      <c r="H585" s="16" t="s">
        <v>16</v>
      </c>
      <c r="I585" s="16">
        <v>23</v>
      </c>
      <c r="J585" s="16"/>
    </row>
    <row r="586" spans="1:13" x14ac:dyDescent="0.25">
      <c r="A586" s="20"/>
      <c r="B586" s="22" t="s">
        <v>2872</v>
      </c>
      <c r="C586" s="14" t="s">
        <v>12</v>
      </c>
      <c r="D586" s="15" t="s">
        <v>80</v>
      </c>
      <c r="E586" s="15" t="s">
        <v>852</v>
      </c>
      <c r="F586" s="15"/>
      <c r="G586" s="15" t="s">
        <v>2873</v>
      </c>
      <c r="H586" s="16" t="s">
        <v>16</v>
      </c>
      <c r="I586" s="16">
        <v>82</v>
      </c>
      <c r="J586" s="16"/>
      <c r="K586" s="1"/>
      <c r="L586" s="1"/>
      <c r="M586" s="1"/>
    </row>
    <row r="587" spans="1:13" x14ac:dyDescent="0.25">
      <c r="A587" s="20"/>
      <c r="B587" s="22" t="s">
        <v>859</v>
      </c>
      <c r="C587" s="14" t="s">
        <v>12</v>
      </c>
      <c r="D587" s="15" t="s">
        <v>84</v>
      </c>
      <c r="E587" s="15" t="s">
        <v>854</v>
      </c>
      <c r="F587" s="15"/>
      <c r="G587" s="15"/>
      <c r="H587" s="16" t="s">
        <v>16</v>
      </c>
      <c r="I587" s="16"/>
      <c r="J587" s="16"/>
      <c r="K587" s="1"/>
      <c r="L587" s="1"/>
      <c r="M587" s="1"/>
    </row>
    <row r="588" spans="1:13" x14ac:dyDescent="0.25">
      <c r="A588" s="20"/>
      <c r="B588" s="22" t="s">
        <v>2871</v>
      </c>
      <c r="C588" s="14" t="s">
        <v>12</v>
      </c>
      <c r="D588" s="15" t="s">
        <v>123</v>
      </c>
      <c r="E588" s="15" t="s">
        <v>856</v>
      </c>
      <c r="F588" s="15"/>
      <c r="G588" s="15" t="s">
        <v>2870</v>
      </c>
      <c r="H588" s="16" t="s">
        <v>16</v>
      </c>
      <c r="I588" s="16">
        <v>150</v>
      </c>
      <c r="J588" s="16"/>
      <c r="K588" s="1"/>
      <c r="L588" s="1"/>
      <c r="M588" s="1"/>
    </row>
    <row r="589" spans="1:13" x14ac:dyDescent="0.25">
      <c r="A589" s="20"/>
      <c r="B589" s="22" t="s">
        <v>2869</v>
      </c>
      <c r="C589" s="14" t="s">
        <v>12</v>
      </c>
      <c r="D589" s="15" t="s">
        <v>212</v>
      </c>
      <c r="E589" s="15" t="s">
        <v>858</v>
      </c>
      <c r="F589" s="15"/>
      <c r="G589" s="15" t="s">
        <v>2870</v>
      </c>
      <c r="H589" s="16" t="s">
        <v>16</v>
      </c>
      <c r="I589" s="16">
        <v>110</v>
      </c>
      <c r="J589" s="16"/>
      <c r="K589" s="1"/>
      <c r="L589" s="1"/>
      <c r="M589" s="1"/>
    </row>
    <row r="590" spans="1:13" x14ac:dyDescent="0.25">
      <c r="A590" s="20"/>
      <c r="B590" s="22" t="s">
        <v>861</v>
      </c>
      <c r="C590" s="14" t="s">
        <v>12</v>
      </c>
      <c r="D590" s="15" t="s">
        <v>214</v>
      </c>
      <c r="E590" s="15" t="s">
        <v>860</v>
      </c>
      <c r="F590" s="15"/>
      <c r="G590" s="15"/>
      <c r="H590" s="16" t="s">
        <v>16</v>
      </c>
      <c r="I590" s="16"/>
      <c r="J590" s="16"/>
      <c r="K590" s="1"/>
      <c r="L590" s="1"/>
      <c r="M590" s="1"/>
    </row>
    <row r="591" spans="1:13" x14ac:dyDescent="0.25">
      <c r="A591" s="20"/>
      <c r="B591" s="22" t="s">
        <v>863</v>
      </c>
      <c r="C591" s="14" t="s">
        <v>12</v>
      </c>
      <c r="D591" s="15" t="s">
        <v>216</v>
      </c>
      <c r="E591" s="15" t="s">
        <v>862</v>
      </c>
      <c r="F591" s="15"/>
      <c r="G591" s="15"/>
      <c r="H591" s="16" t="s">
        <v>16</v>
      </c>
      <c r="I591" s="16"/>
      <c r="J591" s="16"/>
      <c r="K591" s="1"/>
      <c r="L591" s="1"/>
      <c r="M591" s="1"/>
    </row>
    <row r="592" spans="1:13" x14ac:dyDescent="0.25">
      <c r="A592" s="20"/>
      <c r="B592" s="22" t="s">
        <v>865</v>
      </c>
      <c r="C592" s="14" t="s">
        <v>12</v>
      </c>
      <c r="D592" s="15" t="s">
        <v>218</v>
      </c>
      <c r="E592" s="15" t="s">
        <v>864</v>
      </c>
      <c r="F592" s="15"/>
      <c r="G592" s="15"/>
      <c r="H592" s="16" t="s">
        <v>16</v>
      </c>
      <c r="I592" s="16"/>
      <c r="J592" s="16"/>
      <c r="K592" s="1"/>
      <c r="L592" s="1"/>
      <c r="M592" s="1"/>
    </row>
    <row r="593" spans="1:13" x14ac:dyDescent="0.25">
      <c r="A593" s="20"/>
      <c r="B593" s="22" t="s">
        <v>867</v>
      </c>
      <c r="C593" s="14" t="s">
        <v>12</v>
      </c>
      <c r="D593" s="15" t="s">
        <v>220</v>
      </c>
      <c r="E593" s="15" t="s">
        <v>866</v>
      </c>
      <c r="F593" s="15"/>
      <c r="G593" s="15"/>
      <c r="H593" s="16" t="s">
        <v>16</v>
      </c>
      <c r="I593" s="16"/>
      <c r="J593" s="16"/>
      <c r="K593" s="1"/>
      <c r="L593" s="1"/>
      <c r="M593" s="1"/>
    </row>
    <row r="594" spans="1:13" x14ac:dyDescent="0.25">
      <c r="A594" s="20"/>
      <c r="B594" s="22" t="s">
        <v>869</v>
      </c>
      <c r="C594" s="14" t="s">
        <v>12</v>
      </c>
      <c r="D594" s="15" t="s">
        <v>222</v>
      </c>
      <c r="E594" s="15" t="s">
        <v>868</v>
      </c>
      <c r="F594" s="15"/>
      <c r="G594" s="15"/>
      <c r="H594" s="16" t="s">
        <v>16</v>
      </c>
      <c r="I594" s="16"/>
      <c r="J594" s="16"/>
      <c r="K594" s="1"/>
      <c r="L594" s="1"/>
      <c r="M594" s="1"/>
    </row>
    <row r="595" spans="1:13" x14ac:dyDescent="0.25">
      <c r="A595" s="20"/>
      <c r="B595" s="22" t="s">
        <v>871</v>
      </c>
      <c r="C595" s="14" t="s">
        <v>12</v>
      </c>
      <c r="D595" s="15" t="s">
        <v>224</v>
      </c>
      <c r="E595" s="15" t="s">
        <v>870</v>
      </c>
      <c r="F595" s="15"/>
      <c r="G595" s="15"/>
      <c r="H595" s="16" t="s">
        <v>16</v>
      </c>
      <c r="I595" s="16"/>
      <c r="J595" s="16"/>
      <c r="K595" s="1"/>
      <c r="L595" s="1"/>
      <c r="M595" s="1"/>
    </row>
    <row r="596" spans="1:13" x14ac:dyDescent="0.25">
      <c r="A596" s="20"/>
      <c r="B596" s="22" t="s">
        <v>873</v>
      </c>
      <c r="C596" s="14" t="s">
        <v>12</v>
      </c>
      <c r="D596" s="15" t="s">
        <v>226</v>
      </c>
      <c r="E596" s="15" t="s">
        <v>872</v>
      </c>
      <c r="F596" s="15"/>
      <c r="G596" s="15"/>
      <c r="H596" s="16" t="s">
        <v>16</v>
      </c>
      <c r="I596" s="16"/>
      <c r="J596" s="16"/>
      <c r="K596" s="1"/>
      <c r="L596" s="1"/>
      <c r="M596" s="1"/>
    </row>
    <row r="597" spans="1:13" x14ac:dyDescent="0.25">
      <c r="A597" s="20"/>
      <c r="B597" s="22" t="s">
        <v>875</v>
      </c>
      <c r="C597" s="14" t="s">
        <v>12</v>
      </c>
      <c r="D597" s="15" t="s">
        <v>228</v>
      </c>
      <c r="E597" s="15" t="s">
        <v>874</v>
      </c>
      <c r="F597" s="15"/>
      <c r="G597" s="15"/>
      <c r="H597" s="16" t="s">
        <v>16</v>
      </c>
      <c r="I597" s="16"/>
      <c r="J597" s="16"/>
      <c r="K597" s="1"/>
      <c r="L597" s="1"/>
      <c r="M597" s="1"/>
    </row>
    <row r="598" spans="1:13" x14ac:dyDescent="0.25">
      <c r="A598" s="20"/>
      <c r="B598" s="22" t="s">
        <v>2867</v>
      </c>
      <c r="C598" s="14" t="s">
        <v>12</v>
      </c>
      <c r="D598" s="15" t="s">
        <v>230</v>
      </c>
      <c r="E598" s="15" t="s">
        <v>876</v>
      </c>
      <c r="F598" s="15"/>
      <c r="G598" s="15" t="s">
        <v>2865</v>
      </c>
      <c r="H598" s="16" t="s">
        <v>16</v>
      </c>
      <c r="I598" s="16">
        <v>22</v>
      </c>
      <c r="J598" s="16"/>
      <c r="K598" s="1"/>
      <c r="L598" s="1"/>
    </row>
    <row r="599" spans="1:13" x14ac:dyDescent="0.25">
      <c r="A599" s="20"/>
      <c r="B599" s="22" t="s">
        <v>3209</v>
      </c>
      <c r="C599" s="14" t="s">
        <v>12</v>
      </c>
      <c r="D599" s="15" t="s">
        <v>232</v>
      </c>
      <c r="E599" s="15" t="s">
        <v>878</v>
      </c>
      <c r="F599" s="15"/>
      <c r="G599" s="15" t="s">
        <v>2865</v>
      </c>
      <c r="H599" s="16" t="s">
        <v>16</v>
      </c>
      <c r="I599" s="16">
        <v>50</v>
      </c>
      <c r="J599" s="16"/>
      <c r="K599" s="1"/>
      <c r="L599" s="1"/>
      <c r="M599" s="1"/>
    </row>
    <row r="600" spans="1:13" x14ac:dyDescent="0.25">
      <c r="A600" s="36"/>
      <c r="B600" s="22" t="s">
        <v>2968</v>
      </c>
      <c r="C600" s="14" t="s">
        <v>12</v>
      </c>
      <c r="D600" s="15" t="s">
        <v>234</v>
      </c>
      <c r="E600" s="15" t="s">
        <v>880</v>
      </c>
      <c r="F600" s="15"/>
      <c r="G600" s="15" t="s">
        <v>2969</v>
      </c>
      <c r="H600" s="16" t="s">
        <v>16</v>
      </c>
      <c r="I600" s="16">
        <v>1</v>
      </c>
      <c r="J600" s="16"/>
      <c r="K600" s="1"/>
      <c r="L600" s="1"/>
    </row>
    <row r="601" spans="1:13" x14ac:dyDescent="0.25">
      <c r="A601" s="20"/>
      <c r="B601" s="22" t="s">
        <v>877</v>
      </c>
      <c r="C601" s="14" t="s">
        <v>12</v>
      </c>
      <c r="D601" s="15" t="s">
        <v>236</v>
      </c>
      <c r="E601" s="15" t="s">
        <v>883</v>
      </c>
      <c r="F601" s="15"/>
      <c r="G601" s="15" t="s">
        <v>3236</v>
      </c>
      <c r="H601" s="16" t="s">
        <v>16</v>
      </c>
      <c r="I601" s="16">
        <v>180</v>
      </c>
      <c r="J601" s="16"/>
      <c r="K601" s="1"/>
      <c r="L601" s="1"/>
    </row>
    <row r="602" spans="1:13" x14ac:dyDescent="0.25">
      <c r="A602" s="20"/>
      <c r="B602" s="22" t="s">
        <v>2864</v>
      </c>
      <c r="C602" s="14" t="s">
        <v>12</v>
      </c>
      <c r="D602" s="15" t="s">
        <v>238</v>
      </c>
      <c r="E602" s="15" t="s">
        <v>885</v>
      </c>
      <c r="F602" s="15"/>
      <c r="G602" s="15" t="s">
        <v>2865</v>
      </c>
      <c r="H602" s="16" t="s">
        <v>16</v>
      </c>
      <c r="I602" s="16">
        <v>10</v>
      </c>
      <c r="J602" s="16"/>
      <c r="K602" s="1"/>
      <c r="L602" s="1"/>
    </row>
    <row r="603" spans="1:13" x14ac:dyDescent="0.25">
      <c r="A603" s="20"/>
      <c r="B603" s="22" t="s">
        <v>879</v>
      </c>
      <c r="C603" s="14" t="s">
        <v>88</v>
      </c>
      <c r="D603" s="15" t="s">
        <v>240</v>
      </c>
      <c r="E603" s="15" t="s">
        <v>887</v>
      </c>
      <c r="F603" s="15"/>
      <c r="G603" s="15"/>
      <c r="H603" s="16" t="s">
        <v>881</v>
      </c>
      <c r="I603" s="16"/>
      <c r="J603" s="16"/>
      <c r="K603" s="1"/>
      <c r="L603" s="1"/>
      <c r="M603" s="1"/>
    </row>
    <row r="604" spans="1:13" x14ac:dyDescent="0.25">
      <c r="A604" s="36"/>
      <c r="B604" s="35" t="s">
        <v>935</v>
      </c>
      <c r="C604" s="14" t="s">
        <v>88</v>
      </c>
      <c r="D604" s="15" t="s">
        <v>334</v>
      </c>
      <c r="E604" s="15" t="s">
        <v>889</v>
      </c>
      <c r="F604" s="15"/>
      <c r="G604" s="15"/>
      <c r="H604" s="16" t="s">
        <v>881</v>
      </c>
      <c r="I604" s="16"/>
      <c r="J604" s="16"/>
      <c r="K604" s="1"/>
      <c r="L604" s="1"/>
      <c r="M604" s="1"/>
    </row>
    <row r="605" spans="1:13" x14ac:dyDescent="0.25">
      <c r="A605" s="36"/>
      <c r="B605" s="35" t="s">
        <v>937</v>
      </c>
      <c r="C605" s="14" t="s">
        <v>88</v>
      </c>
      <c r="D605" s="15" t="s">
        <v>337</v>
      </c>
      <c r="E605" s="15" t="s">
        <v>891</v>
      </c>
      <c r="F605" s="15"/>
      <c r="G605" s="15"/>
      <c r="H605" s="16" t="s">
        <v>881</v>
      </c>
      <c r="I605" s="16"/>
      <c r="J605" s="16"/>
      <c r="K605" s="1"/>
      <c r="L605" s="1"/>
      <c r="M605" s="1"/>
    </row>
    <row r="606" spans="1:13" x14ac:dyDescent="0.25">
      <c r="A606" s="20"/>
      <c r="B606" s="22" t="s">
        <v>882</v>
      </c>
      <c r="C606" s="14" t="s">
        <v>88</v>
      </c>
      <c r="D606" s="15" t="s">
        <v>340</v>
      </c>
      <c r="E606" s="15" t="s">
        <v>893</v>
      </c>
      <c r="F606" s="15"/>
      <c r="G606" s="15"/>
      <c r="H606" s="16" t="s">
        <v>16</v>
      </c>
      <c r="I606" s="16"/>
      <c r="J606" s="16"/>
      <c r="K606" s="1"/>
      <c r="L606" s="1"/>
      <c r="M606" s="1"/>
    </row>
    <row r="607" spans="1:13" x14ac:dyDescent="0.25">
      <c r="A607" s="36"/>
      <c r="B607" s="35" t="s">
        <v>955</v>
      </c>
      <c r="C607" s="14" t="s">
        <v>12</v>
      </c>
      <c r="D607" s="15" t="s">
        <v>343</v>
      </c>
      <c r="E607" s="15" t="s">
        <v>895</v>
      </c>
      <c r="F607" s="15"/>
      <c r="G607" s="15"/>
      <c r="H607" s="16" t="s">
        <v>926</v>
      </c>
      <c r="I607" s="16"/>
      <c r="J607" s="16"/>
      <c r="K607" s="1"/>
      <c r="L607" s="1"/>
      <c r="M607" s="1"/>
    </row>
    <row r="608" spans="1:13" x14ac:dyDescent="0.25">
      <c r="A608" s="20"/>
      <c r="B608" s="22" t="s">
        <v>884</v>
      </c>
      <c r="C608" s="14" t="s">
        <v>88</v>
      </c>
      <c r="D608" s="15" t="s">
        <v>345</v>
      </c>
      <c r="E608" s="15" t="s">
        <v>897</v>
      </c>
      <c r="F608" s="15"/>
      <c r="G608" s="15"/>
      <c r="H608" s="16" t="s">
        <v>16</v>
      </c>
      <c r="I608" s="16"/>
      <c r="J608" s="16"/>
      <c r="K608" s="1"/>
      <c r="L608" s="1"/>
      <c r="M608" s="1"/>
    </row>
    <row r="609" spans="1:13" x14ac:dyDescent="0.25">
      <c r="A609" s="20"/>
      <c r="B609" s="22" t="s">
        <v>3081</v>
      </c>
      <c r="C609" s="14" t="s">
        <v>88</v>
      </c>
      <c r="D609" s="15" t="s">
        <v>348</v>
      </c>
      <c r="E609" s="15" t="s">
        <v>899</v>
      </c>
      <c r="F609" s="15"/>
      <c r="G609" s="15" t="s">
        <v>2811</v>
      </c>
      <c r="H609" s="16" t="s">
        <v>16</v>
      </c>
      <c r="I609" s="16">
        <v>45</v>
      </c>
      <c r="J609" s="16"/>
      <c r="K609" s="1"/>
      <c r="L609" s="1"/>
      <c r="M609" s="1"/>
    </row>
    <row r="610" spans="1:13" x14ac:dyDescent="0.25">
      <c r="A610" s="20"/>
      <c r="B610" s="22" t="s">
        <v>3079</v>
      </c>
      <c r="C610" s="14" t="s">
        <v>88</v>
      </c>
      <c r="D610" s="15" t="s">
        <v>351</v>
      </c>
      <c r="E610" s="15" t="s">
        <v>901</v>
      </c>
      <c r="F610" s="15"/>
      <c r="G610" s="15" t="s">
        <v>2811</v>
      </c>
      <c r="H610" s="16" t="s">
        <v>16</v>
      </c>
      <c r="I610" s="16">
        <v>53</v>
      </c>
      <c r="J610" s="16"/>
      <c r="K610" s="1"/>
      <c r="L610" s="1"/>
      <c r="M610" s="1"/>
    </row>
    <row r="611" spans="1:13" x14ac:dyDescent="0.25">
      <c r="A611" s="20"/>
      <c r="B611" s="22" t="s">
        <v>3078</v>
      </c>
      <c r="C611" s="14" t="s">
        <v>88</v>
      </c>
      <c r="D611" s="15" t="s">
        <v>431</v>
      </c>
      <c r="E611" s="15" t="s">
        <v>903</v>
      </c>
      <c r="F611" s="15"/>
      <c r="G611" s="15" t="s">
        <v>2811</v>
      </c>
      <c r="H611" s="16" t="s">
        <v>16</v>
      </c>
      <c r="I611" s="16">
        <v>20</v>
      </c>
      <c r="J611" s="16"/>
      <c r="K611" s="1"/>
      <c r="L611" s="1"/>
      <c r="M611" s="1"/>
    </row>
    <row r="612" spans="1:13" x14ac:dyDescent="0.25">
      <c r="A612" s="20"/>
      <c r="B612" s="22" t="s">
        <v>3080</v>
      </c>
      <c r="C612" s="14" t="s">
        <v>88</v>
      </c>
      <c r="D612" s="15" t="s">
        <v>434</v>
      </c>
      <c r="E612" s="15" t="s">
        <v>905</v>
      </c>
      <c r="F612" s="15"/>
      <c r="G612" s="15" t="s">
        <v>2811</v>
      </c>
      <c r="H612" s="16" t="s">
        <v>16</v>
      </c>
      <c r="I612" s="16">
        <v>14</v>
      </c>
      <c r="J612" s="16"/>
      <c r="K612" s="1"/>
      <c r="L612" s="1"/>
      <c r="M612" s="1"/>
    </row>
    <row r="613" spans="1:13" x14ac:dyDescent="0.25">
      <c r="A613" s="20"/>
      <c r="B613" s="22" t="s">
        <v>2840</v>
      </c>
      <c r="C613" s="14" t="s">
        <v>88</v>
      </c>
      <c r="D613" s="15" t="s">
        <v>437</v>
      </c>
      <c r="E613" s="15" t="s">
        <v>907</v>
      </c>
      <c r="F613" s="15"/>
      <c r="G613" s="15" t="s">
        <v>2833</v>
      </c>
      <c r="H613" s="16" t="s">
        <v>16</v>
      </c>
      <c r="I613" s="16">
        <v>20</v>
      </c>
      <c r="J613" s="16" t="s">
        <v>2841</v>
      </c>
      <c r="K613" s="1"/>
      <c r="L613" s="1"/>
      <c r="M613" s="1"/>
    </row>
    <row r="614" spans="1:13" x14ac:dyDescent="0.25">
      <c r="A614" s="20"/>
      <c r="B614" s="22" t="s">
        <v>886</v>
      </c>
      <c r="C614" s="14" t="s">
        <v>12</v>
      </c>
      <c r="D614" s="15" t="s">
        <v>440</v>
      </c>
      <c r="E614" s="15" t="s">
        <v>909</v>
      </c>
      <c r="F614" s="15"/>
      <c r="G614" s="15"/>
      <c r="H614" s="16" t="s">
        <v>16</v>
      </c>
      <c r="I614" s="16"/>
      <c r="J614" s="16"/>
      <c r="K614" s="1"/>
      <c r="L614" s="1"/>
      <c r="M614" s="1"/>
    </row>
    <row r="615" spans="1:13" x14ac:dyDescent="0.25">
      <c r="A615" s="20"/>
      <c r="B615" s="22" t="s">
        <v>888</v>
      </c>
      <c r="C615" s="14" t="s">
        <v>12</v>
      </c>
      <c r="D615" s="15" t="s">
        <v>443</v>
      </c>
      <c r="E615" s="15" t="s">
        <v>911</v>
      </c>
      <c r="F615" s="15"/>
      <c r="G615" s="15"/>
      <c r="H615" s="16" t="s">
        <v>16</v>
      </c>
      <c r="I615" s="16"/>
      <c r="J615" s="16"/>
      <c r="K615" s="1"/>
      <c r="L615" s="1"/>
      <c r="M615" s="1"/>
    </row>
    <row r="616" spans="1:13" x14ac:dyDescent="0.25">
      <c r="A616" s="20"/>
      <c r="B616" s="22" t="s">
        <v>890</v>
      </c>
      <c r="C616" s="14" t="s">
        <v>12</v>
      </c>
      <c r="D616" s="15" t="s">
        <v>446</v>
      </c>
      <c r="E616" s="15" t="s">
        <v>913</v>
      </c>
      <c r="F616" s="15"/>
      <c r="G616" s="15"/>
      <c r="H616" s="16" t="s">
        <v>16</v>
      </c>
      <c r="I616" s="16"/>
      <c r="J616" s="16"/>
      <c r="K616" s="1"/>
      <c r="L616" s="1"/>
      <c r="M616" s="1"/>
    </row>
    <row r="617" spans="1:13" x14ac:dyDescent="0.25">
      <c r="A617" s="20"/>
      <c r="B617" s="22" t="s">
        <v>892</v>
      </c>
      <c r="C617" s="14" t="s">
        <v>12</v>
      </c>
      <c r="D617" s="15" t="s">
        <v>449</v>
      </c>
      <c r="E617" s="15" t="s">
        <v>915</v>
      </c>
      <c r="F617" s="15"/>
      <c r="G617" s="15"/>
      <c r="H617" s="16" t="s">
        <v>16</v>
      </c>
      <c r="I617" s="16"/>
      <c r="J617" s="16"/>
      <c r="K617" s="1"/>
      <c r="L617" s="1"/>
      <c r="M617" s="1"/>
    </row>
    <row r="618" spans="1:13" x14ac:dyDescent="0.25">
      <c r="A618" s="20"/>
      <c r="B618" s="22" t="s">
        <v>894</v>
      </c>
      <c r="C618" s="14" t="s">
        <v>12</v>
      </c>
      <c r="D618" s="15" t="s">
        <v>452</v>
      </c>
      <c r="E618" s="15" t="s">
        <v>917</v>
      </c>
      <c r="F618" s="15"/>
      <c r="G618" s="15"/>
      <c r="H618" s="16" t="s">
        <v>16</v>
      </c>
      <c r="I618" s="16"/>
      <c r="J618" s="16"/>
      <c r="K618" s="1"/>
      <c r="L618" s="1"/>
      <c r="M618" s="1"/>
    </row>
    <row r="619" spans="1:13" ht="30" x14ac:dyDescent="0.25">
      <c r="A619" s="20"/>
      <c r="B619" s="22" t="s">
        <v>3342</v>
      </c>
      <c r="C619" s="14" t="s">
        <v>12</v>
      </c>
      <c r="D619" s="15" t="s">
        <v>455</v>
      </c>
      <c r="E619" s="15" t="s">
        <v>919</v>
      </c>
      <c r="F619" s="90" t="s">
        <v>3343</v>
      </c>
      <c r="G619" s="15" t="s">
        <v>3331</v>
      </c>
      <c r="H619" s="16" t="s">
        <v>16</v>
      </c>
      <c r="I619" s="16">
        <v>1</v>
      </c>
      <c r="J619" s="16"/>
      <c r="K619" s="1"/>
      <c r="L619" s="1"/>
      <c r="M619" s="1"/>
    </row>
    <row r="620" spans="1:13" x14ac:dyDescent="0.25">
      <c r="A620" s="20"/>
      <c r="B620" s="22" t="s">
        <v>3344</v>
      </c>
      <c r="C620" s="14" t="s">
        <v>12</v>
      </c>
      <c r="D620" s="15" t="s">
        <v>458</v>
      </c>
      <c r="E620" s="15" t="s">
        <v>921</v>
      </c>
      <c r="F620" s="15" t="s">
        <v>3345</v>
      </c>
      <c r="G620" s="15" t="s">
        <v>3331</v>
      </c>
      <c r="H620" s="16" t="s">
        <v>16</v>
      </c>
      <c r="I620" s="16">
        <v>1</v>
      </c>
      <c r="J620" s="16"/>
      <c r="K620" s="1"/>
      <c r="L620" s="1"/>
      <c r="M620" s="1"/>
    </row>
    <row r="621" spans="1:13" x14ac:dyDescent="0.25">
      <c r="A621" s="20"/>
      <c r="B621" s="22" t="s">
        <v>2855</v>
      </c>
      <c r="C621" s="14" t="s">
        <v>12</v>
      </c>
      <c r="D621" s="15" t="s">
        <v>461</v>
      </c>
      <c r="E621" s="15" t="s">
        <v>923</v>
      </c>
      <c r="F621" s="15"/>
      <c r="G621" s="15" t="s">
        <v>2833</v>
      </c>
      <c r="H621" s="16" t="s">
        <v>16</v>
      </c>
      <c r="I621" s="16">
        <v>4</v>
      </c>
      <c r="J621" s="16" t="s">
        <v>2841</v>
      </c>
      <c r="K621" s="1"/>
      <c r="L621" s="1"/>
      <c r="M621" s="1"/>
    </row>
    <row r="622" spans="1:13" x14ac:dyDescent="0.25">
      <c r="A622" s="20"/>
      <c r="B622" s="22" t="s">
        <v>896</v>
      </c>
      <c r="C622" s="14" t="s">
        <v>12</v>
      </c>
      <c r="D622" s="15" t="s">
        <v>464</v>
      </c>
      <c r="E622" s="15" t="s">
        <v>925</v>
      </c>
      <c r="F622" s="15"/>
      <c r="G622" s="15"/>
      <c r="H622" s="16" t="s">
        <v>16</v>
      </c>
      <c r="I622" s="16"/>
      <c r="J622" s="16"/>
      <c r="K622" s="1"/>
      <c r="L622" s="1"/>
      <c r="M622" s="1"/>
    </row>
    <row r="623" spans="1:13" x14ac:dyDescent="0.25">
      <c r="A623" s="20"/>
      <c r="B623" s="22" t="s">
        <v>898</v>
      </c>
      <c r="C623" s="14" t="s">
        <v>12</v>
      </c>
      <c r="D623" s="15" t="s">
        <v>467</v>
      </c>
      <c r="E623" s="15" t="s">
        <v>928</v>
      </c>
      <c r="F623" s="15"/>
      <c r="G623" s="15"/>
      <c r="H623" s="16" t="s">
        <v>16</v>
      </c>
      <c r="I623" s="16"/>
      <c r="J623" s="16"/>
      <c r="K623" s="1"/>
      <c r="L623" s="1"/>
      <c r="M623" s="1"/>
    </row>
    <row r="624" spans="1:13" x14ac:dyDescent="0.25">
      <c r="A624" s="20"/>
      <c r="B624" s="22" t="s">
        <v>900</v>
      </c>
      <c r="C624" s="14" t="s">
        <v>12</v>
      </c>
      <c r="D624" s="15" t="s">
        <v>470</v>
      </c>
      <c r="E624" s="15" t="s">
        <v>930</v>
      </c>
      <c r="F624" s="15"/>
      <c r="G624" s="15"/>
      <c r="H624" s="16" t="s">
        <v>16</v>
      </c>
      <c r="I624" s="16"/>
      <c r="J624" s="16"/>
      <c r="K624" s="1"/>
      <c r="L624" s="1"/>
      <c r="M624" s="1"/>
    </row>
    <row r="625" spans="1:13" x14ac:dyDescent="0.25">
      <c r="A625" s="20"/>
      <c r="B625" s="22" t="s">
        <v>902</v>
      </c>
      <c r="C625" s="14" t="s">
        <v>12</v>
      </c>
      <c r="D625" s="15" t="s">
        <v>473</v>
      </c>
      <c r="E625" s="15" t="s">
        <v>932</v>
      </c>
      <c r="F625" s="15"/>
      <c r="G625" s="15"/>
      <c r="H625" s="16" t="s">
        <v>16</v>
      </c>
      <c r="I625" s="16"/>
      <c r="J625" s="16"/>
      <c r="K625" s="1"/>
      <c r="L625" s="1"/>
      <c r="M625" s="1"/>
    </row>
    <row r="626" spans="1:13" x14ac:dyDescent="0.25">
      <c r="A626" s="20"/>
      <c r="B626" s="22" t="s">
        <v>904</v>
      </c>
      <c r="C626" s="14" t="s">
        <v>12</v>
      </c>
      <c r="D626" s="15" t="s">
        <v>476</v>
      </c>
      <c r="E626" s="15" t="s">
        <v>934</v>
      </c>
      <c r="F626" s="15"/>
      <c r="G626" s="15"/>
      <c r="H626" s="16" t="s">
        <v>16</v>
      </c>
      <c r="I626" s="16"/>
      <c r="J626" s="16"/>
      <c r="K626" s="1"/>
      <c r="L626" s="1"/>
      <c r="M626" s="1"/>
    </row>
    <row r="627" spans="1:13" x14ac:dyDescent="0.25">
      <c r="A627" s="14"/>
      <c r="B627" s="22" t="s">
        <v>2709</v>
      </c>
      <c r="C627" s="14" t="s">
        <v>12</v>
      </c>
      <c r="D627" s="15" t="s">
        <v>479</v>
      </c>
      <c r="E627" s="15" t="s">
        <v>936</v>
      </c>
      <c r="F627" s="15"/>
      <c r="G627" s="15" t="s">
        <v>2702</v>
      </c>
      <c r="H627" s="16" t="s">
        <v>16</v>
      </c>
      <c r="I627" s="16">
        <v>6</v>
      </c>
      <c r="J627" s="16"/>
      <c r="K627" s="1"/>
      <c r="L627" s="1"/>
      <c r="M627" s="1"/>
    </row>
    <row r="628" spans="1:13" x14ac:dyDescent="0.25">
      <c r="A628" s="14"/>
      <c r="B628" s="22" t="s">
        <v>2708</v>
      </c>
      <c r="C628" s="14" t="s">
        <v>12</v>
      </c>
      <c r="D628" s="15" t="s">
        <v>482</v>
      </c>
      <c r="E628" s="15" t="s">
        <v>938</v>
      </c>
      <c r="F628" s="15"/>
      <c r="G628" s="15" t="s">
        <v>2702</v>
      </c>
      <c r="H628" s="16" t="s">
        <v>16</v>
      </c>
      <c r="I628" s="16">
        <v>10</v>
      </c>
      <c r="J628" s="16"/>
      <c r="K628" s="1"/>
      <c r="L628" s="1"/>
      <c r="M628" s="1"/>
    </row>
    <row r="629" spans="1:13" x14ac:dyDescent="0.25">
      <c r="A629" s="106"/>
      <c r="B629" s="22" t="s">
        <v>2707</v>
      </c>
      <c r="C629" s="14" t="s">
        <v>12</v>
      </c>
      <c r="D629" s="15" t="s">
        <v>485</v>
      </c>
      <c r="E629" s="15" t="s">
        <v>940</v>
      </c>
      <c r="F629" s="15"/>
      <c r="G629" s="15" t="s">
        <v>2702</v>
      </c>
      <c r="H629" s="16" t="s">
        <v>16</v>
      </c>
      <c r="I629" s="16">
        <v>18</v>
      </c>
      <c r="J629" s="16"/>
      <c r="K629" s="1"/>
      <c r="L629" s="1"/>
      <c r="M629" s="1"/>
    </row>
    <row r="630" spans="1:13" x14ac:dyDescent="0.25">
      <c r="A630" s="14"/>
      <c r="B630" s="22" t="s">
        <v>2706</v>
      </c>
      <c r="C630" s="14" t="s">
        <v>12</v>
      </c>
      <c r="D630" s="15" t="s">
        <v>488</v>
      </c>
      <c r="E630" s="15" t="s">
        <v>942</v>
      </c>
      <c r="F630" s="15"/>
      <c r="G630" s="15" t="s">
        <v>2702</v>
      </c>
      <c r="H630" s="16" t="s">
        <v>16</v>
      </c>
      <c r="I630" s="16">
        <v>10</v>
      </c>
      <c r="J630" s="16"/>
      <c r="K630" s="1"/>
      <c r="L630" s="1"/>
      <c r="M630" s="1"/>
    </row>
    <row r="631" spans="1:13" x14ac:dyDescent="0.25">
      <c r="A631" s="14"/>
      <c r="B631" s="22" t="s">
        <v>2704</v>
      </c>
      <c r="C631" s="14" t="s">
        <v>12</v>
      </c>
      <c r="D631" s="15" t="s">
        <v>491</v>
      </c>
      <c r="E631" s="15" t="s">
        <v>944</v>
      </c>
      <c r="F631" s="15"/>
      <c r="G631" s="15" t="s">
        <v>2702</v>
      </c>
      <c r="H631" s="16" t="s">
        <v>16</v>
      </c>
      <c r="I631" s="16">
        <v>20</v>
      </c>
      <c r="J631" s="16"/>
      <c r="K631" s="1"/>
      <c r="L631" s="1"/>
    </row>
    <row r="632" spans="1:13" x14ac:dyDescent="0.25">
      <c r="A632" s="14"/>
      <c r="B632" s="22" t="s">
        <v>2705</v>
      </c>
      <c r="C632" s="14" t="s">
        <v>12</v>
      </c>
      <c r="D632" s="15" t="s">
        <v>494</v>
      </c>
      <c r="E632" s="15" t="s">
        <v>946</v>
      </c>
      <c r="F632" s="15"/>
      <c r="G632" s="15" t="s">
        <v>2702</v>
      </c>
      <c r="H632" s="16" t="s">
        <v>16</v>
      </c>
      <c r="I632" s="16">
        <v>40</v>
      </c>
      <c r="J632" s="16"/>
      <c r="K632" s="1"/>
      <c r="L632" s="1"/>
    </row>
    <row r="633" spans="1:13" x14ac:dyDescent="0.25">
      <c r="A633" s="36"/>
      <c r="B633" s="35" t="s">
        <v>957</v>
      </c>
      <c r="C633" s="14" t="s">
        <v>12</v>
      </c>
      <c r="D633" s="15" t="s">
        <v>497</v>
      </c>
      <c r="E633" s="15" t="s">
        <v>948</v>
      </c>
      <c r="F633" s="15"/>
      <c r="G633" s="15"/>
      <c r="H633" s="16" t="s">
        <v>16</v>
      </c>
      <c r="I633" s="16"/>
      <c r="J633" s="16"/>
      <c r="K633" s="1"/>
      <c r="L633" s="1"/>
    </row>
    <row r="634" spans="1:13" x14ac:dyDescent="0.25">
      <c r="A634" s="20"/>
      <c r="B634" s="22" t="s">
        <v>906</v>
      </c>
      <c r="C634" s="14" t="s">
        <v>12</v>
      </c>
      <c r="D634" s="15" t="s">
        <v>500</v>
      </c>
      <c r="E634" s="15" t="s">
        <v>950</v>
      </c>
      <c r="F634" s="15"/>
      <c r="G634" s="15"/>
      <c r="H634" s="16" t="s">
        <v>16</v>
      </c>
      <c r="I634" s="16"/>
      <c r="J634" s="16"/>
      <c r="K634" s="1"/>
      <c r="L634" s="1"/>
    </row>
    <row r="635" spans="1:13" x14ac:dyDescent="0.25">
      <c r="A635" s="20"/>
      <c r="B635" s="22" t="s">
        <v>908</v>
      </c>
      <c r="C635" s="14" t="s">
        <v>88</v>
      </c>
      <c r="D635" s="15" t="s">
        <v>503</v>
      </c>
      <c r="E635" s="15" t="s">
        <v>952</v>
      </c>
      <c r="F635" s="15"/>
      <c r="G635" s="15" t="s">
        <v>2698</v>
      </c>
      <c r="H635" s="16" t="s">
        <v>16</v>
      </c>
      <c r="I635" s="16">
        <v>120</v>
      </c>
      <c r="J635" s="16"/>
      <c r="K635" s="1"/>
      <c r="L635" s="1"/>
    </row>
    <row r="636" spans="1:13" x14ac:dyDescent="0.25">
      <c r="A636" s="36"/>
      <c r="B636" s="35" t="s">
        <v>951</v>
      </c>
      <c r="C636" s="14" t="s">
        <v>88</v>
      </c>
      <c r="D636" s="15" t="s">
        <v>506</v>
      </c>
      <c r="E636" s="15" t="s">
        <v>954</v>
      </c>
      <c r="F636" s="15"/>
      <c r="G636" s="15"/>
      <c r="H636" s="16" t="s">
        <v>16</v>
      </c>
      <c r="I636" s="16"/>
      <c r="J636" s="16"/>
      <c r="K636" s="1"/>
      <c r="L636" s="1"/>
    </row>
    <row r="637" spans="1:13" x14ac:dyDescent="0.25">
      <c r="A637" s="20"/>
      <c r="B637" s="22" t="s">
        <v>910</v>
      </c>
      <c r="C637" s="14" t="s">
        <v>12</v>
      </c>
      <c r="D637" s="15" t="s">
        <v>509</v>
      </c>
      <c r="E637" s="15" t="s">
        <v>956</v>
      </c>
      <c r="F637" s="15"/>
      <c r="G637" s="15"/>
      <c r="H637" s="16" t="s">
        <v>16</v>
      </c>
      <c r="I637" s="16"/>
      <c r="J637" s="16"/>
      <c r="K637" s="1"/>
      <c r="L637" s="1"/>
    </row>
    <row r="638" spans="1:13" x14ac:dyDescent="0.25">
      <c r="A638" s="20"/>
      <c r="B638" s="22" t="s">
        <v>912</v>
      </c>
      <c r="C638" s="14" t="s">
        <v>12</v>
      </c>
      <c r="D638" s="15" t="s">
        <v>512</v>
      </c>
      <c r="E638" s="15" t="s">
        <v>958</v>
      </c>
      <c r="F638" s="15"/>
      <c r="G638" s="15"/>
      <c r="H638" s="16" t="s">
        <v>16</v>
      </c>
      <c r="I638" s="16"/>
      <c r="J638" s="16"/>
      <c r="K638" s="1"/>
      <c r="L638" s="1"/>
    </row>
    <row r="639" spans="1:13" x14ac:dyDescent="0.25">
      <c r="A639" s="36"/>
      <c r="B639" s="35" t="s">
        <v>945</v>
      </c>
      <c r="C639" s="14" t="s">
        <v>12</v>
      </c>
      <c r="D639" s="15" t="s">
        <v>515</v>
      </c>
      <c r="E639" s="15" t="s">
        <v>960</v>
      </c>
      <c r="F639" s="15"/>
      <c r="G639" s="15"/>
      <c r="H639" s="16" t="s">
        <v>16</v>
      </c>
      <c r="I639" s="16"/>
      <c r="J639" s="16"/>
      <c r="K639" s="1"/>
      <c r="L639" s="1"/>
    </row>
    <row r="640" spans="1:13" x14ac:dyDescent="0.25">
      <c r="A640" s="36"/>
      <c r="B640" s="35" t="s">
        <v>947</v>
      </c>
      <c r="C640" s="14" t="s">
        <v>12</v>
      </c>
      <c r="D640" s="15" t="s">
        <v>518</v>
      </c>
      <c r="E640" s="15" t="s">
        <v>962</v>
      </c>
      <c r="F640" s="15"/>
      <c r="G640" s="15"/>
      <c r="H640" s="16" t="s">
        <v>16</v>
      </c>
      <c r="I640" s="16"/>
      <c r="J640" s="16"/>
      <c r="K640" s="1"/>
      <c r="L640" s="1"/>
    </row>
    <row r="641" spans="1:13" s="11" customFormat="1" x14ac:dyDescent="0.25">
      <c r="A641" s="20"/>
      <c r="B641" s="22" t="s">
        <v>914</v>
      </c>
      <c r="C641" s="14" t="s">
        <v>12</v>
      </c>
      <c r="D641" s="15" t="s">
        <v>521</v>
      </c>
      <c r="E641" s="15" t="s">
        <v>4024</v>
      </c>
      <c r="F641" s="15"/>
      <c r="G641" s="15"/>
      <c r="H641" s="16" t="s">
        <v>16</v>
      </c>
      <c r="I641" s="16"/>
      <c r="J641" s="16"/>
      <c r="M641" s="12"/>
    </row>
    <row r="642" spans="1:13" x14ac:dyDescent="0.25">
      <c r="A642" s="20"/>
      <c r="B642" s="22" t="s">
        <v>916</v>
      </c>
      <c r="C642" s="14" t="s">
        <v>12</v>
      </c>
      <c r="D642" s="15" t="s">
        <v>524</v>
      </c>
      <c r="E642" s="15" t="s">
        <v>4025</v>
      </c>
      <c r="F642" s="15"/>
      <c r="G642" s="15"/>
      <c r="H642" s="16" t="s">
        <v>16</v>
      </c>
      <c r="I642" s="16"/>
      <c r="J642" s="16"/>
      <c r="K642" s="1"/>
      <c r="L642" s="1"/>
    </row>
    <row r="643" spans="1:13" x14ac:dyDescent="0.25">
      <c r="A643" s="20"/>
      <c r="B643" s="22" t="s">
        <v>918</v>
      </c>
      <c r="C643" s="14" t="s">
        <v>12</v>
      </c>
      <c r="D643" s="15" t="s">
        <v>527</v>
      </c>
      <c r="E643" s="15" t="s">
        <v>4026</v>
      </c>
      <c r="F643" s="15"/>
      <c r="G643" s="15"/>
      <c r="H643" s="16" t="s">
        <v>16</v>
      </c>
      <c r="I643" s="16"/>
      <c r="J643" s="16"/>
      <c r="K643" s="1"/>
      <c r="L643" s="1"/>
    </row>
    <row r="644" spans="1:13" x14ac:dyDescent="0.25">
      <c r="A644" s="20"/>
      <c r="B644" s="22" t="s">
        <v>920</v>
      </c>
      <c r="C644" s="14" t="s">
        <v>12</v>
      </c>
      <c r="D644" s="15" t="s">
        <v>530</v>
      </c>
      <c r="E644" s="15" t="s">
        <v>4027</v>
      </c>
      <c r="F644" s="15"/>
      <c r="G644" s="15"/>
      <c r="H644" s="16" t="s">
        <v>16</v>
      </c>
      <c r="I644" s="16"/>
      <c r="J644" s="16"/>
      <c r="K644" s="1"/>
      <c r="L644" s="1"/>
    </row>
    <row r="645" spans="1:13" x14ac:dyDescent="0.25">
      <c r="A645" s="20"/>
      <c r="B645" s="22" t="s">
        <v>922</v>
      </c>
      <c r="C645" s="14" t="s">
        <v>12</v>
      </c>
      <c r="D645" s="15" t="s">
        <v>533</v>
      </c>
      <c r="E645" s="15" t="s">
        <v>4028</v>
      </c>
      <c r="F645" s="15"/>
      <c r="G645" s="15"/>
      <c r="H645" s="16" t="s">
        <v>16</v>
      </c>
      <c r="I645" s="16"/>
      <c r="J645" s="16"/>
      <c r="K645" s="1"/>
      <c r="L645" s="1"/>
    </row>
    <row r="646" spans="1:13" x14ac:dyDescent="0.25">
      <c r="A646" s="20"/>
      <c r="B646" s="22" t="s">
        <v>2700</v>
      </c>
      <c r="C646" s="14" t="s">
        <v>12</v>
      </c>
      <c r="D646" s="15" t="s">
        <v>536</v>
      </c>
      <c r="E646" s="15" t="s">
        <v>4029</v>
      </c>
      <c r="F646" s="15"/>
      <c r="G646" s="15" t="s">
        <v>2699</v>
      </c>
      <c r="H646" s="16" t="s">
        <v>16</v>
      </c>
      <c r="I646" s="16">
        <v>25</v>
      </c>
      <c r="J646" s="16"/>
      <c r="K646" s="1"/>
      <c r="L646" s="1"/>
    </row>
    <row r="647" spans="1:13" x14ac:dyDescent="0.25">
      <c r="A647" s="20"/>
      <c r="B647" s="22" t="s">
        <v>2866</v>
      </c>
      <c r="C647" s="14" t="s">
        <v>12</v>
      </c>
      <c r="D647" s="15" t="s">
        <v>539</v>
      </c>
      <c r="E647" s="15" t="s">
        <v>4030</v>
      </c>
      <c r="F647" s="15"/>
      <c r="G647" s="15" t="s">
        <v>2865</v>
      </c>
      <c r="H647" s="16" t="s">
        <v>16</v>
      </c>
      <c r="I647" s="16">
        <v>11</v>
      </c>
      <c r="J647" s="16"/>
      <c r="K647" s="1"/>
      <c r="L647" s="1"/>
    </row>
    <row r="648" spans="1:13" x14ac:dyDescent="0.25">
      <c r="A648" s="36"/>
      <c r="B648" s="35" t="s">
        <v>959</v>
      </c>
      <c r="C648" s="14" t="s">
        <v>12</v>
      </c>
      <c r="D648" s="15" t="s">
        <v>542</v>
      </c>
      <c r="E648" s="15" t="s">
        <v>4031</v>
      </c>
      <c r="F648" s="15"/>
      <c r="G648" s="15"/>
      <c r="H648" s="16" t="s">
        <v>926</v>
      </c>
      <c r="I648" s="16"/>
      <c r="J648" s="16"/>
      <c r="K648" s="1"/>
      <c r="L648" s="1"/>
      <c r="M648" s="1"/>
    </row>
    <row r="649" spans="1:13" x14ac:dyDescent="0.25">
      <c r="A649" s="36"/>
      <c r="B649" s="22" t="s">
        <v>961</v>
      </c>
      <c r="C649" s="14" t="s">
        <v>12</v>
      </c>
      <c r="D649" s="15" t="s">
        <v>545</v>
      </c>
      <c r="E649" s="15" t="s">
        <v>4032</v>
      </c>
      <c r="F649" s="15"/>
      <c r="G649" s="15"/>
      <c r="H649" s="16" t="s">
        <v>926</v>
      </c>
      <c r="I649" s="16"/>
      <c r="J649" s="16"/>
      <c r="K649" s="1"/>
      <c r="L649" s="1"/>
      <c r="M649" s="1"/>
    </row>
    <row r="650" spans="1:13" x14ac:dyDescent="0.25">
      <c r="A650" s="36"/>
      <c r="B650" s="35" t="s">
        <v>953</v>
      </c>
      <c r="C650" s="14" t="s">
        <v>12</v>
      </c>
      <c r="D650" s="15" t="s">
        <v>548</v>
      </c>
      <c r="E650" s="15" t="s">
        <v>4033</v>
      </c>
      <c r="F650" s="15"/>
      <c r="G650" s="15"/>
      <c r="H650" s="16" t="s">
        <v>16</v>
      </c>
      <c r="I650" s="16"/>
      <c r="J650" s="16"/>
      <c r="K650" s="1"/>
      <c r="L650" s="1"/>
      <c r="M650" s="1"/>
    </row>
    <row r="651" spans="1:13" x14ac:dyDescent="0.25">
      <c r="A651" s="20"/>
      <c r="B651" s="22" t="s">
        <v>2845</v>
      </c>
      <c r="C651" s="14" t="s">
        <v>12</v>
      </c>
      <c r="D651" s="15" t="s">
        <v>551</v>
      </c>
      <c r="E651" s="15" t="s">
        <v>4034</v>
      </c>
      <c r="F651" s="15"/>
      <c r="G651" s="15" t="s">
        <v>2833</v>
      </c>
      <c r="H651" s="16" t="s">
        <v>16</v>
      </c>
      <c r="I651" s="16">
        <v>5</v>
      </c>
      <c r="J651" s="16" t="s">
        <v>2841</v>
      </c>
      <c r="K651" s="1"/>
      <c r="L651" s="1"/>
    </row>
    <row r="652" spans="1:13" s="115" customFormat="1" x14ac:dyDescent="0.25">
      <c r="A652" s="114"/>
      <c r="B652" s="111" t="s">
        <v>829</v>
      </c>
      <c r="C652" s="14" t="s">
        <v>12</v>
      </c>
      <c r="D652" s="15" t="s">
        <v>554</v>
      </c>
      <c r="E652" s="15" t="s">
        <v>4035</v>
      </c>
      <c r="F652" s="112"/>
      <c r="G652" s="112"/>
      <c r="H652" s="113" t="s">
        <v>16</v>
      </c>
      <c r="I652" s="113"/>
      <c r="J652" s="113"/>
      <c r="M652" s="117"/>
    </row>
    <row r="653" spans="1:13" s="115" customFormat="1" x14ac:dyDescent="0.25">
      <c r="A653" s="114"/>
      <c r="B653" s="111" t="s">
        <v>831</v>
      </c>
      <c r="C653" s="114" t="s">
        <v>12</v>
      </c>
      <c r="D653" s="15" t="s">
        <v>557</v>
      </c>
      <c r="E653" s="15" t="s">
        <v>4036</v>
      </c>
      <c r="F653" s="112"/>
      <c r="G653" s="112"/>
      <c r="H653" s="113" t="s">
        <v>16</v>
      </c>
      <c r="I653" s="113"/>
      <c r="J653" s="113"/>
    </row>
    <row r="654" spans="1:13" x14ac:dyDescent="0.25">
      <c r="A654" s="20"/>
      <c r="B654" s="22" t="s">
        <v>827</v>
      </c>
      <c r="C654" s="14" t="s">
        <v>12</v>
      </c>
      <c r="D654" s="15" t="s">
        <v>560</v>
      </c>
      <c r="E654" s="15" t="s">
        <v>4037</v>
      </c>
      <c r="F654" s="15"/>
      <c r="G654" s="15"/>
      <c r="H654" s="16" t="s">
        <v>16</v>
      </c>
      <c r="I654" s="16"/>
      <c r="J654" s="16" t="s">
        <v>17</v>
      </c>
      <c r="K654" s="1"/>
      <c r="L654" s="1"/>
      <c r="M654" s="1"/>
    </row>
    <row r="655" spans="1:13" x14ac:dyDescent="0.25">
      <c r="A655" s="20"/>
      <c r="B655" s="22" t="s">
        <v>825</v>
      </c>
      <c r="C655" s="14" t="s">
        <v>12</v>
      </c>
      <c r="D655" s="15" t="s">
        <v>563</v>
      </c>
      <c r="E655" s="15" t="s">
        <v>4038</v>
      </c>
      <c r="F655" s="15"/>
      <c r="G655" s="15"/>
      <c r="H655" s="16" t="s">
        <v>16</v>
      </c>
      <c r="I655" s="16"/>
      <c r="J655" s="16" t="s">
        <v>17</v>
      </c>
      <c r="K655" s="1"/>
      <c r="L655" s="1"/>
      <c r="M655" s="1"/>
    </row>
    <row r="656" spans="1:13" x14ac:dyDescent="0.25">
      <c r="A656" s="20"/>
      <c r="B656" s="22" t="s">
        <v>823</v>
      </c>
      <c r="C656" s="14" t="s">
        <v>12</v>
      </c>
      <c r="D656" s="15" t="s">
        <v>566</v>
      </c>
      <c r="E656" s="15" t="s">
        <v>4039</v>
      </c>
      <c r="F656" s="15"/>
      <c r="G656" s="15"/>
      <c r="H656" s="16" t="s">
        <v>16</v>
      </c>
      <c r="I656" s="16"/>
      <c r="J656" s="16" t="s">
        <v>17</v>
      </c>
      <c r="K656" s="1"/>
      <c r="L656" s="1"/>
      <c r="M656" s="1"/>
    </row>
    <row r="657" spans="1:13" x14ac:dyDescent="0.25">
      <c r="A657" s="36"/>
      <c r="B657" s="22" t="s">
        <v>2650</v>
      </c>
      <c r="C657" s="14" t="s">
        <v>12</v>
      </c>
      <c r="D657" s="15" t="s">
        <v>569</v>
      </c>
      <c r="E657" s="15" t="s">
        <v>4040</v>
      </c>
      <c r="F657" s="15"/>
      <c r="G657" s="15" t="s">
        <v>2398</v>
      </c>
      <c r="H657" s="16" t="s">
        <v>267</v>
      </c>
      <c r="I657" s="16">
        <v>1</v>
      </c>
      <c r="J657" s="16"/>
      <c r="K657" s="1"/>
      <c r="L657" s="1"/>
      <c r="M657" s="1"/>
    </row>
    <row r="658" spans="1:13" x14ac:dyDescent="0.25">
      <c r="A658" s="20"/>
      <c r="B658" s="22" t="s">
        <v>833</v>
      </c>
      <c r="C658" s="14" t="s">
        <v>12</v>
      </c>
      <c r="D658" s="15" t="s">
        <v>572</v>
      </c>
      <c r="E658" s="15" t="s">
        <v>4041</v>
      </c>
      <c r="F658" s="15"/>
      <c r="G658" s="15"/>
      <c r="H658" s="16" t="s">
        <v>16</v>
      </c>
      <c r="I658" s="16"/>
      <c r="J658" s="16"/>
      <c r="K658" s="1"/>
      <c r="L658" s="1"/>
      <c r="M658" s="1"/>
    </row>
    <row r="659" spans="1:13" x14ac:dyDescent="0.25">
      <c r="A659" s="36"/>
      <c r="B659" s="35" t="s">
        <v>939</v>
      </c>
      <c r="C659" s="14" t="s">
        <v>12</v>
      </c>
      <c r="D659" s="15" t="s">
        <v>575</v>
      </c>
      <c r="E659" s="15" t="s">
        <v>4042</v>
      </c>
      <c r="F659" s="15"/>
      <c r="G659" s="15"/>
      <c r="H659" s="16" t="s">
        <v>16</v>
      </c>
      <c r="I659" s="16"/>
      <c r="J659" s="16"/>
      <c r="K659" s="1"/>
      <c r="L659" s="1"/>
      <c r="M659" s="1"/>
    </row>
    <row r="660" spans="1:13" x14ac:dyDescent="0.25">
      <c r="A660" s="36"/>
      <c r="B660" s="35" t="s">
        <v>941</v>
      </c>
      <c r="C660" s="14" t="s">
        <v>12</v>
      </c>
      <c r="D660" s="15" t="s">
        <v>578</v>
      </c>
      <c r="E660" s="15" t="s">
        <v>4043</v>
      </c>
      <c r="F660" s="15"/>
      <c r="G660" s="15"/>
      <c r="H660" s="16" t="s">
        <v>16</v>
      </c>
      <c r="I660" s="16"/>
      <c r="J660" s="16"/>
      <c r="K660" s="1"/>
      <c r="L660" s="1"/>
      <c r="M660" s="1"/>
    </row>
    <row r="661" spans="1:13" x14ac:dyDescent="0.25">
      <c r="A661" s="20"/>
      <c r="B661" s="22" t="s">
        <v>835</v>
      </c>
      <c r="C661" s="14" t="s">
        <v>12</v>
      </c>
      <c r="D661" s="15" t="s">
        <v>1411</v>
      </c>
      <c r="E661" s="15" t="s">
        <v>4044</v>
      </c>
      <c r="F661" s="15"/>
      <c r="G661" s="15"/>
      <c r="H661" s="16" t="s">
        <v>16</v>
      </c>
      <c r="I661" s="16"/>
      <c r="J661" s="16"/>
      <c r="K661" s="1"/>
      <c r="L661" s="1"/>
      <c r="M661" s="1"/>
    </row>
    <row r="662" spans="1:13" x14ac:dyDescent="0.25">
      <c r="A662" s="20"/>
      <c r="B662" s="22" t="s">
        <v>837</v>
      </c>
      <c r="C662" s="14" t="s">
        <v>12</v>
      </c>
      <c r="D662" s="15" t="s">
        <v>1414</v>
      </c>
      <c r="E662" s="15" t="s">
        <v>4045</v>
      </c>
      <c r="F662" s="15"/>
      <c r="G662" s="15" t="s">
        <v>2517</v>
      </c>
      <c r="H662" s="16" t="s">
        <v>16</v>
      </c>
      <c r="I662" s="16">
        <v>75</v>
      </c>
      <c r="J662" s="16"/>
      <c r="K662" s="1"/>
      <c r="L662" s="1"/>
    </row>
    <row r="663" spans="1:13" x14ac:dyDescent="0.25">
      <c r="A663" s="36"/>
      <c r="B663" s="35" t="s">
        <v>933</v>
      </c>
      <c r="C663" s="14" t="s">
        <v>88</v>
      </c>
      <c r="D663" s="15" t="s">
        <v>1417</v>
      </c>
      <c r="E663" s="15" t="s">
        <v>4046</v>
      </c>
      <c r="F663" s="15"/>
      <c r="G663" s="15"/>
      <c r="H663" s="16" t="s">
        <v>16</v>
      </c>
      <c r="I663" s="16"/>
      <c r="J663" s="16"/>
      <c r="K663" s="1"/>
      <c r="L663" s="1"/>
      <c r="M663" s="1"/>
    </row>
    <row r="664" spans="1:13" x14ac:dyDescent="0.25">
      <c r="A664" s="36"/>
      <c r="B664" s="22" t="s">
        <v>924</v>
      </c>
      <c r="C664" s="14" t="s">
        <v>12</v>
      </c>
      <c r="D664" s="15" t="s">
        <v>1420</v>
      </c>
      <c r="E664" s="15" t="s">
        <v>4047</v>
      </c>
      <c r="F664" s="15"/>
      <c r="G664" s="15"/>
      <c r="H664" s="16" t="s">
        <v>926</v>
      </c>
      <c r="I664" s="16"/>
      <c r="J664" s="16"/>
      <c r="K664" s="1"/>
      <c r="L664" s="1"/>
      <c r="M664" s="1"/>
    </row>
    <row r="665" spans="1:13" x14ac:dyDescent="0.25">
      <c r="A665" s="20"/>
      <c r="B665" s="22" t="s">
        <v>2807</v>
      </c>
      <c r="C665" s="14" t="s">
        <v>12</v>
      </c>
      <c r="D665" s="15" t="s">
        <v>1423</v>
      </c>
      <c r="E665" s="15" t="s">
        <v>4048</v>
      </c>
      <c r="F665" s="15"/>
      <c r="G665" s="15" t="s">
        <v>2795</v>
      </c>
      <c r="H665" s="16" t="s">
        <v>267</v>
      </c>
      <c r="I665" s="16">
        <v>1</v>
      </c>
      <c r="J665" s="16"/>
      <c r="K665" s="1"/>
      <c r="L665" s="1"/>
      <c r="M665" s="1"/>
    </row>
    <row r="666" spans="1:13" x14ac:dyDescent="0.25">
      <c r="A666" s="20"/>
      <c r="B666" s="22" t="s">
        <v>927</v>
      </c>
      <c r="C666" s="14" t="s">
        <v>12</v>
      </c>
      <c r="D666" s="15" t="s">
        <v>1426</v>
      </c>
      <c r="E666" s="15" t="s">
        <v>4049</v>
      </c>
      <c r="F666" s="15"/>
      <c r="G666" s="15" t="s">
        <v>2804</v>
      </c>
      <c r="H666" s="16" t="s">
        <v>16</v>
      </c>
      <c r="I666" s="16">
        <v>29</v>
      </c>
      <c r="J666" s="16"/>
      <c r="K666" s="1"/>
      <c r="L666" s="1"/>
      <c r="M666" s="1"/>
    </row>
    <row r="667" spans="1:13" x14ac:dyDescent="0.25">
      <c r="A667" s="36"/>
      <c r="B667" s="22" t="s">
        <v>929</v>
      </c>
      <c r="C667" s="14" t="s">
        <v>88</v>
      </c>
      <c r="D667" s="15" t="s">
        <v>1429</v>
      </c>
      <c r="E667" s="15" t="s">
        <v>4050</v>
      </c>
      <c r="F667" s="15"/>
      <c r="G667" s="15" t="s">
        <v>2517</v>
      </c>
      <c r="H667" s="16" t="s">
        <v>2631</v>
      </c>
      <c r="I667" s="16">
        <v>13</v>
      </c>
      <c r="J667" s="16"/>
      <c r="K667" s="1"/>
      <c r="L667" s="1"/>
      <c r="M667" s="1"/>
    </row>
    <row r="668" spans="1:13" x14ac:dyDescent="0.25">
      <c r="A668" s="36"/>
      <c r="B668" s="22" t="s">
        <v>931</v>
      </c>
      <c r="C668" s="14" t="s">
        <v>88</v>
      </c>
      <c r="D668" s="15" t="s">
        <v>1432</v>
      </c>
      <c r="E668" s="15" t="s">
        <v>4051</v>
      </c>
      <c r="F668" s="15"/>
      <c r="G668" s="15" t="s">
        <v>2517</v>
      </c>
      <c r="H668" s="16" t="s">
        <v>2631</v>
      </c>
      <c r="I668" s="16">
        <v>74</v>
      </c>
      <c r="J668" s="16"/>
      <c r="K668" s="1"/>
      <c r="L668" s="1"/>
      <c r="M668" s="1"/>
    </row>
    <row r="669" spans="1:13" x14ac:dyDescent="0.25">
      <c r="A669" s="36"/>
      <c r="B669" s="22" t="s">
        <v>4507</v>
      </c>
      <c r="C669" s="14" t="s">
        <v>88</v>
      </c>
      <c r="D669" s="15" t="s">
        <v>1435</v>
      </c>
      <c r="E669" s="15" t="s">
        <v>4508</v>
      </c>
      <c r="F669" s="15"/>
      <c r="G669" s="15" t="s">
        <v>2833</v>
      </c>
      <c r="H669" s="16" t="s">
        <v>16</v>
      </c>
      <c r="I669" s="16">
        <v>6</v>
      </c>
      <c r="J669" s="16"/>
      <c r="K669" s="1"/>
      <c r="L669" s="1"/>
      <c r="M669" s="1"/>
    </row>
    <row r="670" spans="1:13" x14ac:dyDescent="0.25">
      <c r="A670" s="36"/>
      <c r="B670" s="22" t="s">
        <v>4509</v>
      </c>
      <c r="C670" s="14" t="s">
        <v>88</v>
      </c>
      <c r="D670" s="15" t="s">
        <v>1438</v>
      </c>
      <c r="E670" s="15" t="s">
        <v>4510</v>
      </c>
      <c r="F670" s="15"/>
      <c r="G670" s="15" t="s">
        <v>2833</v>
      </c>
      <c r="H670" s="16" t="s">
        <v>16</v>
      </c>
      <c r="I670" s="16">
        <v>10</v>
      </c>
      <c r="J670" s="16"/>
      <c r="K670" s="1"/>
      <c r="L670" s="1"/>
      <c r="M670" s="1"/>
    </row>
    <row r="671" spans="1:13" x14ac:dyDescent="0.25">
      <c r="A671" s="36"/>
      <c r="B671" s="22" t="s">
        <v>4569</v>
      </c>
      <c r="C671" s="14" t="s">
        <v>88</v>
      </c>
      <c r="D671" s="15" t="s">
        <v>1441</v>
      </c>
      <c r="E671" s="15" t="s">
        <v>4570</v>
      </c>
      <c r="F671" s="15"/>
      <c r="G671" s="15" t="s">
        <v>2833</v>
      </c>
      <c r="H671" s="16" t="s">
        <v>16</v>
      </c>
      <c r="I671" s="16">
        <v>7</v>
      </c>
      <c r="J671" s="16"/>
      <c r="K671" s="1"/>
      <c r="L671" s="1"/>
      <c r="M671" s="1"/>
    </row>
    <row r="672" spans="1:13" x14ac:dyDescent="0.25">
      <c r="A672" s="36"/>
      <c r="B672" s="22" t="s">
        <v>4575</v>
      </c>
      <c r="C672" s="14" t="s">
        <v>88</v>
      </c>
      <c r="D672" s="15" t="s">
        <v>1444</v>
      </c>
      <c r="E672" s="15" t="s">
        <v>4576</v>
      </c>
      <c r="F672" s="15"/>
      <c r="G672" s="15" t="s">
        <v>2932</v>
      </c>
      <c r="H672" s="16" t="s">
        <v>16</v>
      </c>
      <c r="I672" s="16">
        <v>14</v>
      </c>
      <c r="J672" s="16"/>
      <c r="K672" s="1"/>
      <c r="L672" s="1"/>
      <c r="M672" s="1"/>
    </row>
    <row r="673" spans="1:13" x14ac:dyDescent="0.25">
      <c r="A673" s="36"/>
      <c r="B673" s="22" t="s">
        <v>4594</v>
      </c>
      <c r="C673" s="14" t="s">
        <v>88</v>
      </c>
      <c r="D673" s="15" t="s">
        <v>1447</v>
      </c>
      <c r="E673" s="15" t="s">
        <v>4595</v>
      </c>
      <c r="F673" s="15"/>
      <c r="G673" s="15" t="s">
        <v>4583</v>
      </c>
      <c r="H673" s="16" t="s">
        <v>2701</v>
      </c>
      <c r="I673" s="16">
        <v>1</v>
      </c>
      <c r="J673" s="16"/>
      <c r="K673" s="1"/>
      <c r="L673" s="1"/>
      <c r="M673" s="1"/>
    </row>
    <row r="674" spans="1:13" x14ac:dyDescent="0.25">
      <c r="A674" s="36"/>
      <c r="B674" s="22" t="s">
        <v>4596</v>
      </c>
      <c r="C674" s="14" t="s">
        <v>88</v>
      </c>
      <c r="D674" s="15" t="s">
        <v>1450</v>
      </c>
      <c r="E674" s="15" t="s">
        <v>4597</v>
      </c>
      <c r="F674" s="15"/>
      <c r="G674" s="15" t="s">
        <v>4583</v>
      </c>
      <c r="H674" s="16" t="s">
        <v>16</v>
      </c>
      <c r="I674" s="16">
        <v>50</v>
      </c>
      <c r="J674" s="16"/>
      <c r="K674" s="1"/>
      <c r="L674" s="1"/>
      <c r="M674" s="1"/>
    </row>
    <row r="675" spans="1:13" x14ac:dyDescent="0.25">
      <c r="A675" s="8">
        <v>16</v>
      </c>
      <c r="B675" s="7" t="s">
        <v>963</v>
      </c>
      <c r="C675" s="10"/>
      <c r="D675" s="10"/>
      <c r="E675" s="10"/>
      <c r="F675" s="10"/>
      <c r="G675" s="10"/>
      <c r="H675" s="10"/>
      <c r="I675" s="10"/>
      <c r="J675" s="10"/>
      <c r="K675" s="1"/>
      <c r="L675" s="1"/>
      <c r="M675" s="1"/>
    </row>
    <row r="676" spans="1:13" x14ac:dyDescent="0.25">
      <c r="A676" s="20"/>
      <c r="B676" s="111" t="s">
        <v>964</v>
      </c>
      <c r="C676" s="114" t="s">
        <v>88</v>
      </c>
      <c r="D676" s="112" t="s">
        <v>14</v>
      </c>
      <c r="E676" s="112" t="s">
        <v>965</v>
      </c>
      <c r="F676" s="18"/>
      <c r="G676" s="18"/>
      <c r="H676" s="19" t="s">
        <v>16</v>
      </c>
      <c r="I676" s="19"/>
      <c r="J676" s="19"/>
      <c r="K676" s="1"/>
      <c r="L676" s="1"/>
      <c r="M676" s="1"/>
    </row>
    <row r="677" spans="1:13" x14ac:dyDescent="0.25">
      <c r="A677" s="8">
        <v>17</v>
      </c>
      <c r="B677" s="7" t="s">
        <v>966</v>
      </c>
      <c r="C677" s="10"/>
      <c r="D677" s="10"/>
      <c r="E677" s="10"/>
      <c r="F677" s="10"/>
      <c r="G677" s="10"/>
      <c r="H677" s="10"/>
      <c r="I677" s="10"/>
      <c r="J677" s="10"/>
      <c r="K677" s="1"/>
      <c r="L677" s="1"/>
      <c r="M677" s="1"/>
    </row>
    <row r="678" spans="1:13" x14ac:dyDescent="0.25">
      <c r="A678" s="8">
        <v>18</v>
      </c>
      <c r="B678" s="7" t="s">
        <v>967</v>
      </c>
      <c r="C678" s="10"/>
      <c r="D678" s="10"/>
      <c r="E678" s="10"/>
      <c r="F678" s="10"/>
      <c r="G678" s="10"/>
      <c r="H678" s="10"/>
      <c r="I678" s="10"/>
      <c r="J678" s="10"/>
      <c r="K678" s="1"/>
      <c r="L678" s="1"/>
      <c r="M678" s="1"/>
    </row>
    <row r="679" spans="1:13" x14ac:dyDescent="0.25">
      <c r="A679" s="8">
        <v>19</v>
      </c>
      <c r="B679" s="7" t="s">
        <v>968</v>
      </c>
      <c r="C679" s="10"/>
      <c r="D679" s="10"/>
      <c r="E679" s="10"/>
      <c r="F679" s="10"/>
      <c r="G679" s="10"/>
      <c r="H679" s="10"/>
      <c r="I679" s="10"/>
      <c r="J679" s="10"/>
      <c r="K679" s="1"/>
      <c r="L679" s="1"/>
      <c r="M679" s="1"/>
    </row>
    <row r="680" spans="1:13" x14ac:dyDescent="0.25">
      <c r="A680" s="20"/>
      <c r="B680" s="22" t="s">
        <v>971</v>
      </c>
      <c r="C680" s="14" t="s">
        <v>12</v>
      </c>
      <c r="D680" s="15" t="s">
        <v>14</v>
      </c>
      <c r="E680" s="15" t="s">
        <v>970</v>
      </c>
      <c r="F680" s="15"/>
      <c r="G680" s="15"/>
      <c r="H680" s="16" t="s">
        <v>16</v>
      </c>
      <c r="I680" s="16"/>
      <c r="J680" s="16"/>
      <c r="K680" s="1"/>
      <c r="L680" s="1"/>
      <c r="M680" s="1"/>
    </row>
    <row r="681" spans="1:13" x14ac:dyDescent="0.25">
      <c r="A681" s="20"/>
      <c r="B681" s="22" t="s">
        <v>973</v>
      </c>
      <c r="C681" s="14" t="s">
        <v>12</v>
      </c>
      <c r="D681" s="15" t="s">
        <v>19</v>
      </c>
      <c r="E681" s="15" t="s">
        <v>972</v>
      </c>
      <c r="F681" s="15"/>
      <c r="G681" s="15"/>
      <c r="H681" s="16" t="s">
        <v>16</v>
      </c>
      <c r="I681" s="16"/>
      <c r="J681" s="16"/>
      <c r="K681" s="1"/>
      <c r="L681" s="1"/>
      <c r="M681" s="1"/>
    </row>
    <row r="682" spans="1:13" x14ac:dyDescent="0.25">
      <c r="A682" s="20"/>
      <c r="B682" s="22" t="s">
        <v>975</v>
      </c>
      <c r="C682" s="14" t="s">
        <v>12</v>
      </c>
      <c r="D682" s="15" t="s">
        <v>22</v>
      </c>
      <c r="E682" s="15" t="s">
        <v>974</v>
      </c>
      <c r="F682" s="15"/>
      <c r="G682" s="15"/>
      <c r="H682" s="16" t="s">
        <v>16</v>
      </c>
      <c r="I682" s="16"/>
      <c r="J682" s="16" t="s">
        <v>17</v>
      </c>
      <c r="K682" s="1"/>
      <c r="L682" s="1"/>
      <c r="M682" s="1"/>
    </row>
    <row r="683" spans="1:13" x14ac:dyDescent="0.25">
      <c r="A683" s="20"/>
      <c r="B683" s="22" t="s">
        <v>977</v>
      </c>
      <c r="C683" s="14" t="s">
        <v>12</v>
      </c>
      <c r="D683" s="15" t="s">
        <v>25</v>
      </c>
      <c r="E683" s="15" t="s">
        <v>976</v>
      </c>
      <c r="F683" s="15"/>
      <c r="G683" s="15"/>
      <c r="H683" s="16" t="s">
        <v>16</v>
      </c>
      <c r="I683" s="16"/>
      <c r="J683" s="16"/>
      <c r="K683" s="1"/>
      <c r="L683" s="1"/>
      <c r="M683" s="1"/>
    </row>
    <row r="684" spans="1:13" x14ac:dyDescent="0.25">
      <c r="A684" s="20"/>
      <c r="B684" s="22" t="s">
        <v>979</v>
      </c>
      <c r="C684" s="14" t="s">
        <v>12</v>
      </c>
      <c r="D684" s="15" t="s">
        <v>28</v>
      </c>
      <c r="E684" s="15" t="s">
        <v>978</v>
      </c>
      <c r="F684" s="15"/>
      <c r="G684" s="15"/>
      <c r="H684" s="16" t="s">
        <v>16</v>
      </c>
      <c r="I684" s="16"/>
      <c r="J684" s="16"/>
      <c r="K684" s="1"/>
      <c r="L684" s="1"/>
    </row>
    <row r="685" spans="1:13" x14ac:dyDescent="0.25">
      <c r="A685" s="20"/>
      <c r="B685" s="22" t="s">
        <v>981</v>
      </c>
      <c r="C685" s="14" t="s">
        <v>12</v>
      </c>
      <c r="D685" s="15" t="s">
        <v>31</v>
      </c>
      <c r="E685" s="15" t="s">
        <v>980</v>
      </c>
      <c r="F685" s="15"/>
      <c r="G685" s="15"/>
      <c r="H685" s="16" t="s">
        <v>16</v>
      </c>
      <c r="I685" s="16"/>
      <c r="J685" s="16"/>
      <c r="K685" s="1"/>
      <c r="L685" s="1"/>
    </row>
    <row r="686" spans="1:13" x14ac:dyDescent="0.25">
      <c r="A686" s="20"/>
      <c r="B686" s="22" t="s">
        <v>983</v>
      </c>
      <c r="C686" s="14" t="s">
        <v>12</v>
      </c>
      <c r="D686" s="15" t="s">
        <v>34</v>
      </c>
      <c r="E686" s="15" t="s">
        <v>982</v>
      </c>
      <c r="F686" s="15"/>
      <c r="G686" s="15"/>
      <c r="H686" s="16" t="s">
        <v>16</v>
      </c>
      <c r="I686" s="16"/>
      <c r="J686" s="16"/>
      <c r="K686" s="1"/>
      <c r="L686" s="1"/>
      <c r="M686" s="1"/>
    </row>
    <row r="687" spans="1:13" x14ac:dyDescent="0.25">
      <c r="A687" s="20"/>
      <c r="B687" s="22" t="s">
        <v>985</v>
      </c>
      <c r="C687" s="14" t="s">
        <v>12</v>
      </c>
      <c r="D687" s="15" t="s">
        <v>37</v>
      </c>
      <c r="E687" s="15" t="s">
        <v>984</v>
      </c>
      <c r="F687" s="15"/>
      <c r="G687" s="15"/>
      <c r="H687" s="16" t="s">
        <v>16</v>
      </c>
      <c r="I687" s="16"/>
      <c r="J687" s="16"/>
      <c r="K687" s="1"/>
      <c r="L687" s="1"/>
      <c r="M687" s="1"/>
    </row>
    <row r="688" spans="1:13" x14ac:dyDescent="0.25">
      <c r="A688" s="20"/>
      <c r="B688" s="22" t="s">
        <v>987</v>
      </c>
      <c r="C688" s="14" t="s">
        <v>12</v>
      </c>
      <c r="D688" s="15" t="s">
        <v>40</v>
      </c>
      <c r="E688" s="15" t="s">
        <v>986</v>
      </c>
      <c r="F688" s="15"/>
      <c r="G688" s="15"/>
      <c r="H688" s="16" t="s">
        <v>16</v>
      </c>
      <c r="I688" s="16"/>
      <c r="J688" s="16"/>
      <c r="K688" s="1"/>
      <c r="L688" s="1"/>
    </row>
    <row r="689" spans="1:13" x14ac:dyDescent="0.25">
      <c r="A689" s="36"/>
      <c r="B689" s="22" t="s">
        <v>989</v>
      </c>
      <c r="C689" s="14" t="s">
        <v>12</v>
      </c>
      <c r="D689" s="15" t="s">
        <v>43</v>
      </c>
      <c r="E689" s="15" t="s">
        <v>988</v>
      </c>
      <c r="F689" s="15"/>
      <c r="G689" s="15"/>
      <c r="H689" s="16" t="s">
        <v>16</v>
      </c>
      <c r="I689" s="16"/>
      <c r="J689" s="16"/>
      <c r="K689" s="1"/>
      <c r="L689" s="1"/>
    </row>
    <row r="690" spans="1:13" x14ac:dyDescent="0.25">
      <c r="A690" s="37"/>
      <c r="B690" s="22" t="s">
        <v>991</v>
      </c>
      <c r="C690" s="14" t="s">
        <v>12</v>
      </c>
      <c r="D690" s="15" t="s">
        <v>46</v>
      </c>
      <c r="E690" s="15" t="s">
        <v>990</v>
      </c>
      <c r="F690" s="15"/>
      <c r="G690" s="15"/>
      <c r="H690" s="16" t="s">
        <v>16</v>
      </c>
      <c r="I690" s="16"/>
      <c r="J690" s="16"/>
      <c r="K690" s="1"/>
      <c r="L690" s="1"/>
    </row>
    <row r="691" spans="1:13" x14ac:dyDescent="0.25">
      <c r="A691" s="37"/>
      <c r="B691" s="22" t="s">
        <v>993</v>
      </c>
      <c r="C691" s="14" t="s">
        <v>12</v>
      </c>
      <c r="D691" s="15" t="s">
        <v>72</v>
      </c>
      <c r="E691" s="15" t="s">
        <v>992</v>
      </c>
      <c r="F691" s="15"/>
      <c r="G691" s="15"/>
      <c r="H691" s="16" t="s">
        <v>16</v>
      </c>
      <c r="I691" s="16"/>
      <c r="J691" s="16"/>
      <c r="K691" s="1"/>
      <c r="L691" s="1"/>
    </row>
    <row r="692" spans="1:13" x14ac:dyDescent="0.25">
      <c r="A692" s="37"/>
      <c r="B692" s="22" t="s">
        <v>995</v>
      </c>
      <c r="C692" s="14" t="s">
        <v>12</v>
      </c>
      <c r="D692" s="15" t="s">
        <v>75</v>
      </c>
      <c r="E692" s="15" t="s">
        <v>994</v>
      </c>
      <c r="F692" s="15"/>
      <c r="G692" s="15"/>
      <c r="H692" s="16" t="s">
        <v>16</v>
      </c>
      <c r="I692" s="16"/>
      <c r="J692" s="16"/>
      <c r="K692" s="1"/>
      <c r="L692" s="1"/>
      <c r="M692" s="1"/>
    </row>
    <row r="693" spans="1:13" s="11" customFormat="1" x14ac:dyDescent="0.25">
      <c r="A693" s="20"/>
      <c r="B693" s="22" t="s">
        <v>969</v>
      </c>
      <c r="C693" s="14" t="s">
        <v>12</v>
      </c>
      <c r="D693" s="15" t="s">
        <v>77</v>
      </c>
      <c r="E693" s="15" t="s">
        <v>996</v>
      </c>
      <c r="F693" s="15"/>
      <c r="G693" s="15"/>
      <c r="H693" s="16" t="s">
        <v>16</v>
      </c>
      <c r="I693" s="16"/>
      <c r="J693" s="16"/>
    </row>
    <row r="694" spans="1:13" x14ac:dyDescent="0.25">
      <c r="A694" s="8">
        <v>20</v>
      </c>
      <c r="B694" s="7" t="s">
        <v>997</v>
      </c>
      <c r="C694" s="10"/>
      <c r="D694" s="10"/>
      <c r="E694" s="10"/>
      <c r="F694" s="10"/>
      <c r="G694" s="10"/>
      <c r="H694" s="10"/>
      <c r="I694" s="10"/>
      <c r="J694" s="10"/>
      <c r="K694" s="1"/>
      <c r="L694" s="1"/>
      <c r="M694" s="1"/>
    </row>
    <row r="695" spans="1:13" x14ac:dyDescent="0.25">
      <c r="A695" s="36"/>
      <c r="B695" s="38" t="s">
        <v>1010</v>
      </c>
      <c r="C695" s="39" t="s">
        <v>12</v>
      </c>
      <c r="D695" s="15" t="s">
        <v>14</v>
      </c>
      <c r="E695" s="15" t="s">
        <v>999</v>
      </c>
      <c r="F695" s="15"/>
      <c r="G695" s="15"/>
      <c r="H695" s="16" t="s">
        <v>1012</v>
      </c>
      <c r="I695" s="16"/>
      <c r="J695" s="16"/>
      <c r="K695" s="1"/>
      <c r="L695" s="1"/>
      <c r="M695" s="1"/>
    </row>
    <row r="696" spans="1:13" x14ac:dyDescent="0.25">
      <c r="A696" s="20"/>
      <c r="B696" s="22" t="s">
        <v>3057</v>
      </c>
      <c r="C696" s="14" t="s">
        <v>12</v>
      </c>
      <c r="D696" s="15" t="s">
        <v>19</v>
      </c>
      <c r="E696" s="15" t="s">
        <v>1001</v>
      </c>
      <c r="F696" s="15"/>
      <c r="G696" s="15" t="s">
        <v>2795</v>
      </c>
      <c r="H696" s="16" t="s">
        <v>16</v>
      </c>
      <c r="I696" s="16">
        <v>20</v>
      </c>
      <c r="J696" s="16"/>
      <c r="K696" s="1"/>
      <c r="L696" s="1"/>
      <c r="M696" s="1"/>
    </row>
    <row r="697" spans="1:13" x14ac:dyDescent="0.25">
      <c r="A697" s="36"/>
      <c r="B697" s="38" t="s">
        <v>1015</v>
      </c>
      <c r="C697" s="39" t="s">
        <v>12</v>
      </c>
      <c r="D697" s="15" t="s">
        <v>22</v>
      </c>
      <c r="E697" s="15" t="s">
        <v>1003</v>
      </c>
      <c r="F697" s="15"/>
      <c r="G697" s="15"/>
      <c r="H697" s="16" t="s">
        <v>16</v>
      </c>
      <c r="I697" s="16"/>
      <c r="J697" s="16"/>
      <c r="K697" s="1"/>
      <c r="L697" s="1"/>
    </row>
    <row r="698" spans="1:13" x14ac:dyDescent="0.25">
      <c r="A698" s="20"/>
      <c r="B698" s="22" t="s">
        <v>3014</v>
      </c>
      <c r="C698" s="39" t="s">
        <v>12</v>
      </c>
      <c r="D698" s="15" t="s">
        <v>25</v>
      </c>
      <c r="E698" s="15" t="s">
        <v>1005</v>
      </c>
      <c r="F698" s="15"/>
      <c r="G698" s="15" t="s">
        <v>2811</v>
      </c>
      <c r="H698" s="16" t="s">
        <v>16</v>
      </c>
      <c r="I698" s="16">
        <v>10</v>
      </c>
      <c r="J698" s="16"/>
      <c r="K698" s="1"/>
      <c r="L698" s="1"/>
    </row>
    <row r="699" spans="1:13" x14ac:dyDescent="0.25">
      <c r="A699" s="20"/>
      <c r="B699" s="22" t="s">
        <v>2856</v>
      </c>
      <c r="C699" s="39" t="s">
        <v>12</v>
      </c>
      <c r="D699" s="15" t="s">
        <v>28</v>
      </c>
      <c r="E699" s="15" t="s">
        <v>1007</v>
      </c>
      <c r="F699" s="15"/>
      <c r="G699" s="15" t="s">
        <v>2833</v>
      </c>
      <c r="H699" s="16" t="s">
        <v>16</v>
      </c>
      <c r="I699" s="16">
        <v>1</v>
      </c>
      <c r="J699" s="16"/>
      <c r="K699" s="1"/>
      <c r="L699" s="1"/>
    </row>
    <row r="700" spans="1:13" x14ac:dyDescent="0.25">
      <c r="A700" s="13"/>
      <c r="B700" s="38" t="s">
        <v>1017</v>
      </c>
      <c r="C700" s="39" t="s">
        <v>88</v>
      </c>
      <c r="D700" s="15" t="s">
        <v>31</v>
      </c>
      <c r="E700" s="15" t="s">
        <v>1009</v>
      </c>
      <c r="F700" s="15"/>
      <c r="G700" s="15"/>
      <c r="H700" s="16" t="s">
        <v>16</v>
      </c>
      <c r="I700" s="16"/>
      <c r="J700" s="16"/>
      <c r="K700" s="1"/>
      <c r="L700" s="1"/>
    </row>
    <row r="701" spans="1:13" x14ac:dyDescent="0.25">
      <c r="A701" s="37"/>
      <c r="B701" s="38" t="s">
        <v>1000</v>
      </c>
      <c r="C701" s="39" t="s">
        <v>12</v>
      </c>
      <c r="D701" s="15" t="s">
        <v>34</v>
      </c>
      <c r="E701" s="15" t="s">
        <v>1011</v>
      </c>
      <c r="F701" s="15"/>
      <c r="G701" s="15"/>
      <c r="H701" s="16" t="s">
        <v>16</v>
      </c>
      <c r="I701" s="16"/>
      <c r="J701" s="16"/>
      <c r="K701" s="1"/>
      <c r="L701" s="1"/>
      <c r="M701" s="1"/>
    </row>
    <row r="702" spans="1:13" x14ac:dyDescent="0.25">
      <c r="A702" s="37"/>
      <c r="B702" s="38" t="s">
        <v>1002</v>
      </c>
      <c r="C702" s="39" t="s">
        <v>12</v>
      </c>
      <c r="D702" s="15" t="s">
        <v>37</v>
      </c>
      <c r="E702" s="15" t="s">
        <v>1014</v>
      </c>
      <c r="F702" s="15"/>
      <c r="G702" s="15"/>
      <c r="H702" s="16" t="s">
        <v>16</v>
      </c>
      <c r="I702" s="16"/>
      <c r="J702" s="16"/>
      <c r="K702" s="1"/>
      <c r="L702" s="1"/>
      <c r="M702" s="1"/>
    </row>
    <row r="703" spans="1:13" x14ac:dyDescent="0.25">
      <c r="A703" s="37"/>
      <c r="B703" s="38" t="s">
        <v>1004</v>
      </c>
      <c r="C703" s="39" t="s">
        <v>12</v>
      </c>
      <c r="D703" s="15" t="s">
        <v>40</v>
      </c>
      <c r="E703" s="15" t="s">
        <v>1016</v>
      </c>
      <c r="F703" s="15"/>
      <c r="G703" s="15"/>
      <c r="H703" s="16" t="s">
        <v>16</v>
      </c>
      <c r="I703" s="16"/>
      <c r="J703" s="16"/>
      <c r="K703" s="1"/>
      <c r="L703" s="1"/>
      <c r="M703" s="1"/>
    </row>
    <row r="704" spans="1:13" x14ac:dyDescent="0.25">
      <c r="A704" s="37"/>
      <c r="B704" s="38" t="s">
        <v>998</v>
      </c>
      <c r="C704" s="39" t="s">
        <v>12</v>
      </c>
      <c r="D704" s="15" t="s">
        <v>43</v>
      </c>
      <c r="E704" s="15" t="s">
        <v>1018</v>
      </c>
      <c r="F704" s="15"/>
      <c r="G704" s="15"/>
      <c r="H704" s="16" t="s">
        <v>16</v>
      </c>
      <c r="I704" s="16"/>
      <c r="J704" s="16"/>
      <c r="K704" s="1"/>
      <c r="L704" s="1"/>
      <c r="M704" s="1"/>
    </row>
    <row r="705" spans="1:13" x14ac:dyDescent="0.25">
      <c r="A705" s="37"/>
      <c r="B705" s="38" t="s">
        <v>1006</v>
      </c>
      <c r="C705" s="39" t="s">
        <v>88</v>
      </c>
      <c r="D705" s="15" t="s">
        <v>46</v>
      </c>
      <c r="E705" s="15" t="s">
        <v>4052</v>
      </c>
      <c r="F705" s="15"/>
      <c r="G705" s="15"/>
      <c r="H705" s="16" t="s">
        <v>16</v>
      </c>
      <c r="I705" s="16"/>
      <c r="J705" s="16"/>
      <c r="K705" s="1"/>
      <c r="L705" s="1"/>
      <c r="M705" s="1"/>
    </row>
    <row r="706" spans="1:13" x14ac:dyDescent="0.25">
      <c r="A706" s="37"/>
      <c r="B706" s="38" t="s">
        <v>1008</v>
      </c>
      <c r="C706" s="39" t="s">
        <v>12</v>
      </c>
      <c r="D706" s="15" t="s">
        <v>72</v>
      </c>
      <c r="E706" s="15" t="s">
        <v>4053</v>
      </c>
      <c r="F706" s="15"/>
      <c r="G706" s="15"/>
      <c r="H706" s="16" t="s">
        <v>16</v>
      </c>
      <c r="I706" s="16"/>
      <c r="J706" s="16"/>
      <c r="K706" s="1"/>
      <c r="L706" s="1"/>
      <c r="M706" s="1"/>
    </row>
    <row r="707" spans="1:13" x14ac:dyDescent="0.25">
      <c r="A707" s="36">
        <v>21</v>
      </c>
      <c r="B707" s="40" t="s">
        <v>1019</v>
      </c>
      <c r="C707" s="10"/>
      <c r="D707" s="10"/>
      <c r="E707" s="10"/>
      <c r="F707" s="10"/>
      <c r="G707" s="10"/>
      <c r="H707" s="10"/>
      <c r="I707" s="10"/>
      <c r="J707" s="10"/>
      <c r="K707" s="1"/>
      <c r="L707" s="1"/>
      <c r="M707" s="1"/>
    </row>
    <row r="708" spans="1:13" x14ac:dyDescent="0.25">
      <c r="A708" s="20"/>
      <c r="B708" s="22" t="s">
        <v>3002</v>
      </c>
      <c r="C708" s="36" t="s">
        <v>12</v>
      </c>
      <c r="D708" s="9" t="s">
        <v>14</v>
      </c>
      <c r="E708" s="9" t="s">
        <v>4055</v>
      </c>
      <c r="F708" s="15" t="s">
        <v>3003</v>
      </c>
      <c r="G708" s="15" t="s">
        <v>2952</v>
      </c>
      <c r="H708" s="16" t="s">
        <v>16</v>
      </c>
      <c r="I708" s="16">
        <v>1</v>
      </c>
      <c r="J708" s="16"/>
      <c r="K708" s="1"/>
      <c r="L708" s="1"/>
    </row>
    <row r="709" spans="1:13" x14ac:dyDescent="0.25">
      <c r="A709" s="20"/>
      <c r="B709" s="22" t="s">
        <v>3200</v>
      </c>
      <c r="C709" s="36" t="s">
        <v>12</v>
      </c>
      <c r="D709" s="15" t="s">
        <v>19</v>
      </c>
      <c r="E709" s="15" t="s">
        <v>4054</v>
      </c>
      <c r="F709" s="15"/>
      <c r="G709" s="15" t="s">
        <v>3201</v>
      </c>
      <c r="H709" s="16" t="s">
        <v>16</v>
      </c>
      <c r="I709" s="16">
        <v>28</v>
      </c>
      <c r="J709" s="16"/>
      <c r="K709" s="1"/>
      <c r="L709" s="1"/>
    </row>
    <row r="710" spans="1:13" x14ac:dyDescent="0.25">
      <c r="A710" s="20"/>
      <c r="B710" s="22" t="s">
        <v>3202</v>
      </c>
      <c r="C710" s="36" t="s">
        <v>12</v>
      </c>
      <c r="D710" s="9" t="s">
        <v>22</v>
      </c>
      <c r="E710" s="9" t="s">
        <v>4056</v>
      </c>
      <c r="F710" s="15"/>
      <c r="G710" s="15" t="s">
        <v>3201</v>
      </c>
      <c r="H710" s="16" t="s">
        <v>16</v>
      </c>
      <c r="I710" s="16">
        <v>3</v>
      </c>
      <c r="J710" s="16"/>
      <c r="K710" s="1"/>
      <c r="L710" s="1"/>
    </row>
    <row r="711" spans="1:13" x14ac:dyDescent="0.25">
      <c r="A711" s="20"/>
      <c r="B711" s="22" t="s">
        <v>3203</v>
      </c>
      <c r="C711" s="36" t="s">
        <v>12</v>
      </c>
      <c r="D711" s="15" t="s">
        <v>25</v>
      </c>
      <c r="E711" s="15" t="s">
        <v>4057</v>
      </c>
      <c r="F711" s="15"/>
      <c r="G711" s="15" t="s">
        <v>3201</v>
      </c>
      <c r="H711" s="16" t="s">
        <v>16</v>
      </c>
      <c r="I711" s="16">
        <v>1</v>
      </c>
      <c r="J711" s="16"/>
      <c r="K711" s="1"/>
      <c r="L711" s="1"/>
    </row>
    <row r="712" spans="1:13" x14ac:dyDescent="0.25">
      <c r="A712" s="20"/>
      <c r="B712" s="22" t="s">
        <v>3204</v>
      </c>
      <c r="C712" s="36" t="s">
        <v>12</v>
      </c>
      <c r="D712" s="9" t="s">
        <v>28</v>
      </c>
      <c r="E712" s="9" t="s">
        <v>4058</v>
      </c>
      <c r="F712" s="15"/>
      <c r="G712" s="15" t="s">
        <v>3201</v>
      </c>
      <c r="H712" s="16" t="s">
        <v>16</v>
      </c>
      <c r="I712" s="16">
        <v>7</v>
      </c>
      <c r="J712" s="16"/>
      <c r="K712" s="1"/>
      <c r="L712" s="1"/>
    </row>
    <row r="713" spans="1:13" x14ac:dyDescent="0.25">
      <c r="A713" s="20"/>
      <c r="B713" s="22" t="s">
        <v>3206</v>
      </c>
      <c r="C713" s="36" t="s">
        <v>12</v>
      </c>
      <c r="D713" s="15" t="s">
        <v>31</v>
      </c>
      <c r="E713" s="15" t="s">
        <v>4059</v>
      </c>
      <c r="F713" s="15"/>
      <c r="G713" s="15" t="s">
        <v>3201</v>
      </c>
      <c r="H713" s="16" t="s">
        <v>16</v>
      </c>
      <c r="I713" s="16">
        <v>12</v>
      </c>
      <c r="J713" s="16"/>
      <c r="K713" s="1"/>
      <c r="L713" s="1"/>
    </row>
    <row r="714" spans="1:13" x14ac:dyDescent="0.25">
      <c r="A714" s="20"/>
      <c r="B714" s="22" t="s">
        <v>2842</v>
      </c>
      <c r="C714" s="36" t="s">
        <v>12</v>
      </c>
      <c r="D714" s="9" t="s">
        <v>34</v>
      </c>
      <c r="E714" s="9" t="s">
        <v>4060</v>
      </c>
      <c r="F714" s="15"/>
      <c r="G714" s="15" t="s">
        <v>2833</v>
      </c>
      <c r="H714" s="16" t="s">
        <v>16</v>
      </c>
      <c r="I714" s="16">
        <v>24</v>
      </c>
      <c r="J714" s="16"/>
      <c r="K714" s="1"/>
      <c r="L714" s="1"/>
    </row>
    <row r="715" spans="1:13" x14ac:dyDescent="0.25">
      <c r="A715" s="8">
        <v>22</v>
      </c>
      <c r="B715" s="41" t="s">
        <v>1020</v>
      </c>
      <c r="C715" s="10"/>
      <c r="D715" s="10"/>
      <c r="E715" s="10"/>
      <c r="F715" s="10"/>
      <c r="G715" s="10"/>
      <c r="H715" s="10"/>
      <c r="I715" s="10"/>
      <c r="J715" s="10"/>
      <c r="K715" s="1"/>
      <c r="L715" s="1"/>
      <c r="M715" s="1"/>
    </row>
    <row r="716" spans="1:13" x14ac:dyDescent="0.25">
      <c r="A716" s="14"/>
      <c r="B716" s="22" t="s">
        <v>1050</v>
      </c>
      <c r="C716" s="14" t="s">
        <v>12</v>
      </c>
      <c r="D716" s="15" t="s">
        <v>14</v>
      </c>
      <c r="E716" s="15" t="s">
        <v>1022</v>
      </c>
      <c r="F716" s="15"/>
      <c r="G716" s="15" t="s">
        <v>2283</v>
      </c>
      <c r="H716" s="16" t="s">
        <v>16</v>
      </c>
      <c r="I716" s="16">
        <v>950</v>
      </c>
      <c r="J716" s="16"/>
      <c r="K716" s="1"/>
      <c r="L716" s="1"/>
      <c r="M716" s="1"/>
    </row>
    <row r="717" spans="1:13" x14ac:dyDescent="0.25">
      <c r="A717" s="106"/>
      <c r="B717" s="35" t="s">
        <v>1052</v>
      </c>
      <c r="C717" s="42" t="s">
        <v>12</v>
      </c>
      <c r="D717" s="15" t="s">
        <v>19</v>
      </c>
      <c r="E717" s="15" t="s">
        <v>1024</v>
      </c>
      <c r="F717" s="15"/>
      <c r="G717" s="15"/>
      <c r="H717" s="16" t="s">
        <v>16</v>
      </c>
      <c r="I717" s="16"/>
      <c r="J717" s="16"/>
      <c r="K717" s="1"/>
      <c r="L717" s="1"/>
      <c r="M717" s="1"/>
    </row>
    <row r="718" spans="1:13" x14ac:dyDescent="0.25">
      <c r="A718" s="20"/>
      <c r="B718" s="22" t="s">
        <v>2955</v>
      </c>
      <c r="C718" s="14" t="s">
        <v>88</v>
      </c>
      <c r="D718" s="15" t="s">
        <v>22</v>
      </c>
      <c r="E718" s="15" t="s">
        <v>1026</v>
      </c>
      <c r="F718" s="15"/>
      <c r="G718" s="15" t="s">
        <v>2801</v>
      </c>
      <c r="H718" s="16" t="s">
        <v>16</v>
      </c>
      <c r="I718" s="16">
        <v>28</v>
      </c>
      <c r="J718" s="16"/>
      <c r="K718" s="1"/>
      <c r="L718" s="1"/>
      <c r="M718" s="1"/>
    </row>
    <row r="719" spans="1:13" x14ac:dyDescent="0.25">
      <c r="A719" s="20"/>
      <c r="B719" s="22" t="s">
        <v>2956</v>
      </c>
      <c r="C719" s="14" t="s">
        <v>88</v>
      </c>
      <c r="D719" s="15" t="s">
        <v>25</v>
      </c>
      <c r="E719" s="15" t="s">
        <v>1028</v>
      </c>
      <c r="F719" s="15"/>
      <c r="G719" s="15" t="s">
        <v>2801</v>
      </c>
      <c r="H719" s="16" t="s">
        <v>16</v>
      </c>
      <c r="I719" s="16">
        <v>1</v>
      </c>
      <c r="J719" s="16"/>
      <c r="K719" s="1"/>
      <c r="L719" s="1"/>
      <c r="M719" s="1"/>
    </row>
    <row r="720" spans="1:13" x14ac:dyDescent="0.25">
      <c r="A720" s="20"/>
      <c r="B720" s="22" t="s">
        <v>2974</v>
      </c>
      <c r="C720" s="14" t="s">
        <v>88</v>
      </c>
      <c r="D720" s="15" t="s">
        <v>28</v>
      </c>
      <c r="E720" s="15" t="s">
        <v>1030</v>
      </c>
      <c r="F720" s="15"/>
      <c r="G720" s="15" t="s">
        <v>2952</v>
      </c>
      <c r="H720" s="16" t="s">
        <v>16</v>
      </c>
      <c r="I720" s="16">
        <v>7</v>
      </c>
      <c r="J720" s="16" t="s">
        <v>2973</v>
      </c>
      <c r="K720" s="1"/>
      <c r="L720" s="1"/>
      <c r="M720" s="1"/>
    </row>
    <row r="721" spans="1:14" x14ac:dyDescent="0.25">
      <c r="A721" s="20"/>
      <c r="B721" s="22" t="s">
        <v>2971</v>
      </c>
      <c r="C721" s="14" t="s">
        <v>88</v>
      </c>
      <c r="D721" s="15" t="s">
        <v>31</v>
      </c>
      <c r="E721" s="15" t="s">
        <v>1032</v>
      </c>
      <c r="F721" s="15"/>
      <c r="G721" s="15" t="s">
        <v>2952</v>
      </c>
      <c r="H721" s="16" t="s">
        <v>16</v>
      </c>
      <c r="I721" s="16">
        <v>10</v>
      </c>
      <c r="J721" s="16" t="s">
        <v>2972</v>
      </c>
      <c r="K721" s="1"/>
      <c r="L721" s="1"/>
      <c r="M721" s="1"/>
    </row>
    <row r="722" spans="1:14" x14ac:dyDescent="0.25">
      <c r="A722" s="20"/>
      <c r="B722" s="22" t="s">
        <v>2971</v>
      </c>
      <c r="C722" s="14" t="s">
        <v>88</v>
      </c>
      <c r="D722" s="15" t="s">
        <v>34</v>
      </c>
      <c r="E722" s="15" t="s">
        <v>1034</v>
      </c>
      <c r="F722" s="15"/>
      <c r="G722" s="15" t="s">
        <v>2952</v>
      </c>
      <c r="H722" s="16" t="s">
        <v>16</v>
      </c>
      <c r="I722" s="16">
        <v>11</v>
      </c>
      <c r="J722" s="16" t="s">
        <v>2973</v>
      </c>
      <c r="K722" s="1"/>
      <c r="L722" s="1"/>
      <c r="M722" s="1"/>
    </row>
    <row r="723" spans="1:14" x14ac:dyDescent="0.25">
      <c r="A723" s="20"/>
      <c r="B723" s="22" t="s">
        <v>2975</v>
      </c>
      <c r="C723" s="14" t="s">
        <v>88</v>
      </c>
      <c r="D723" s="15" t="s">
        <v>37</v>
      </c>
      <c r="E723" s="15" t="s">
        <v>1036</v>
      </c>
      <c r="F723" s="15"/>
      <c r="G723" s="15" t="s">
        <v>2952</v>
      </c>
      <c r="H723" s="16" t="s">
        <v>16</v>
      </c>
      <c r="I723" s="16">
        <v>1</v>
      </c>
      <c r="J723" s="16" t="s">
        <v>2973</v>
      </c>
      <c r="K723" s="1"/>
      <c r="L723" s="1"/>
      <c r="M723" s="1"/>
    </row>
    <row r="724" spans="1:14" x14ac:dyDescent="0.25">
      <c r="A724" s="14"/>
      <c r="B724" s="22" t="s">
        <v>2975</v>
      </c>
      <c r="C724" s="14" t="s">
        <v>88</v>
      </c>
      <c r="D724" s="15" t="s">
        <v>40</v>
      </c>
      <c r="E724" s="15" t="s">
        <v>1038</v>
      </c>
      <c r="F724" s="15"/>
      <c r="G724" s="15" t="s">
        <v>2952</v>
      </c>
      <c r="H724" s="16" t="s">
        <v>16</v>
      </c>
      <c r="I724" s="16">
        <v>4</v>
      </c>
      <c r="J724" s="16" t="s">
        <v>2972</v>
      </c>
      <c r="K724" s="1"/>
      <c r="L724" s="1"/>
      <c r="M724" s="1"/>
    </row>
    <row r="725" spans="1:14" x14ac:dyDescent="0.25">
      <c r="A725" s="14"/>
      <c r="B725" s="22" t="s">
        <v>1054</v>
      </c>
      <c r="C725" s="14" t="s">
        <v>88</v>
      </c>
      <c r="D725" s="15" t="s">
        <v>43</v>
      </c>
      <c r="E725" s="15" t="s">
        <v>1040</v>
      </c>
      <c r="F725" s="15"/>
      <c r="G725" s="15"/>
      <c r="H725" s="16" t="s">
        <v>16</v>
      </c>
      <c r="I725" s="16"/>
      <c r="J725" s="16"/>
      <c r="K725" s="1"/>
      <c r="L725" s="1"/>
      <c r="M725" s="1"/>
    </row>
    <row r="726" spans="1:14" x14ac:dyDescent="0.25">
      <c r="A726" s="20"/>
      <c r="B726" s="22" t="s">
        <v>2949</v>
      </c>
      <c r="C726" s="14" t="s">
        <v>12</v>
      </c>
      <c r="D726" s="15" t="s">
        <v>46</v>
      </c>
      <c r="E726" s="15" t="s">
        <v>1042</v>
      </c>
      <c r="F726" s="15"/>
      <c r="G726" s="15" t="s">
        <v>2950</v>
      </c>
      <c r="H726" s="16" t="s">
        <v>16</v>
      </c>
      <c r="I726" s="16">
        <v>1</v>
      </c>
      <c r="J726" s="16"/>
      <c r="K726" s="1"/>
      <c r="L726" s="1"/>
      <c r="M726" s="1"/>
    </row>
    <row r="727" spans="1:14" ht="25.5" x14ac:dyDescent="0.25">
      <c r="A727" s="14"/>
      <c r="B727" s="35" t="s">
        <v>1076</v>
      </c>
      <c r="C727" s="42" t="s">
        <v>88</v>
      </c>
      <c r="D727" s="15" t="s">
        <v>72</v>
      </c>
      <c r="E727" s="15" t="s">
        <v>1044</v>
      </c>
      <c r="F727" s="15"/>
      <c r="G727" s="15" t="s">
        <v>2905</v>
      </c>
      <c r="H727" s="16" t="s">
        <v>16</v>
      </c>
      <c r="I727" s="16">
        <v>9</v>
      </c>
      <c r="J727" s="16" t="s">
        <v>17</v>
      </c>
      <c r="K727" s="1"/>
      <c r="L727" s="1"/>
      <c r="M727" s="1"/>
    </row>
    <row r="728" spans="1:14" ht="25.5" x14ac:dyDescent="0.25">
      <c r="A728" s="14"/>
      <c r="B728" s="35" t="s">
        <v>1107</v>
      </c>
      <c r="C728" s="42" t="s">
        <v>88</v>
      </c>
      <c r="D728" s="15" t="s">
        <v>75</v>
      </c>
      <c r="E728" s="15" t="s">
        <v>1046</v>
      </c>
      <c r="F728" s="15"/>
      <c r="G728" s="15"/>
      <c r="H728" s="16" t="s">
        <v>16</v>
      </c>
      <c r="I728" s="16"/>
      <c r="J728" s="16" t="s">
        <v>17</v>
      </c>
      <c r="K728" s="1"/>
      <c r="L728" s="1"/>
      <c r="M728" s="1"/>
    </row>
    <row r="729" spans="1:14" x14ac:dyDescent="0.25">
      <c r="A729" s="14"/>
      <c r="B729" s="22" t="s">
        <v>1056</v>
      </c>
      <c r="C729" s="14" t="s">
        <v>12</v>
      </c>
      <c r="D729" s="15" t="s">
        <v>77</v>
      </c>
      <c r="E729" s="15" t="s">
        <v>1048</v>
      </c>
      <c r="F729" s="15"/>
      <c r="G729" s="15"/>
      <c r="H729" s="16" t="s">
        <v>16</v>
      </c>
      <c r="I729" s="16"/>
      <c r="J729" s="16"/>
      <c r="K729" s="1"/>
      <c r="L729" s="1"/>
      <c r="M729" s="1"/>
    </row>
    <row r="730" spans="1:14" x14ac:dyDescent="0.25">
      <c r="A730" s="14"/>
      <c r="B730" s="22" t="s">
        <v>1060</v>
      </c>
      <c r="C730" s="14" t="s">
        <v>12</v>
      </c>
      <c r="D730" s="15" t="s">
        <v>80</v>
      </c>
      <c r="E730" s="15" t="s">
        <v>4061</v>
      </c>
      <c r="F730" s="15"/>
      <c r="G730" s="15"/>
      <c r="H730" s="16" t="s">
        <v>16</v>
      </c>
      <c r="I730" s="16"/>
      <c r="J730" s="16"/>
      <c r="K730" s="1"/>
      <c r="L730" s="1"/>
    </row>
    <row r="731" spans="1:14" x14ac:dyDescent="0.25">
      <c r="A731" s="14"/>
      <c r="B731" s="35" t="s">
        <v>1062</v>
      </c>
      <c r="C731" s="14" t="s">
        <v>12</v>
      </c>
      <c r="D731" s="15" t="s">
        <v>84</v>
      </c>
      <c r="E731" s="15" t="s">
        <v>1051</v>
      </c>
      <c r="F731" s="15"/>
      <c r="G731" s="15"/>
      <c r="H731" s="16" t="s">
        <v>1064</v>
      </c>
      <c r="I731" s="16"/>
      <c r="J731" s="16"/>
      <c r="K731" s="1"/>
      <c r="L731" s="1"/>
      <c r="M731" s="1"/>
      <c r="N731" s="1">
        <f>+N436*1.12</f>
        <v>20160.000000000004</v>
      </c>
    </row>
    <row r="732" spans="1:14" x14ac:dyDescent="0.25">
      <c r="A732" s="14"/>
      <c r="B732" s="22" t="s">
        <v>1065</v>
      </c>
      <c r="C732" s="14" t="s">
        <v>12</v>
      </c>
      <c r="D732" s="15" t="s">
        <v>123</v>
      </c>
      <c r="E732" s="15" t="s">
        <v>1053</v>
      </c>
      <c r="F732" s="15"/>
      <c r="G732" s="15"/>
      <c r="H732" s="16" t="s">
        <v>16</v>
      </c>
      <c r="I732" s="16"/>
      <c r="J732" s="16"/>
      <c r="K732" s="1"/>
      <c r="L732" s="1"/>
      <c r="M732" s="1"/>
    </row>
    <row r="733" spans="1:14" x14ac:dyDescent="0.25">
      <c r="A733" s="14"/>
      <c r="B733" s="22" t="s">
        <v>2987</v>
      </c>
      <c r="C733" s="14"/>
      <c r="D733" s="15" t="s">
        <v>212</v>
      </c>
      <c r="E733" s="15" t="s">
        <v>1055</v>
      </c>
      <c r="F733" s="15"/>
      <c r="G733" s="15" t="s">
        <v>2977</v>
      </c>
      <c r="H733" s="16" t="s">
        <v>1064</v>
      </c>
      <c r="I733" s="16">
        <v>130</v>
      </c>
      <c r="J733" s="16"/>
      <c r="K733" s="1"/>
      <c r="L733" s="1"/>
      <c r="M733" s="1"/>
    </row>
    <row r="734" spans="1:14" x14ac:dyDescent="0.25">
      <c r="A734" s="14"/>
      <c r="B734" s="22" t="s">
        <v>2876</v>
      </c>
      <c r="C734" s="14" t="s">
        <v>12</v>
      </c>
      <c r="D734" s="15" t="s">
        <v>214</v>
      </c>
      <c r="E734" s="15" t="s">
        <v>1057</v>
      </c>
      <c r="F734" s="15"/>
      <c r="G734" s="15" t="s">
        <v>2804</v>
      </c>
      <c r="H734" s="16" t="s">
        <v>1064</v>
      </c>
      <c r="I734" s="16">
        <v>50</v>
      </c>
      <c r="J734" s="16"/>
      <c r="K734" s="1"/>
      <c r="L734" s="1"/>
      <c r="M734" s="1"/>
    </row>
    <row r="735" spans="1:14" x14ac:dyDescent="0.25">
      <c r="A735" s="14"/>
      <c r="B735" s="22" t="s">
        <v>1068</v>
      </c>
      <c r="C735" s="14" t="s">
        <v>12</v>
      </c>
      <c r="D735" s="15" t="s">
        <v>216</v>
      </c>
      <c r="E735" s="15" t="s">
        <v>1059</v>
      </c>
      <c r="F735" s="15"/>
      <c r="G735" s="15" t="s">
        <v>2801</v>
      </c>
      <c r="H735" s="16" t="s">
        <v>1064</v>
      </c>
      <c r="I735" s="16">
        <v>25</v>
      </c>
      <c r="J735" s="16"/>
      <c r="K735" s="1"/>
      <c r="L735" s="1"/>
      <c r="M735" s="1"/>
    </row>
    <row r="736" spans="1:14" x14ac:dyDescent="0.25">
      <c r="A736" s="14"/>
      <c r="B736" s="22" t="s">
        <v>3133</v>
      </c>
      <c r="C736" s="14" t="s">
        <v>12</v>
      </c>
      <c r="D736" s="15" t="s">
        <v>218</v>
      </c>
      <c r="E736" s="15" t="s">
        <v>1061</v>
      </c>
      <c r="F736" s="15"/>
      <c r="G736" s="15"/>
      <c r="H736" s="16"/>
      <c r="I736" s="16"/>
      <c r="J736" s="16"/>
      <c r="K736" s="1"/>
      <c r="L736" s="1"/>
      <c r="M736" s="1"/>
    </row>
    <row r="737" spans="1:14" x14ac:dyDescent="0.25">
      <c r="A737" s="14"/>
      <c r="B737" s="22" t="s">
        <v>1070</v>
      </c>
      <c r="C737" s="14" t="s">
        <v>12</v>
      </c>
      <c r="D737" s="15" t="s">
        <v>220</v>
      </c>
      <c r="E737" s="15" t="s">
        <v>1063</v>
      </c>
      <c r="F737" s="15"/>
      <c r="G737" s="15"/>
      <c r="H737" s="16" t="s">
        <v>1064</v>
      </c>
      <c r="I737" s="16"/>
      <c r="J737" s="16"/>
      <c r="K737" s="1"/>
      <c r="L737" s="1"/>
      <c r="M737" s="1"/>
    </row>
    <row r="738" spans="1:14" x14ac:dyDescent="0.25">
      <c r="A738" s="14"/>
      <c r="B738" s="22" t="s">
        <v>1072</v>
      </c>
      <c r="C738" s="14" t="s">
        <v>12</v>
      </c>
      <c r="D738" s="15" t="s">
        <v>222</v>
      </c>
      <c r="E738" s="15" t="s">
        <v>1066</v>
      </c>
      <c r="F738" s="15"/>
      <c r="G738" s="15" t="s">
        <v>2283</v>
      </c>
      <c r="H738" s="16" t="s">
        <v>16</v>
      </c>
      <c r="I738" s="16">
        <v>50</v>
      </c>
      <c r="J738" s="16" t="s">
        <v>17</v>
      </c>
      <c r="K738" s="1"/>
      <c r="L738" s="1"/>
      <c r="M738" s="1"/>
    </row>
    <row r="739" spans="1:14" x14ac:dyDescent="0.25">
      <c r="A739" s="14"/>
      <c r="B739" s="35" t="s">
        <v>1058</v>
      </c>
      <c r="C739" s="14" t="s">
        <v>12</v>
      </c>
      <c r="D739" s="15" t="s">
        <v>224</v>
      </c>
      <c r="E739" s="15" t="s">
        <v>1067</v>
      </c>
      <c r="F739" s="15"/>
      <c r="G739" s="15" t="s">
        <v>3236</v>
      </c>
      <c r="H739" s="16" t="s">
        <v>16</v>
      </c>
      <c r="I739" s="16">
        <v>19</v>
      </c>
      <c r="J739" s="16"/>
      <c r="K739" s="1"/>
      <c r="L739" s="1"/>
      <c r="M739" s="1"/>
    </row>
    <row r="740" spans="1:14" x14ac:dyDescent="0.25">
      <c r="A740" s="14"/>
      <c r="B740" s="22" t="s">
        <v>1074</v>
      </c>
      <c r="C740" s="14" t="s">
        <v>12</v>
      </c>
      <c r="D740" s="15" t="s">
        <v>226</v>
      </c>
      <c r="E740" s="15" t="s">
        <v>1069</v>
      </c>
      <c r="F740" s="15"/>
      <c r="G740" s="15"/>
      <c r="H740" s="16" t="s">
        <v>16</v>
      </c>
      <c r="I740" s="16"/>
      <c r="J740" s="16"/>
      <c r="K740" s="1"/>
      <c r="L740" s="1"/>
      <c r="M740" s="1"/>
    </row>
    <row r="741" spans="1:14" x14ac:dyDescent="0.25">
      <c r="A741" s="14"/>
      <c r="B741" s="22" t="s">
        <v>1078</v>
      </c>
      <c r="C741" s="14" t="s">
        <v>12</v>
      </c>
      <c r="D741" s="15" t="s">
        <v>228</v>
      </c>
      <c r="E741" s="15" t="s">
        <v>1071</v>
      </c>
      <c r="F741" s="15"/>
      <c r="G741" s="15" t="s">
        <v>2875</v>
      </c>
      <c r="H741" s="16" t="s">
        <v>16</v>
      </c>
      <c r="I741" s="16">
        <v>70</v>
      </c>
      <c r="J741" s="16"/>
      <c r="K741" s="1"/>
      <c r="L741" s="1"/>
    </row>
    <row r="742" spans="1:14" x14ac:dyDescent="0.25">
      <c r="A742" s="14"/>
      <c r="B742" s="22" t="s">
        <v>1080</v>
      </c>
      <c r="C742" s="14" t="s">
        <v>12</v>
      </c>
      <c r="D742" s="15" t="s">
        <v>230</v>
      </c>
      <c r="E742" s="15" t="s">
        <v>1073</v>
      </c>
      <c r="F742" s="15"/>
      <c r="G742" s="15" t="s">
        <v>2525</v>
      </c>
      <c r="H742" s="16" t="s">
        <v>16</v>
      </c>
      <c r="I742" s="16">
        <v>600</v>
      </c>
      <c r="J742" s="16" t="s">
        <v>2526</v>
      </c>
      <c r="K742" s="1"/>
      <c r="L742" s="1"/>
    </row>
    <row r="743" spans="1:14" x14ac:dyDescent="0.25">
      <c r="A743" s="14"/>
      <c r="B743" s="35" t="s">
        <v>1082</v>
      </c>
      <c r="C743" s="42" t="s">
        <v>12</v>
      </c>
      <c r="D743" s="15" t="s">
        <v>232</v>
      </c>
      <c r="E743" s="15" t="s">
        <v>1075</v>
      </c>
      <c r="F743" s="15"/>
      <c r="G743" s="15"/>
      <c r="H743" s="16" t="s">
        <v>16</v>
      </c>
      <c r="I743" s="16"/>
      <c r="J743" s="16"/>
      <c r="K743" s="1"/>
      <c r="L743" s="1"/>
    </row>
    <row r="744" spans="1:14" x14ac:dyDescent="0.25">
      <c r="A744" s="14"/>
      <c r="B744" s="35" t="s">
        <v>1084</v>
      </c>
      <c r="C744" s="42" t="s">
        <v>12</v>
      </c>
      <c r="D744" s="15" t="s">
        <v>234</v>
      </c>
      <c r="E744" s="15" t="s">
        <v>1077</v>
      </c>
      <c r="F744" s="15"/>
      <c r="G744" s="15"/>
      <c r="H744" s="16" t="s">
        <v>16</v>
      </c>
      <c r="I744" s="16"/>
      <c r="J744" s="16"/>
      <c r="K744" s="1"/>
      <c r="L744" s="1"/>
    </row>
    <row r="745" spans="1:14" x14ac:dyDescent="0.25">
      <c r="A745" s="14"/>
      <c r="B745" s="35" t="s">
        <v>1086</v>
      </c>
      <c r="C745" s="42" t="s">
        <v>12</v>
      </c>
      <c r="D745" s="15" t="s">
        <v>236</v>
      </c>
      <c r="E745" s="15" t="s">
        <v>1079</v>
      </c>
      <c r="F745" s="15"/>
      <c r="G745" s="15"/>
      <c r="H745" s="16" t="s">
        <v>16</v>
      </c>
      <c r="I745" s="16"/>
      <c r="J745" s="16"/>
      <c r="K745" s="1"/>
      <c r="L745" s="1"/>
    </row>
    <row r="746" spans="1:14" x14ac:dyDescent="0.25">
      <c r="A746" s="14"/>
      <c r="B746" s="35" t="s">
        <v>3299</v>
      </c>
      <c r="C746" s="42"/>
      <c r="D746" s="15" t="s">
        <v>238</v>
      </c>
      <c r="E746" s="15" t="s">
        <v>1081</v>
      </c>
      <c r="F746" s="15"/>
      <c r="G746" s="15" t="s">
        <v>2865</v>
      </c>
      <c r="H746" s="16" t="s">
        <v>169</v>
      </c>
      <c r="I746" s="16">
        <v>6</v>
      </c>
      <c r="J746" s="16"/>
      <c r="K746" s="1"/>
      <c r="L746" s="1"/>
    </row>
    <row r="747" spans="1:14" ht="25.5" x14ac:dyDescent="0.25">
      <c r="A747" s="14"/>
      <c r="B747" s="35" t="s">
        <v>1088</v>
      </c>
      <c r="C747" s="42" t="s">
        <v>12</v>
      </c>
      <c r="D747" s="15" t="s">
        <v>240</v>
      </c>
      <c r="E747" s="15" t="s">
        <v>1083</v>
      </c>
      <c r="F747" s="15"/>
      <c r="G747" s="15"/>
      <c r="H747" s="16" t="s">
        <v>16</v>
      </c>
      <c r="I747" s="16"/>
      <c r="J747" s="16"/>
      <c r="K747" s="1"/>
      <c r="L747" s="1"/>
    </row>
    <row r="748" spans="1:14" ht="25.5" x14ac:dyDescent="0.25">
      <c r="A748" s="14"/>
      <c r="B748" s="35" t="s">
        <v>1105</v>
      </c>
      <c r="C748" s="14" t="s">
        <v>12</v>
      </c>
      <c r="D748" s="15" t="s">
        <v>334</v>
      </c>
      <c r="E748" s="15" t="s">
        <v>1085</v>
      </c>
      <c r="F748" s="15"/>
      <c r="G748" s="15"/>
      <c r="H748" s="16" t="s">
        <v>16</v>
      </c>
      <c r="I748" s="16"/>
      <c r="J748" s="16" t="s">
        <v>17</v>
      </c>
      <c r="K748" s="1"/>
      <c r="L748" s="1"/>
      <c r="N748" s="1">
        <v>7000</v>
      </c>
    </row>
    <row r="749" spans="1:14" x14ac:dyDescent="0.25">
      <c r="A749" s="14"/>
      <c r="B749" s="35" t="s">
        <v>1090</v>
      </c>
      <c r="C749" s="42" t="s">
        <v>12</v>
      </c>
      <c r="D749" s="15" t="s">
        <v>337</v>
      </c>
      <c r="E749" s="15" t="s">
        <v>1087</v>
      </c>
      <c r="F749" s="15"/>
      <c r="G749" s="15"/>
      <c r="H749" s="16" t="s">
        <v>16</v>
      </c>
      <c r="I749" s="16"/>
      <c r="J749" s="16"/>
      <c r="K749" s="1"/>
      <c r="L749" s="1"/>
      <c r="N749" s="1">
        <f>700*17</f>
        <v>11900</v>
      </c>
    </row>
    <row r="750" spans="1:14" x14ac:dyDescent="0.25">
      <c r="A750" s="14"/>
      <c r="B750" s="22" t="s">
        <v>1092</v>
      </c>
      <c r="C750" s="14" t="s">
        <v>12</v>
      </c>
      <c r="D750" s="15" t="s">
        <v>340</v>
      </c>
      <c r="E750" s="15" t="s">
        <v>1089</v>
      </c>
      <c r="F750" s="15" t="s">
        <v>2946</v>
      </c>
      <c r="G750" s="15" t="s">
        <v>2833</v>
      </c>
      <c r="H750" s="16" t="s">
        <v>1064</v>
      </c>
      <c r="I750" s="16">
        <v>3</v>
      </c>
      <c r="J750" s="16"/>
      <c r="K750" s="1"/>
      <c r="L750" s="1"/>
    </row>
    <row r="751" spans="1:14" x14ac:dyDescent="0.25">
      <c r="A751" s="14"/>
      <c r="B751" s="22" t="s">
        <v>1092</v>
      </c>
      <c r="C751" s="14" t="s">
        <v>12</v>
      </c>
      <c r="D751" s="15" t="s">
        <v>343</v>
      </c>
      <c r="E751" s="15" t="s">
        <v>1091</v>
      </c>
      <c r="F751" s="15" t="s">
        <v>2947</v>
      </c>
      <c r="G751" s="15" t="s">
        <v>2833</v>
      </c>
      <c r="H751" s="16" t="s">
        <v>1064</v>
      </c>
      <c r="I751" s="16">
        <v>6</v>
      </c>
      <c r="J751" s="16"/>
      <c r="K751" s="1"/>
      <c r="L751" s="1"/>
    </row>
    <row r="752" spans="1:14" x14ac:dyDescent="0.25">
      <c r="A752" s="14"/>
      <c r="B752" s="22" t="s">
        <v>1094</v>
      </c>
      <c r="C752" s="14" t="s">
        <v>12</v>
      </c>
      <c r="D752" s="15" t="s">
        <v>345</v>
      </c>
      <c r="E752" s="15" t="s">
        <v>1093</v>
      </c>
      <c r="F752" s="15" t="s">
        <v>2946</v>
      </c>
      <c r="G752" s="15" t="s">
        <v>2833</v>
      </c>
      <c r="H752" s="16" t="s">
        <v>1064</v>
      </c>
      <c r="I752" s="16">
        <v>5</v>
      </c>
      <c r="J752" s="16"/>
      <c r="K752" s="1"/>
      <c r="L752" s="1"/>
    </row>
    <row r="753" spans="1:13" x14ac:dyDescent="0.25">
      <c r="A753" s="14"/>
      <c r="B753" s="22" t="s">
        <v>1094</v>
      </c>
      <c r="C753" s="14" t="s">
        <v>12</v>
      </c>
      <c r="D753" s="15" t="s">
        <v>348</v>
      </c>
      <c r="E753" s="15" t="s">
        <v>1095</v>
      </c>
      <c r="F753" s="15" t="s">
        <v>2947</v>
      </c>
      <c r="G753" s="15" t="s">
        <v>2833</v>
      </c>
      <c r="H753" s="16" t="s">
        <v>1064</v>
      </c>
      <c r="I753" s="16">
        <v>10</v>
      </c>
      <c r="J753" s="16"/>
      <c r="K753" s="1"/>
      <c r="L753" s="1"/>
    </row>
    <row r="754" spans="1:13" s="11" customFormat="1" x14ac:dyDescent="0.25">
      <c r="A754" s="14"/>
      <c r="B754" s="22" t="s">
        <v>1094</v>
      </c>
      <c r="C754" s="14" t="s">
        <v>12</v>
      </c>
      <c r="D754" s="15" t="s">
        <v>351</v>
      </c>
      <c r="E754" s="15" t="s">
        <v>1097</v>
      </c>
      <c r="F754" s="15" t="s">
        <v>2948</v>
      </c>
      <c r="G754" s="15" t="s">
        <v>2833</v>
      </c>
      <c r="H754" s="16" t="s">
        <v>1064</v>
      </c>
      <c r="I754" s="16">
        <v>2</v>
      </c>
      <c r="J754" s="16"/>
      <c r="M754" s="12"/>
    </row>
    <row r="755" spans="1:13" x14ac:dyDescent="0.25">
      <c r="A755" s="14"/>
      <c r="B755" s="22" t="s">
        <v>1096</v>
      </c>
      <c r="C755" s="14" t="s">
        <v>12</v>
      </c>
      <c r="D755" s="15" t="s">
        <v>431</v>
      </c>
      <c r="E755" s="15" t="s">
        <v>1099</v>
      </c>
      <c r="F755" s="15" t="s">
        <v>2946</v>
      </c>
      <c r="G755" s="15" t="s">
        <v>2833</v>
      </c>
      <c r="H755" s="16" t="s">
        <v>1064</v>
      </c>
      <c r="I755" s="16">
        <v>10</v>
      </c>
      <c r="J755" s="16"/>
      <c r="K755" s="1"/>
      <c r="L755" s="1"/>
    </row>
    <row r="756" spans="1:13" s="11" customFormat="1" x14ac:dyDescent="0.25">
      <c r="A756" s="14"/>
      <c r="B756" s="22" t="s">
        <v>1096</v>
      </c>
      <c r="C756" s="14" t="s">
        <v>12</v>
      </c>
      <c r="D756" s="15" t="s">
        <v>434</v>
      </c>
      <c r="E756" s="15" t="s">
        <v>1101</v>
      </c>
      <c r="F756" s="15" t="s">
        <v>2947</v>
      </c>
      <c r="G756" s="15" t="s">
        <v>2833</v>
      </c>
      <c r="H756" s="16" t="s">
        <v>1064</v>
      </c>
      <c r="I756" s="16">
        <v>10</v>
      </c>
      <c r="J756" s="16"/>
      <c r="M756" s="12"/>
    </row>
    <row r="757" spans="1:13" s="11" customFormat="1" x14ac:dyDescent="0.25">
      <c r="A757" s="36"/>
      <c r="B757" s="22" t="s">
        <v>1098</v>
      </c>
      <c r="C757" s="14" t="s">
        <v>12</v>
      </c>
      <c r="D757" s="15" t="s">
        <v>437</v>
      </c>
      <c r="E757" s="15" t="s">
        <v>1103</v>
      </c>
      <c r="F757" s="15" t="s">
        <v>2946</v>
      </c>
      <c r="G757" s="15" t="s">
        <v>2833</v>
      </c>
      <c r="H757" s="16" t="s">
        <v>1064</v>
      </c>
      <c r="I757" s="16">
        <v>8</v>
      </c>
      <c r="J757" s="16"/>
      <c r="M757" s="12"/>
    </row>
    <row r="758" spans="1:13" s="11" customFormat="1" x14ac:dyDescent="0.25">
      <c r="A758" s="14"/>
      <c r="B758" s="22" t="s">
        <v>1098</v>
      </c>
      <c r="C758" s="14" t="s">
        <v>12</v>
      </c>
      <c r="D758" s="15" t="s">
        <v>440</v>
      </c>
      <c r="E758" s="15" t="s">
        <v>4062</v>
      </c>
      <c r="F758" s="48" t="s">
        <v>2947</v>
      </c>
      <c r="G758" s="48" t="s">
        <v>2833</v>
      </c>
      <c r="H758" s="49" t="s">
        <v>1064</v>
      </c>
      <c r="I758" s="49">
        <v>8</v>
      </c>
      <c r="J758" s="16"/>
      <c r="M758" s="12"/>
    </row>
    <row r="759" spans="1:13" x14ac:dyDescent="0.25">
      <c r="A759" s="36"/>
      <c r="B759" s="22" t="s">
        <v>1100</v>
      </c>
      <c r="C759" s="14" t="s">
        <v>12</v>
      </c>
      <c r="D759" s="15" t="s">
        <v>443</v>
      </c>
      <c r="E759" s="15" t="s">
        <v>1106</v>
      </c>
      <c r="F759" s="15" t="s">
        <v>2946</v>
      </c>
      <c r="G759" s="15" t="s">
        <v>2833</v>
      </c>
      <c r="H759" s="16" t="s">
        <v>1064</v>
      </c>
      <c r="I759" s="16">
        <v>3</v>
      </c>
      <c r="J759" s="16"/>
      <c r="K759" s="1"/>
      <c r="L759" s="1"/>
    </row>
    <row r="760" spans="1:13" x14ac:dyDescent="0.25">
      <c r="A760" s="14"/>
      <c r="B760" s="22" t="s">
        <v>1100</v>
      </c>
      <c r="C760" s="14" t="s">
        <v>12</v>
      </c>
      <c r="D760" s="15" t="s">
        <v>446</v>
      </c>
      <c r="E760" s="15" t="s">
        <v>1108</v>
      </c>
      <c r="F760" s="15" t="s">
        <v>2947</v>
      </c>
      <c r="G760" s="15" t="s">
        <v>2833</v>
      </c>
      <c r="H760" s="16" t="s">
        <v>1064</v>
      </c>
      <c r="I760" s="16">
        <v>4</v>
      </c>
      <c r="J760" s="16"/>
      <c r="K760" s="1"/>
      <c r="L760" s="1"/>
    </row>
    <row r="761" spans="1:13" x14ac:dyDescent="0.25">
      <c r="A761" s="36"/>
      <c r="B761" s="35" t="s">
        <v>1102</v>
      </c>
      <c r="C761" s="42" t="s">
        <v>12</v>
      </c>
      <c r="D761" s="15" t="s">
        <v>449</v>
      </c>
      <c r="E761" s="15" t="s">
        <v>4063</v>
      </c>
      <c r="F761" s="15"/>
      <c r="G761" s="15"/>
      <c r="H761" s="16" t="s">
        <v>16</v>
      </c>
      <c r="I761" s="16"/>
      <c r="J761" s="16"/>
      <c r="K761" s="1"/>
      <c r="L761" s="1"/>
      <c r="M761" s="1"/>
    </row>
    <row r="762" spans="1:13" s="11" customFormat="1" x14ac:dyDescent="0.25">
      <c r="A762" s="14"/>
      <c r="B762" s="22" t="s">
        <v>1021</v>
      </c>
      <c r="C762" s="14" t="s">
        <v>12</v>
      </c>
      <c r="D762" s="15" t="s">
        <v>452</v>
      </c>
      <c r="E762" s="15" t="s">
        <v>1111</v>
      </c>
      <c r="F762" s="15"/>
      <c r="G762" s="15"/>
      <c r="H762" s="16" t="s">
        <v>246</v>
      </c>
      <c r="I762" s="16"/>
      <c r="J762" s="16"/>
    </row>
    <row r="763" spans="1:13" s="11" customFormat="1" x14ac:dyDescent="0.25">
      <c r="A763" s="14"/>
      <c r="B763" s="22" t="s">
        <v>1023</v>
      </c>
      <c r="C763" s="14" t="s">
        <v>12</v>
      </c>
      <c r="D763" s="15" t="s">
        <v>455</v>
      </c>
      <c r="E763" s="15" t="s">
        <v>4064</v>
      </c>
      <c r="F763" s="15"/>
      <c r="G763" s="15"/>
      <c r="H763" s="16" t="s">
        <v>246</v>
      </c>
      <c r="I763" s="16"/>
      <c r="J763" s="16"/>
    </row>
    <row r="764" spans="1:13" x14ac:dyDescent="0.25">
      <c r="A764" s="14"/>
      <c r="B764" s="35" t="s">
        <v>1041</v>
      </c>
      <c r="C764" s="42" t="s">
        <v>12</v>
      </c>
      <c r="D764" s="15" t="s">
        <v>458</v>
      </c>
      <c r="E764" s="15" t="s">
        <v>4065</v>
      </c>
      <c r="F764" s="15"/>
      <c r="G764" s="15"/>
      <c r="H764" s="16" t="s">
        <v>16</v>
      </c>
      <c r="I764" s="16"/>
      <c r="J764" s="16" t="s">
        <v>17</v>
      </c>
      <c r="K764" s="1"/>
      <c r="L764" s="1"/>
      <c r="M764" s="1"/>
    </row>
    <row r="765" spans="1:13" x14ac:dyDescent="0.25">
      <c r="A765" s="14"/>
      <c r="B765" s="35" t="s">
        <v>1043</v>
      </c>
      <c r="C765" s="42" t="s">
        <v>12</v>
      </c>
      <c r="D765" s="15" t="s">
        <v>461</v>
      </c>
      <c r="E765" s="15" t="s">
        <v>4066</v>
      </c>
      <c r="F765" s="15"/>
      <c r="G765" s="15"/>
      <c r="H765" s="16" t="s">
        <v>16</v>
      </c>
      <c r="I765" s="16"/>
      <c r="J765" s="16" t="s">
        <v>17</v>
      </c>
      <c r="K765" s="1"/>
      <c r="L765" s="1"/>
      <c r="M765" s="1"/>
    </row>
    <row r="766" spans="1:13" x14ac:dyDescent="0.25">
      <c r="A766" s="14"/>
      <c r="B766" s="35" t="s">
        <v>1045</v>
      </c>
      <c r="C766" s="42" t="s">
        <v>12</v>
      </c>
      <c r="D766" s="15" t="s">
        <v>464</v>
      </c>
      <c r="E766" s="15" t="s">
        <v>4067</v>
      </c>
      <c r="F766" s="15"/>
      <c r="G766" s="15"/>
      <c r="H766" s="16" t="s">
        <v>16</v>
      </c>
      <c r="I766" s="16"/>
      <c r="J766" s="16" t="s">
        <v>17</v>
      </c>
      <c r="K766" s="1"/>
      <c r="L766" s="1"/>
      <c r="M766" s="1"/>
    </row>
    <row r="767" spans="1:13" x14ac:dyDescent="0.25">
      <c r="A767" s="14"/>
      <c r="B767" s="35" t="s">
        <v>1047</v>
      </c>
      <c r="C767" s="42" t="s">
        <v>12</v>
      </c>
      <c r="D767" s="15" t="s">
        <v>467</v>
      </c>
      <c r="E767" s="15" t="s">
        <v>4068</v>
      </c>
      <c r="F767" s="15"/>
      <c r="G767" s="15"/>
      <c r="H767" s="16" t="s">
        <v>16</v>
      </c>
      <c r="I767" s="16"/>
      <c r="J767" s="16" t="s">
        <v>17</v>
      </c>
      <c r="K767" s="1"/>
      <c r="L767" s="1"/>
      <c r="M767" s="1"/>
    </row>
    <row r="768" spans="1:13" x14ac:dyDescent="0.25">
      <c r="A768" s="14"/>
      <c r="B768" s="35" t="s">
        <v>2652</v>
      </c>
      <c r="C768" s="42"/>
      <c r="D768" s="15" t="s">
        <v>470</v>
      </c>
      <c r="E768" s="15" t="s">
        <v>4069</v>
      </c>
      <c r="F768" s="15"/>
      <c r="G768" s="15" t="s">
        <v>2398</v>
      </c>
      <c r="H768" s="16" t="s">
        <v>16</v>
      </c>
      <c r="I768" s="16">
        <v>8</v>
      </c>
      <c r="J768" s="16"/>
      <c r="K768" s="1"/>
      <c r="L768" s="1"/>
      <c r="M768" s="1"/>
    </row>
    <row r="769" spans="1:13" ht="25.5" x14ac:dyDescent="0.25">
      <c r="A769" s="14"/>
      <c r="B769" s="35" t="s">
        <v>1027</v>
      </c>
      <c r="C769" s="42" t="s">
        <v>12</v>
      </c>
      <c r="D769" s="15" t="s">
        <v>473</v>
      </c>
      <c r="E769" s="15" t="s">
        <v>4070</v>
      </c>
      <c r="F769" s="15"/>
      <c r="G769" s="15" t="s">
        <v>2507</v>
      </c>
      <c r="H769" s="16" t="s">
        <v>16</v>
      </c>
      <c r="I769" s="16">
        <v>20</v>
      </c>
      <c r="J769" s="16" t="s">
        <v>2508</v>
      </c>
      <c r="K769" s="1"/>
      <c r="L769" s="1"/>
      <c r="M769" s="1"/>
    </row>
    <row r="770" spans="1:13" ht="25.5" x14ac:dyDescent="0.25">
      <c r="A770" s="14"/>
      <c r="B770" s="35" t="s">
        <v>1027</v>
      </c>
      <c r="C770" s="42"/>
      <c r="D770" s="15" t="s">
        <v>476</v>
      </c>
      <c r="E770" s="15" t="s">
        <v>4071</v>
      </c>
      <c r="F770" s="15"/>
      <c r="G770" s="15" t="s">
        <v>2510</v>
      </c>
      <c r="H770" s="16" t="s">
        <v>16</v>
      </c>
      <c r="I770" s="16">
        <v>30</v>
      </c>
      <c r="J770" s="16" t="s">
        <v>2509</v>
      </c>
      <c r="K770" s="1"/>
      <c r="L770" s="1"/>
      <c r="M770" s="1"/>
    </row>
    <row r="771" spans="1:13" ht="25.5" x14ac:dyDescent="0.25">
      <c r="A771" s="14"/>
      <c r="B771" s="35" t="s">
        <v>1025</v>
      </c>
      <c r="C771" s="42" t="s">
        <v>12</v>
      </c>
      <c r="D771" s="15" t="s">
        <v>479</v>
      </c>
      <c r="E771" s="15" t="s">
        <v>4072</v>
      </c>
      <c r="F771" s="15"/>
      <c r="G771" s="15" t="s">
        <v>2510</v>
      </c>
      <c r="H771" s="16" t="s">
        <v>16</v>
      </c>
      <c r="I771" s="16">
        <v>26</v>
      </c>
      <c r="J771" s="16" t="s">
        <v>2509</v>
      </c>
      <c r="K771" s="1"/>
      <c r="L771" s="1"/>
      <c r="M771" s="1"/>
    </row>
    <row r="772" spans="1:13" ht="25.5" x14ac:dyDescent="0.25">
      <c r="A772" s="14"/>
      <c r="B772" s="35" t="s">
        <v>1025</v>
      </c>
      <c r="C772" s="42" t="s">
        <v>12</v>
      </c>
      <c r="D772" s="15" t="s">
        <v>482</v>
      </c>
      <c r="E772" s="15" t="s">
        <v>4073</v>
      </c>
      <c r="F772" s="15"/>
      <c r="G772" s="15" t="s">
        <v>2507</v>
      </c>
      <c r="H772" s="16" t="s">
        <v>16</v>
      </c>
      <c r="I772" s="16">
        <v>6</v>
      </c>
      <c r="J772" s="16" t="s">
        <v>2508</v>
      </c>
      <c r="K772" s="1"/>
      <c r="L772" s="1"/>
      <c r="M772" s="1"/>
    </row>
    <row r="773" spans="1:13" ht="25.5" x14ac:dyDescent="0.25">
      <c r="A773" s="14"/>
      <c r="B773" s="35" t="s">
        <v>1110</v>
      </c>
      <c r="C773" s="14" t="s">
        <v>12</v>
      </c>
      <c r="D773" s="15" t="s">
        <v>485</v>
      </c>
      <c r="E773" s="15" t="s">
        <v>4074</v>
      </c>
      <c r="F773" s="15"/>
      <c r="G773" s="15" t="s">
        <v>2507</v>
      </c>
      <c r="H773" s="16" t="s">
        <v>16</v>
      </c>
      <c r="I773" s="16">
        <v>25</v>
      </c>
      <c r="J773" s="16" t="s">
        <v>2509</v>
      </c>
      <c r="K773" s="1"/>
      <c r="L773" s="1"/>
      <c r="M773" s="1"/>
    </row>
    <row r="774" spans="1:13" ht="25.5" x14ac:dyDescent="0.25">
      <c r="A774" s="14"/>
      <c r="B774" s="35" t="s">
        <v>1110</v>
      </c>
      <c r="C774" s="14" t="s">
        <v>12</v>
      </c>
      <c r="D774" s="15" t="s">
        <v>488</v>
      </c>
      <c r="E774" s="15" t="s">
        <v>4075</v>
      </c>
      <c r="F774" s="15"/>
      <c r="G774" s="15" t="s">
        <v>2507</v>
      </c>
      <c r="H774" s="16" t="s">
        <v>16</v>
      </c>
      <c r="I774" s="16">
        <v>15</v>
      </c>
      <c r="J774" s="16" t="s">
        <v>2508</v>
      </c>
      <c r="K774" s="1"/>
      <c r="L774" s="1"/>
      <c r="M774" s="1"/>
    </row>
    <row r="775" spans="1:13" ht="25.5" x14ac:dyDescent="0.25">
      <c r="A775" s="14"/>
      <c r="B775" s="35" t="s">
        <v>1110</v>
      </c>
      <c r="C775" s="14" t="s">
        <v>12</v>
      </c>
      <c r="D775" s="15" t="s">
        <v>491</v>
      </c>
      <c r="E775" s="15" t="s">
        <v>4076</v>
      </c>
      <c r="F775" s="15"/>
      <c r="G775" s="15"/>
      <c r="H775" s="16" t="s">
        <v>16</v>
      </c>
      <c r="I775" s="16"/>
      <c r="J775" s="16" t="s">
        <v>17</v>
      </c>
      <c r="K775" s="1"/>
      <c r="L775" s="1"/>
      <c r="M775" s="1"/>
    </row>
    <row r="776" spans="1:13" ht="25.5" x14ac:dyDescent="0.25">
      <c r="A776" s="14"/>
      <c r="B776" s="35" t="s">
        <v>1029</v>
      </c>
      <c r="C776" s="42" t="s">
        <v>12</v>
      </c>
      <c r="D776" s="15" t="s">
        <v>494</v>
      </c>
      <c r="E776" s="15" t="s">
        <v>4077</v>
      </c>
      <c r="F776" s="15"/>
      <c r="G776" s="15" t="s">
        <v>2507</v>
      </c>
      <c r="H776" s="16" t="s">
        <v>16</v>
      </c>
      <c r="I776" s="16">
        <v>39</v>
      </c>
      <c r="J776" s="16" t="s">
        <v>2508</v>
      </c>
      <c r="K776" s="1"/>
      <c r="L776" s="1"/>
      <c r="M776" s="1"/>
    </row>
    <row r="777" spans="1:13" ht="25.5" x14ac:dyDescent="0.25">
      <c r="A777" s="14"/>
      <c r="B777" s="35" t="s">
        <v>1029</v>
      </c>
      <c r="C777" s="42"/>
      <c r="D777" s="15" t="s">
        <v>497</v>
      </c>
      <c r="E777" s="15" t="s">
        <v>4078</v>
      </c>
      <c r="F777" s="15"/>
      <c r="G777" s="15" t="s">
        <v>2507</v>
      </c>
      <c r="H777" s="16" t="s">
        <v>16</v>
      </c>
      <c r="I777" s="16">
        <v>21</v>
      </c>
      <c r="J777" s="16" t="s">
        <v>2509</v>
      </c>
      <c r="K777" s="1"/>
      <c r="L777" s="1"/>
      <c r="M777" s="1"/>
    </row>
    <row r="778" spans="1:13" ht="25.5" x14ac:dyDescent="0.25">
      <c r="A778" s="14"/>
      <c r="B778" s="35" t="s">
        <v>1031</v>
      </c>
      <c r="C778" s="42" t="s">
        <v>12</v>
      </c>
      <c r="D778" s="15" t="s">
        <v>500</v>
      </c>
      <c r="E778" s="15" t="s">
        <v>4079</v>
      </c>
      <c r="F778" s="15"/>
      <c r="G778" s="15" t="s">
        <v>2507</v>
      </c>
      <c r="H778" s="16" t="s">
        <v>16</v>
      </c>
      <c r="I778" s="16">
        <v>12</v>
      </c>
      <c r="J778" s="16" t="s">
        <v>2508</v>
      </c>
      <c r="K778" s="1"/>
      <c r="L778" s="1"/>
      <c r="M778" s="1"/>
    </row>
    <row r="779" spans="1:13" ht="25.5" x14ac:dyDescent="0.25">
      <c r="A779" s="14"/>
      <c r="B779" s="35" t="s">
        <v>1031</v>
      </c>
      <c r="C779" s="14" t="s">
        <v>12</v>
      </c>
      <c r="D779" s="15" t="s">
        <v>503</v>
      </c>
      <c r="E779" s="15" t="s">
        <v>4080</v>
      </c>
      <c r="F779" s="15"/>
      <c r="G779" s="15" t="s">
        <v>2510</v>
      </c>
      <c r="H779" s="16" t="s">
        <v>16</v>
      </c>
      <c r="I779" s="16">
        <v>16</v>
      </c>
      <c r="J779" s="16" t="s">
        <v>2509</v>
      </c>
      <c r="K779" s="1"/>
      <c r="L779" s="1"/>
      <c r="M779" s="1"/>
    </row>
    <row r="780" spans="1:13" x14ac:dyDescent="0.25">
      <c r="A780" s="14"/>
      <c r="B780" s="35" t="s">
        <v>1033</v>
      </c>
      <c r="C780" s="42" t="s">
        <v>12</v>
      </c>
      <c r="D780" s="15" t="s">
        <v>506</v>
      </c>
      <c r="E780" s="15" t="s">
        <v>4081</v>
      </c>
      <c r="F780" s="15"/>
      <c r="G780" s="15"/>
      <c r="H780" s="16" t="s">
        <v>16</v>
      </c>
      <c r="I780" s="16"/>
      <c r="J780" s="16" t="s">
        <v>17</v>
      </c>
      <c r="K780" s="1"/>
      <c r="L780" s="1"/>
      <c r="M780" s="1"/>
    </row>
    <row r="781" spans="1:13" x14ac:dyDescent="0.25">
      <c r="A781" s="14"/>
      <c r="B781" s="35" t="s">
        <v>1035</v>
      </c>
      <c r="C781" s="42" t="s">
        <v>12</v>
      </c>
      <c r="D781" s="15" t="s">
        <v>509</v>
      </c>
      <c r="E781" s="15" t="s">
        <v>4082</v>
      </c>
      <c r="F781" s="15"/>
      <c r="G781" s="15"/>
      <c r="H781" s="16" t="s">
        <v>16</v>
      </c>
      <c r="I781" s="16"/>
      <c r="J781" s="16" t="s">
        <v>17</v>
      </c>
      <c r="K781" s="1"/>
      <c r="L781" s="1"/>
      <c r="M781" s="1"/>
    </row>
    <row r="782" spans="1:13" x14ac:dyDescent="0.25">
      <c r="A782" s="14"/>
      <c r="B782" s="35" t="s">
        <v>1037</v>
      </c>
      <c r="C782" s="42" t="s">
        <v>12</v>
      </c>
      <c r="D782" s="15" t="s">
        <v>512</v>
      </c>
      <c r="E782" s="15" t="s">
        <v>4083</v>
      </c>
      <c r="F782" s="15"/>
      <c r="G782" s="15"/>
      <c r="H782" s="16" t="s">
        <v>16</v>
      </c>
      <c r="I782" s="16"/>
      <c r="J782" s="16" t="s">
        <v>17</v>
      </c>
      <c r="K782" s="1"/>
      <c r="L782" s="1"/>
      <c r="M782" s="1"/>
    </row>
    <row r="783" spans="1:13" x14ac:dyDescent="0.25">
      <c r="A783" s="14"/>
      <c r="B783" s="35" t="s">
        <v>1039</v>
      </c>
      <c r="C783" s="42" t="s">
        <v>12</v>
      </c>
      <c r="D783" s="15" t="s">
        <v>515</v>
      </c>
      <c r="E783" s="15" t="s">
        <v>4084</v>
      </c>
      <c r="F783" s="15"/>
      <c r="G783" s="15"/>
      <c r="H783" s="16" t="s">
        <v>16</v>
      </c>
      <c r="I783" s="16"/>
      <c r="J783" s="16" t="s">
        <v>17</v>
      </c>
      <c r="K783" s="1"/>
      <c r="L783" s="1"/>
    </row>
    <row r="784" spans="1:13" x14ac:dyDescent="0.25">
      <c r="A784" s="14"/>
      <c r="B784" s="35" t="s">
        <v>4602</v>
      </c>
      <c r="C784" s="42" t="s">
        <v>12</v>
      </c>
      <c r="D784" s="15" t="s">
        <v>518</v>
      </c>
      <c r="E784" s="15" t="s">
        <v>4603</v>
      </c>
      <c r="F784" s="15"/>
      <c r="G784" s="15" t="s">
        <v>4583</v>
      </c>
      <c r="H784" s="16" t="s">
        <v>16</v>
      </c>
      <c r="I784" s="16">
        <v>3</v>
      </c>
      <c r="J784" s="16"/>
      <c r="K784" s="1"/>
      <c r="L784" s="1"/>
    </row>
    <row r="785" spans="1:13" ht="15.75" x14ac:dyDescent="0.25">
      <c r="A785" s="53">
        <v>23</v>
      </c>
      <c r="B785" s="43" t="s">
        <v>1112</v>
      </c>
      <c r="C785" s="44"/>
      <c r="D785" s="45"/>
      <c r="E785" s="45"/>
      <c r="F785" s="45"/>
      <c r="G785" s="45"/>
      <c r="H785" s="44"/>
      <c r="I785" s="44"/>
      <c r="J785" s="44"/>
      <c r="K785" s="1"/>
      <c r="L785" s="1"/>
      <c r="M785" s="1"/>
    </row>
    <row r="786" spans="1:13" x14ac:dyDescent="0.25">
      <c r="A786" s="20"/>
      <c r="B786" s="22" t="s">
        <v>2976</v>
      </c>
      <c r="C786" s="14" t="s">
        <v>12</v>
      </c>
      <c r="D786" s="15" t="s">
        <v>14</v>
      </c>
      <c r="E786" s="15" t="s">
        <v>1114</v>
      </c>
      <c r="F786" s="15"/>
      <c r="G786" s="15" t="s">
        <v>2977</v>
      </c>
      <c r="H786" s="16" t="s">
        <v>16</v>
      </c>
      <c r="I786" s="16">
        <v>1</v>
      </c>
      <c r="J786" s="16"/>
      <c r="K786" s="1"/>
      <c r="L786" s="1"/>
    </row>
    <row r="787" spans="1:13" x14ac:dyDescent="0.25">
      <c r="A787" s="20"/>
      <c r="B787" s="22" t="s">
        <v>2976</v>
      </c>
      <c r="C787" s="14" t="s">
        <v>12</v>
      </c>
      <c r="D787" s="15" t="s">
        <v>19</v>
      </c>
      <c r="E787" s="15" t="s">
        <v>1116</v>
      </c>
      <c r="F787" s="15"/>
      <c r="G787" s="15" t="s">
        <v>3398</v>
      </c>
      <c r="H787" s="16" t="s">
        <v>16</v>
      </c>
      <c r="I787" s="16">
        <v>4</v>
      </c>
      <c r="J787" s="16"/>
      <c r="K787" s="1"/>
      <c r="L787" s="1"/>
    </row>
    <row r="788" spans="1:13" x14ac:dyDescent="0.25">
      <c r="A788" s="20"/>
      <c r="B788" s="22" t="s">
        <v>1113</v>
      </c>
      <c r="C788" s="14" t="s">
        <v>12</v>
      </c>
      <c r="D788" s="15" t="s">
        <v>22</v>
      </c>
      <c r="E788" s="15" t="s">
        <v>1118</v>
      </c>
      <c r="F788" s="15"/>
      <c r="G788" s="15"/>
      <c r="H788" s="16" t="s">
        <v>16</v>
      </c>
      <c r="I788" s="16"/>
      <c r="J788" s="16" t="s">
        <v>17</v>
      </c>
      <c r="K788" s="1"/>
      <c r="L788" s="1"/>
      <c r="M788" s="1"/>
    </row>
    <row r="789" spans="1:13" x14ac:dyDescent="0.25">
      <c r="A789" s="20"/>
      <c r="B789" s="22" t="s">
        <v>1115</v>
      </c>
      <c r="C789" s="14" t="s">
        <v>12</v>
      </c>
      <c r="D789" s="15" t="s">
        <v>25</v>
      </c>
      <c r="E789" s="15" t="s">
        <v>1120</v>
      </c>
      <c r="F789" s="15"/>
      <c r="G789" s="15"/>
      <c r="H789" s="16" t="s">
        <v>16</v>
      </c>
      <c r="I789" s="16"/>
      <c r="J789" s="16" t="s">
        <v>17</v>
      </c>
      <c r="K789" s="1"/>
      <c r="L789" s="1"/>
      <c r="M789" s="1"/>
    </row>
    <row r="790" spans="1:13" x14ac:dyDescent="0.25">
      <c r="A790" s="20"/>
      <c r="B790" s="22" t="s">
        <v>1117</v>
      </c>
      <c r="C790" s="14" t="s">
        <v>12</v>
      </c>
      <c r="D790" s="15" t="s">
        <v>28</v>
      </c>
      <c r="E790" s="15" t="s">
        <v>1122</v>
      </c>
      <c r="F790" s="15"/>
      <c r="G790" s="15"/>
      <c r="H790" s="16" t="s">
        <v>16</v>
      </c>
      <c r="I790" s="16"/>
      <c r="J790" s="16" t="s">
        <v>17</v>
      </c>
      <c r="K790" s="1"/>
      <c r="L790" s="1"/>
      <c r="M790" s="1"/>
    </row>
    <row r="791" spans="1:13" x14ac:dyDescent="0.25">
      <c r="A791" s="20"/>
      <c r="B791" s="22" t="s">
        <v>1125</v>
      </c>
      <c r="C791" s="14" t="s">
        <v>12</v>
      </c>
      <c r="D791" s="15" t="s">
        <v>31</v>
      </c>
      <c r="E791" s="15" t="s">
        <v>1124</v>
      </c>
      <c r="F791" s="15"/>
      <c r="G791" s="15"/>
      <c r="H791" s="16" t="s">
        <v>16</v>
      </c>
      <c r="I791" s="16"/>
      <c r="J791" s="16" t="s">
        <v>17</v>
      </c>
      <c r="K791" s="1"/>
      <c r="L791" s="1"/>
      <c r="M791" s="1"/>
    </row>
    <row r="792" spans="1:13" x14ac:dyDescent="0.25">
      <c r="A792" s="36"/>
      <c r="B792" s="22" t="s">
        <v>1127</v>
      </c>
      <c r="C792" s="14" t="s">
        <v>12</v>
      </c>
      <c r="D792" s="15" t="s">
        <v>34</v>
      </c>
      <c r="E792" s="15" t="s">
        <v>1126</v>
      </c>
      <c r="F792" s="15"/>
      <c r="G792" s="15"/>
      <c r="H792" s="16" t="s">
        <v>16</v>
      </c>
      <c r="I792" s="16"/>
      <c r="J792" s="16" t="s">
        <v>17</v>
      </c>
      <c r="K792" s="1"/>
      <c r="L792" s="1"/>
    </row>
    <row r="793" spans="1:13" x14ac:dyDescent="0.25">
      <c r="A793" s="36"/>
      <c r="B793" s="22" t="s">
        <v>1129</v>
      </c>
      <c r="C793" s="14" t="s">
        <v>12</v>
      </c>
      <c r="D793" s="15" t="s">
        <v>37</v>
      </c>
      <c r="E793" s="15" t="s">
        <v>1128</v>
      </c>
      <c r="F793" s="15"/>
      <c r="G793" s="15"/>
      <c r="H793" s="16" t="s">
        <v>16</v>
      </c>
      <c r="I793" s="16"/>
      <c r="J793" s="16" t="s">
        <v>17</v>
      </c>
      <c r="K793" s="1"/>
      <c r="L793" s="1"/>
      <c r="M793" s="1"/>
    </row>
    <row r="794" spans="1:13" x14ac:dyDescent="0.25">
      <c r="A794" s="20"/>
      <c r="B794" s="22" t="s">
        <v>1119</v>
      </c>
      <c r="C794" s="14" t="s">
        <v>12</v>
      </c>
      <c r="D794" s="15" t="s">
        <v>40</v>
      </c>
      <c r="E794" s="15" t="s">
        <v>1130</v>
      </c>
      <c r="F794" s="15"/>
      <c r="G794" s="15"/>
      <c r="H794" s="16" t="s">
        <v>16</v>
      </c>
      <c r="I794" s="16"/>
      <c r="J794" s="16" t="s">
        <v>17</v>
      </c>
      <c r="K794" s="1"/>
      <c r="L794" s="1"/>
      <c r="M794" s="1"/>
    </row>
    <row r="795" spans="1:13" x14ac:dyDescent="0.25">
      <c r="A795" s="20"/>
      <c r="B795" s="22" t="s">
        <v>1121</v>
      </c>
      <c r="C795" s="14" t="s">
        <v>12</v>
      </c>
      <c r="D795" s="15" t="s">
        <v>43</v>
      </c>
      <c r="E795" s="15" t="s">
        <v>1132</v>
      </c>
      <c r="F795" s="15"/>
      <c r="G795" s="15" t="s">
        <v>2699</v>
      </c>
      <c r="H795" s="16" t="s">
        <v>16</v>
      </c>
      <c r="I795" s="16">
        <v>140</v>
      </c>
      <c r="J795" s="16" t="s">
        <v>17</v>
      </c>
      <c r="K795" s="1"/>
      <c r="L795" s="1"/>
      <c r="M795" s="1"/>
    </row>
    <row r="796" spans="1:13" s="11" customFormat="1" x14ac:dyDescent="0.25">
      <c r="A796" s="20"/>
      <c r="B796" s="22" t="s">
        <v>1123</v>
      </c>
      <c r="C796" s="14" t="s">
        <v>12</v>
      </c>
      <c r="D796" s="15" t="s">
        <v>46</v>
      </c>
      <c r="E796" s="15" t="s">
        <v>1134</v>
      </c>
      <c r="F796" s="15"/>
      <c r="G796" s="15"/>
      <c r="H796" s="16" t="s">
        <v>16</v>
      </c>
      <c r="I796" s="16"/>
      <c r="J796" s="16" t="s">
        <v>17</v>
      </c>
    </row>
    <row r="797" spans="1:13" x14ac:dyDescent="0.25">
      <c r="A797" s="36"/>
      <c r="B797" s="22" t="s">
        <v>1131</v>
      </c>
      <c r="C797" s="14" t="s">
        <v>12</v>
      </c>
      <c r="D797" s="15" t="s">
        <v>72</v>
      </c>
      <c r="E797" s="15" t="s">
        <v>1136</v>
      </c>
      <c r="F797" s="15"/>
      <c r="G797" s="15"/>
      <c r="H797" s="16" t="s">
        <v>16</v>
      </c>
      <c r="I797" s="16"/>
      <c r="J797" s="16" t="s">
        <v>17</v>
      </c>
      <c r="K797" s="23" t="s">
        <v>273</v>
      </c>
      <c r="L797" s="1"/>
      <c r="M797" s="1"/>
    </row>
    <row r="798" spans="1:13" x14ac:dyDescent="0.25">
      <c r="A798" s="36"/>
      <c r="B798" s="22" t="s">
        <v>1133</v>
      </c>
      <c r="C798" s="14" t="s">
        <v>12</v>
      </c>
      <c r="D798" s="15" t="s">
        <v>75</v>
      </c>
      <c r="E798" s="15" t="s">
        <v>4085</v>
      </c>
      <c r="F798" s="15"/>
      <c r="G798" s="15" t="s">
        <v>2699</v>
      </c>
      <c r="H798" s="16" t="s">
        <v>16</v>
      </c>
      <c r="I798" s="16">
        <v>105</v>
      </c>
      <c r="J798" s="16" t="s">
        <v>17</v>
      </c>
      <c r="K798" s="1"/>
      <c r="L798" s="1"/>
      <c r="M798" s="1"/>
    </row>
    <row r="799" spans="1:13" x14ac:dyDescent="0.25">
      <c r="A799" s="36"/>
      <c r="B799" s="22" t="s">
        <v>1135</v>
      </c>
      <c r="C799" s="14" t="s">
        <v>12</v>
      </c>
      <c r="D799" s="15" t="s">
        <v>77</v>
      </c>
      <c r="E799" s="15" t="s">
        <v>4086</v>
      </c>
      <c r="F799" s="15"/>
      <c r="G799" s="15"/>
      <c r="H799" s="16" t="s">
        <v>16</v>
      </c>
      <c r="I799" s="16"/>
      <c r="J799" s="16" t="s">
        <v>17</v>
      </c>
      <c r="K799" s="1"/>
      <c r="L799" s="1"/>
      <c r="M799" s="1"/>
    </row>
    <row r="800" spans="1:13" ht="15.75" x14ac:dyDescent="0.25">
      <c r="A800" s="53"/>
      <c r="B800" s="43"/>
      <c r="C800" s="44"/>
      <c r="D800" s="45"/>
      <c r="E800" s="45"/>
      <c r="F800" s="45"/>
      <c r="G800" s="45"/>
      <c r="H800" s="44"/>
      <c r="I800" s="44"/>
      <c r="J800" s="44"/>
      <c r="K800" s="1"/>
      <c r="L800" s="1"/>
      <c r="M800" s="1"/>
    </row>
    <row r="801" spans="1:13" x14ac:dyDescent="0.25">
      <c r="A801" s="36"/>
      <c r="B801" s="102"/>
      <c r="C801" s="16"/>
      <c r="D801" s="15"/>
      <c r="E801" s="15"/>
      <c r="F801" s="15"/>
      <c r="G801" s="15"/>
      <c r="H801" s="16"/>
      <c r="I801" s="16"/>
      <c r="J801" s="16"/>
    </row>
    <row r="802" spans="1:13" x14ac:dyDescent="0.25">
      <c r="A802" s="36"/>
      <c r="B802" s="102"/>
      <c r="C802" s="8"/>
      <c r="D802" s="9"/>
      <c r="E802" s="9"/>
      <c r="F802" s="9"/>
      <c r="G802" s="9"/>
      <c r="H802" s="10"/>
      <c r="I802" s="10"/>
      <c r="J802" s="10"/>
      <c r="K802" s="1"/>
      <c r="L802" s="1"/>
      <c r="M802" s="1"/>
    </row>
  </sheetData>
  <autoFilter ref="A4:J799" xr:uid="{00000000-0009-0000-0000-000001000000}"/>
  <mergeCells count="4">
    <mergeCell ref="A1:J1"/>
    <mergeCell ref="A2:J2"/>
    <mergeCell ref="A3:B3"/>
    <mergeCell ref="H3:J3"/>
  </mergeCells>
  <conditionalFormatting sqref="B4:C4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09"/>
  <sheetViews>
    <sheetView zoomScale="87" zoomScaleNormal="87" workbookViewId="0">
      <pane ySplit="4" topLeftCell="A663" activePane="bottomLeft" state="frozen"/>
      <selection pane="bottomLeft" activeCell="B671" sqref="B671"/>
    </sheetView>
  </sheetViews>
  <sheetFormatPr defaultColWidth="9.140625" defaultRowHeight="15" x14ac:dyDescent="0.25"/>
  <cols>
    <col min="1" max="1" width="14.7109375" style="1" customWidth="1"/>
    <col min="2" max="2" width="48.140625" style="23" customWidth="1"/>
    <col min="3" max="3" width="16.7109375" style="1" customWidth="1"/>
    <col min="4" max="8" width="15.28515625" style="50" customWidth="1"/>
    <col min="9" max="9" width="17" style="50" customWidth="1"/>
    <col min="10" max="10" width="15.28515625" style="50" customWidth="1"/>
    <col min="11" max="13" width="18.42578125" style="50" customWidth="1"/>
    <col min="14" max="14" width="23.28515625" style="1" bestFit="1" customWidth="1"/>
    <col min="15" max="16384" width="9.140625" style="1"/>
  </cols>
  <sheetData>
    <row r="1" spans="1:14" ht="28.5" x14ac:dyDescent="0.2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4"/>
    </row>
    <row r="2" spans="1:14" ht="21" x14ac:dyDescent="0.25">
      <c r="A2" s="135" t="s">
        <v>1137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1:14" ht="17.25" customHeight="1" x14ac:dyDescent="0.25">
      <c r="A3" s="138" t="s">
        <v>1138</v>
      </c>
      <c r="B3" s="139"/>
      <c r="C3" s="2"/>
      <c r="D3" s="2"/>
      <c r="E3" s="2"/>
      <c r="F3" s="89"/>
      <c r="G3" s="89"/>
      <c r="H3" s="89"/>
      <c r="I3" s="89"/>
      <c r="J3" s="51"/>
      <c r="K3" s="136" t="s">
        <v>1139</v>
      </c>
      <c r="L3" s="136"/>
      <c r="M3" s="136"/>
      <c r="N3" s="137"/>
    </row>
    <row r="4" spans="1:14" ht="31.5" x14ac:dyDescent="0.25">
      <c r="A4" s="3" t="s">
        <v>4</v>
      </c>
      <c r="B4" s="3" t="s">
        <v>5</v>
      </c>
      <c r="C4" s="3" t="s">
        <v>6</v>
      </c>
      <c r="D4" s="4" t="s">
        <v>7</v>
      </c>
      <c r="E4" s="4" t="s">
        <v>8</v>
      </c>
      <c r="F4" s="4" t="s">
        <v>2275</v>
      </c>
      <c r="G4" s="4" t="s">
        <v>2276</v>
      </c>
      <c r="H4" s="4" t="s">
        <v>2381</v>
      </c>
      <c r="I4" s="4" t="s">
        <v>2382</v>
      </c>
      <c r="J4" s="4" t="s">
        <v>2274</v>
      </c>
      <c r="K4" s="4" t="s">
        <v>9</v>
      </c>
      <c r="L4" s="4" t="s">
        <v>2273</v>
      </c>
      <c r="M4" s="4" t="s">
        <v>2383</v>
      </c>
      <c r="N4" s="3" t="s">
        <v>10</v>
      </c>
    </row>
    <row r="5" spans="1:14" ht="15.75" x14ac:dyDescent="0.25">
      <c r="A5" s="3">
        <v>1</v>
      </c>
      <c r="B5" s="3" t="s">
        <v>3461</v>
      </c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3"/>
    </row>
    <row r="6" spans="1:14" x14ac:dyDescent="0.25">
      <c r="A6" s="13"/>
      <c r="B6" s="35" t="s">
        <v>1182</v>
      </c>
      <c r="C6" s="42" t="s">
        <v>88</v>
      </c>
      <c r="D6" s="15" t="s">
        <v>14</v>
      </c>
      <c r="E6" s="15" t="s">
        <v>1141</v>
      </c>
      <c r="F6" s="15"/>
      <c r="G6" s="15"/>
      <c r="H6" s="15"/>
      <c r="I6" s="15"/>
      <c r="J6" s="15"/>
      <c r="K6" s="15" t="s">
        <v>16</v>
      </c>
      <c r="L6" s="15"/>
      <c r="M6" s="15"/>
      <c r="N6" s="16"/>
    </row>
    <row r="7" spans="1:14" x14ac:dyDescent="0.25">
      <c r="A7" s="13"/>
      <c r="B7" s="110" t="s">
        <v>1180</v>
      </c>
      <c r="C7" s="42" t="s">
        <v>88</v>
      </c>
      <c r="D7" s="15" t="s">
        <v>19</v>
      </c>
      <c r="E7" s="15" t="s">
        <v>1143</v>
      </c>
      <c r="F7" s="15"/>
      <c r="G7" s="15"/>
      <c r="H7" s="15"/>
      <c r="I7" s="15"/>
      <c r="J7" s="15"/>
      <c r="K7" s="15" t="s">
        <v>16</v>
      </c>
      <c r="L7" s="15"/>
      <c r="M7" s="15"/>
      <c r="N7" s="16"/>
    </row>
    <row r="8" spans="1:14" x14ac:dyDescent="0.25">
      <c r="A8" s="13"/>
      <c r="B8" s="35" t="s">
        <v>1178</v>
      </c>
      <c r="C8" s="42" t="s">
        <v>88</v>
      </c>
      <c r="D8" s="15" t="s">
        <v>22</v>
      </c>
      <c r="E8" s="15" t="s">
        <v>1145</v>
      </c>
      <c r="F8" s="15" t="s">
        <v>2430</v>
      </c>
      <c r="G8" s="15"/>
      <c r="H8" s="15"/>
      <c r="I8" s="15"/>
      <c r="J8" s="15" t="s">
        <v>2353</v>
      </c>
      <c r="K8" s="15" t="s">
        <v>16</v>
      </c>
      <c r="L8" s="15" t="s">
        <v>2269</v>
      </c>
      <c r="M8" s="15"/>
      <c r="N8" s="16"/>
    </row>
    <row r="9" spans="1:14" x14ac:dyDescent="0.25">
      <c r="A9" s="13"/>
      <c r="B9" s="35" t="s">
        <v>1176</v>
      </c>
      <c r="C9" s="42" t="s">
        <v>88</v>
      </c>
      <c r="D9" s="15" t="s">
        <v>25</v>
      </c>
      <c r="E9" s="15" t="s">
        <v>1147</v>
      </c>
      <c r="F9" s="15" t="s">
        <v>2430</v>
      </c>
      <c r="G9" s="15"/>
      <c r="H9" s="15"/>
      <c r="I9" s="15"/>
      <c r="J9" s="15" t="s">
        <v>2353</v>
      </c>
      <c r="K9" s="15" t="s">
        <v>16</v>
      </c>
      <c r="L9" s="15" t="s">
        <v>2263</v>
      </c>
      <c r="M9" s="15"/>
      <c r="N9" s="16"/>
    </row>
    <row r="10" spans="1:14" x14ac:dyDescent="0.25">
      <c r="A10" s="13"/>
      <c r="B10" s="35" t="s">
        <v>1176</v>
      </c>
      <c r="C10" s="42" t="s">
        <v>88</v>
      </c>
      <c r="D10" s="15" t="s">
        <v>28</v>
      </c>
      <c r="E10" s="15" t="s">
        <v>1148</v>
      </c>
      <c r="F10" s="15" t="s">
        <v>2332</v>
      </c>
      <c r="G10" s="15"/>
      <c r="H10" s="15"/>
      <c r="I10" s="15"/>
      <c r="J10" s="15" t="s">
        <v>2517</v>
      </c>
      <c r="K10" s="15" t="s">
        <v>16</v>
      </c>
      <c r="L10" s="15" t="s">
        <v>2252</v>
      </c>
      <c r="M10" s="15"/>
      <c r="N10" s="16"/>
    </row>
    <row r="11" spans="1:14" x14ac:dyDescent="0.25">
      <c r="A11" s="13"/>
      <c r="B11" s="35" t="s">
        <v>1174</v>
      </c>
      <c r="C11" s="42" t="s">
        <v>88</v>
      </c>
      <c r="D11" s="15" t="s">
        <v>31</v>
      </c>
      <c r="E11" s="15" t="s">
        <v>1150</v>
      </c>
      <c r="F11" s="15"/>
      <c r="G11" s="15"/>
      <c r="H11" s="15"/>
      <c r="I11" s="15"/>
      <c r="J11" s="15" t="s">
        <v>2353</v>
      </c>
      <c r="K11" s="15" t="s">
        <v>16</v>
      </c>
      <c r="L11" s="15" t="s">
        <v>2257</v>
      </c>
      <c r="M11" s="15"/>
      <c r="N11" s="16"/>
    </row>
    <row r="12" spans="1:14" x14ac:dyDescent="0.25">
      <c r="A12" s="13"/>
      <c r="B12" s="35" t="s">
        <v>1172</v>
      </c>
      <c r="C12" s="42" t="s">
        <v>12</v>
      </c>
      <c r="D12" s="15" t="s">
        <v>34</v>
      </c>
      <c r="E12" s="15" t="s">
        <v>1153</v>
      </c>
      <c r="F12" s="15"/>
      <c r="G12" s="15"/>
      <c r="H12" s="15"/>
      <c r="I12" s="15"/>
      <c r="J12" s="15"/>
      <c r="K12" s="15" t="s">
        <v>16</v>
      </c>
      <c r="L12" s="15"/>
      <c r="M12" s="15"/>
      <c r="N12" s="16"/>
    </row>
    <row r="13" spans="1:14" x14ac:dyDescent="0.2">
      <c r="A13" s="13"/>
      <c r="B13" s="95" t="s">
        <v>3122</v>
      </c>
      <c r="C13" s="42" t="s">
        <v>12</v>
      </c>
      <c r="D13" s="15" t="s">
        <v>37</v>
      </c>
      <c r="E13" s="15" t="s">
        <v>1155</v>
      </c>
      <c r="F13" s="15" t="s">
        <v>2350</v>
      </c>
      <c r="G13" s="15"/>
      <c r="H13" s="15"/>
      <c r="I13" s="15"/>
      <c r="J13" s="15" t="s">
        <v>2954</v>
      </c>
      <c r="K13" s="15" t="s">
        <v>16</v>
      </c>
      <c r="L13" s="15" t="s">
        <v>2405</v>
      </c>
      <c r="M13" s="15"/>
      <c r="N13" s="16"/>
    </row>
    <row r="14" spans="1:14" x14ac:dyDescent="0.2">
      <c r="A14" s="13"/>
      <c r="B14" s="95" t="s">
        <v>1184</v>
      </c>
      <c r="C14" s="42" t="s">
        <v>12</v>
      </c>
      <c r="D14" s="15" t="s">
        <v>40</v>
      </c>
      <c r="E14" s="15" t="s">
        <v>1157</v>
      </c>
      <c r="F14" s="15"/>
      <c r="G14" s="15"/>
      <c r="H14" s="15"/>
      <c r="I14" s="15"/>
      <c r="J14" s="15"/>
      <c r="K14" s="15" t="s">
        <v>16</v>
      </c>
      <c r="L14" s="15"/>
      <c r="M14" s="15"/>
      <c r="N14" s="16"/>
    </row>
    <row r="15" spans="1:14" x14ac:dyDescent="0.25">
      <c r="A15" s="13"/>
      <c r="B15" s="35" t="s">
        <v>1170</v>
      </c>
      <c r="C15" s="42" t="s">
        <v>12</v>
      </c>
      <c r="D15" s="15" t="s">
        <v>43</v>
      </c>
      <c r="E15" s="15" t="s">
        <v>1159</v>
      </c>
      <c r="F15" s="52"/>
      <c r="G15" s="52"/>
      <c r="H15" s="52"/>
      <c r="I15" s="52"/>
      <c r="J15" s="52"/>
      <c r="K15" s="15" t="s">
        <v>16</v>
      </c>
      <c r="L15" s="15"/>
      <c r="M15" s="15"/>
      <c r="N15" s="16"/>
    </row>
    <row r="16" spans="1:14" x14ac:dyDescent="0.25">
      <c r="A16" s="13"/>
      <c r="B16" s="35" t="s">
        <v>1168</v>
      </c>
      <c r="C16" s="42" t="s">
        <v>12</v>
      </c>
      <c r="D16" s="15" t="s">
        <v>46</v>
      </c>
      <c r="E16" s="15" t="s">
        <v>1161</v>
      </c>
      <c r="F16" s="52"/>
      <c r="G16" s="52"/>
      <c r="H16" s="52"/>
      <c r="I16" s="52"/>
      <c r="J16" s="52"/>
      <c r="K16" s="15" t="s">
        <v>16</v>
      </c>
      <c r="L16" s="15"/>
      <c r="M16" s="15"/>
      <c r="N16" s="16"/>
    </row>
    <row r="17" spans="1:14" x14ac:dyDescent="0.25">
      <c r="A17" s="13"/>
      <c r="B17" s="35" t="s">
        <v>1166</v>
      </c>
      <c r="C17" s="42" t="s">
        <v>88</v>
      </c>
      <c r="D17" s="15" t="s">
        <v>72</v>
      </c>
      <c r="E17" s="15" t="s">
        <v>1163</v>
      </c>
      <c r="F17" s="15"/>
      <c r="G17" s="15"/>
      <c r="H17" s="15"/>
      <c r="I17" s="15"/>
      <c r="J17" s="15" t="s">
        <v>2710</v>
      </c>
      <c r="K17" s="15" t="s">
        <v>16</v>
      </c>
      <c r="L17" s="15" t="s">
        <v>2524</v>
      </c>
      <c r="M17" s="15"/>
      <c r="N17" s="16"/>
    </row>
    <row r="18" spans="1:14" x14ac:dyDescent="0.25">
      <c r="A18" s="13"/>
      <c r="B18" s="35" t="s">
        <v>1164</v>
      </c>
      <c r="C18" s="42" t="s">
        <v>88</v>
      </c>
      <c r="D18" s="15" t="s">
        <v>75</v>
      </c>
      <c r="E18" s="15" t="s">
        <v>1165</v>
      </c>
      <c r="F18" s="15"/>
      <c r="G18" s="15"/>
      <c r="H18" s="15"/>
      <c r="I18" s="15"/>
      <c r="J18" s="15" t="s">
        <v>2710</v>
      </c>
      <c r="K18" s="15" t="s">
        <v>16</v>
      </c>
      <c r="L18" s="15" t="s">
        <v>2231</v>
      </c>
      <c r="M18" s="15"/>
      <c r="N18" s="16"/>
    </row>
    <row r="19" spans="1:14" x14ac:dyDescent="0.25">
      <c r="A19" s="13"/>
      <c r="B19" s="35" t="s">
        <v>1162</v>
      </c>
      <c r="C19" s="42" t="s">
        <v>88</v>
      </c>
      <c r="D19" s="15" t="s">
        <v>77</v>
      </c>
      <c r="E19" s="15" t="s">
        <v>1167</v>
      </c>
      <c r="F19" s="15"/>
      <c r="G19" s="15"/>
      <c r="H19" s="15"/>
      <c r="I19" s="15"/>
      <c r="J19" s="15" t="s">
        <v>2710</v>
      </c>
      <c r="K19" s="15" t="s">
        <v>16</v>
      </c>
      <c r="L19" s="15" t="s">
        <v>3181</v>
      </c>
      <c r="M19" s="15"/>
      <c r="N19" s="16"/>
    </row>
    <row r="20" spans="1:14" x14ac:dyDescent="0.25">
      <c r="A20" s="13"/>
      <c r="B20" s="35" t="s">
        <v>1160</v>
      </c>
      <c r="C20" s="42" t="s">
        <v>88</v>
      </c>
      <c r="D20" s="15" t="s">
        <v>80</v>
      </c>
      <c r="E20" s="15" t="s">
        <v>1169</v>
      </c>
      <c r="F20" s="15"/>
      <c r="G20" s="15"/>
      <c r="H20" s="15"/>
      <c r="I20" s="15"/>
      <c r="J20" s="15"/>
      <c r="K20" s="15" t="s">
        <v>16</v>
      </c>
      <c r="L20" s="15"/>
      <c r="M20" s="15"/>
      <c r="N20" s="16"/>
    </row>
    <row r="21" spans="1:14" x14ac:dyDescent="0.25">
      <c r="A21" s="13"/>
      <c r="B21" s="35" t="s">
        <v>3183</v>
      </c>
      <c r="C21" s="42" t="s">
        <v>88</v>
      </c>
      <c r="D21" s="15" t="s">
        <v>84</v>
      </c>
      <c r="E21" s="15" t="s">
        <v>1171</v>
      </c>
      <c r="F21" s="15"/>
      <c r="G21" s="15"/>
      <c r="H21" s="15"/>
      <c r="I21" s="15"/>
      <c r="J21" s="15" t="s">
        <v>2710</v>
      </c>
      <c r="K21" s="15" t="s">
        <v>16</v>
      </c>
      <c r="L21" s="15" t="s">
        <v>2426</v>
      </c>
      <c r="M21" s="15"/>
      <c r="N21" s="16"/>
    </row>
    <row r="22" spans="1:14" x14ac:dyDescent="0.25">
      <c r="A22" s="13"/>
      <c r="B22" s="35" t="s">
        <v>1158</v>
      </c>
      <c r="C22" s="42" t="s">
        <v>88</v>
      </c>
      <c r="D22" s="15" t="s">
        <v>123</v>
      </c>
      <c r="E22" s="15" t="s">
        <v>1173</v>
      </c>
      <c r="F22" s="15"/>
      <c r="G22" s="15"/>
      <c r="H22" s="15"/>
      <c r="I22" s="15"/>
      <c r="J22" s="15"/>
      <c r="K22" s="15" t="s">
        <v>16</v>
      </c>
      <c r="L22" s="15"/>
      <c r="M22" s="15"/>
      <c r="N22" s="16"/>
    </row>
    <row r="23" spans="1:14" x14ac:dyDescent="0.25">
      <c r="A23" s="13"/>
      <c r="B23" s="35" t="s">
        <v>1156</v>
      </c>
      <c r="C23" s="42" t="s">
        <v>88</v>
      </c>
      <c r="D23" s="15" t="s">
        <v>212</v>
      </c>
      <c r="E23" s="15" t="s">
        <v>1175</v>
      </c>
      <c r="F23" s="15"/>
      <c r="G23" s="15"/>
      <c r="H23" s="15"/>
      <c r="I23" s="15"/>
      <c r="J23" s="15"/>
      <c r="K23" s="15" t="s">
        <v>16</v>
      </c>
      <c r="L23" s="15"/>
      <c r="M23" s="15"/>
      <c r="N23" s="16"/>
    </row>
    <row r="24" spans="1:14" x14ac:dyDescent="0.25">
      <c r="A24" s="13"/>
      <c r="B24" s="35" t="s">
        <v>1154</v>
      </c>
      <c r="C24" s="42" t="s">
        <v>88</v>
      </c>
      <c r="D24" s="15" t="s">
        <v>214</v>
      </c>
      <c r="E24" s="15" t="s">
        <v>1177</v>
      </c>
      <c r="F24" s="15"/>
      <c r="G24" s="15"/>
      <c r="H24" s="15"/>
      <c r="I24" s="15"/>
      <c r="J24" s="15" t="s">
        <v>2710</v>
      </c>
      <c r="K24" s="15" t="s">
        <v>16</v>
      </c>
      <c r="L24" s="15" t="s">
        <v>3182</v>
      </c>
      <c r="M24" s="15"/>
      <c r="N24" s="16"/>
    </row>
    <row r="25" spans="1:14" x14ac:dyDescent="0.25">
      <c r="A25" s="13"/>
      <c r="B25" s="35" t="s">
        <v>3193</v>
      </c>
      <c r="C25" s="42" t="s">
        <v>88</v>
      </c>
      <c r="D25" s="15" t="s">
        <v>216</v>
      </c>
      <c r="E25" s="15" t="s">
        <v>1179</v>
      </c>
      <c r="F25" s="15"/>
      <c r="G25" s="15"/>
      <c r="H25" s="15"/>
      <c r="I25" s="15"/>
      <c r="J25" s="15" t="s">
        <v>2710</v>
      </c>
      <c r="K25" s="15" t="s">
        <v>16</v>
      </c>
      <c r="L25" s="15" t="s">
        <v>2401</v>
      </c>
      <c r="M25" s="15"/>
      <c r="N25" s="16"/>
    </row>
    <row r="26" spans="1:14" x14ac:dyDescent="0.25">
      <c r="A26" s="13"/>
      <c r="B26" s="35" t="s">
        <v>3205</v>
      </c>
      <c r="C26" s="42" t="s">
        <v>88</v>
      </c>
      <c r="D26" s="15" t="s">
        <v>218</v>
      </c>
      <c r="E26" s="15" t="s">
        <v>1181</v>
      </c>
      <c r="F26" s="15"/>
      <c r="G26" s="15"/>
      <c r="H26" s="15"/>
      <c r="I26" s="15"/>
      <c r="J26" s="15" t="s">
        <v>2710</v>
      </c>
      <c r="K26" s="15" t="s">
        <v>16</v>
      </c>
      <c r="L26" s="15" t="s">
        <v>2405</v>
      </c>
      <c r="M26" s="15"/>
      <c r="N26" s="16"/>
    </row>
    <row r="27" spans="1:14" x14ac:dyDescent="0.25">
      <c r="A27" s="13"/>
      <c r="B27" s="35" t="s">
        <v>3184</v>
      </c>
      <c r="C27" s="42" t="s">
        <v>88</v>
      </c>
      <c r="D27" s="15" t="s">
        <v>220</v>
      </c>
      <c r="E27" s="15" t="s">
        <v>1183</v>
      </c>
      <c r="F27" s="15"/>
      <c r="G27" s="15"/>
      <c r="H27" s="15"/>
      <c r="I27" s="15"/>
      <c r="J27" s="15" t="s">
        <v>2710</v>
      </c>
      <c r="K27" s="15" t="s">
        <v>16</v>
      </c>
      <c r="L27" s="15" t="s">
        <v>3185</v>
      </c>
      <c r="M27" s="15"/>
      <c r="N27" s="16"/>
    </row>
    <row r="28" spans="1:14" x14ac:dyDescent="0.25">
      <c r="A28" s="13"/>
      <c r="B28" s="35" t="s">
        <v>1152</v>
      </c>
      <c r="C28" s="42" t="s">
        <v>88</v>
      </c>
      <c r="D28" s="15" t="s">
        <v>222</v>
      </c>
      <c r="E28" s="15" t="s">
        <v>1185</v>
      </c>
      <c r="F28" s="15"/>
      <c r="G28" s="15"/>
      <c r="H28" s="15"/>
      <c r="I28" s="15"/>
      <c r="J28" s="15"/>
      <c r="K28" s="15" t="s">
        <v>16</v>
      </c>
      <c r="L28" s="15"/>
      <c r="M28" s="15"/>
      <c r="N28" s="16"/>
    </row>
    <row r="29" spans="1:14" x14ac:dyDescent="0.25">
      <c r="A29" s="13"/>
      <c r="B29" s="35" t="s">
        <v>1149</v>
      </c>
      <c r="C29" s="42" t="s">
        <v>12</v>
      </c>
      <c r="D29" s="15" t="s">
        <v>224</v>
      </c>
      <c r="E29" s="15" t="s">
        <v>3457</v>
      </c>
      <c r="F29" s="15"/>
      <c r="G29" s="15"/>
      <c r="H29" s="15"/>
      <c r="I29" s="15"/>
      <c r="J29" s="15" t="s">
        <v>2429</v>
      </c>
      <c r="K29" s="15" t="s">
        <v>16</v>
      </c>
      <c r="L29" s="15" t="s">
        <v>2639</v>
      </c>
      <c r="M29" s="15"/>
      <c r="N29" s="16" t="s">
        <v>1151</v>
      </c>
    </row>
    <row r="30" spans="1:14" x14ac:dyDescent="0.25">
      <c r="A30" s="13"/>
      <c r="B30" s="35" t="s">
        <v>2527</v>
      </c>
      <c r="C30" s="42" t="s">
        <v>88</v>
      </c>
      <c r="D30" s="15" t="s">
        <v>226</v>
      </c>
      <c r="E30" s="15" t="s">
        <v>4087</v>
      </c>
      <c r="F30" s="15" t="s">
        <v>2350</v>
      </c>
      <c r="G30" s="15"/>
      <c r="H30" s="15"/>
      <c r="I30" s="15"/>
      <c r="J30" s="15" t="s">
        <v>2353</v>
      </c>
      <c r="K30" s="15" t="s">
        <v>16</v>
      </c>
      <c r="L30" s="15" t="s">
        <v>2231</v>
      </c>
      <c r="M30" s="15"/>
      <c r="N30" s="16"/>
    </row>
    <row r="31" spans="1:14" x14ac:dyDescent="0.25">
      <c r="A31" s="13"/>
      <c r="B31" s="35" t="s">
        <v>2527</v>
      </c>
      <c r="C31" s="42" t="s">
        <v>88</v>
      </c>
      <c r="D31" s="15" t="s">
        <v>228</v>
      </c>
      <c r="E31" s="15" t="s">
        <v>4088</v>
      </c>
      <c r="F31" s="15" t="s">
        <v>2528</v>
      </c>
      <c r="G31" s="15"/>
      <c r="H31" s="15"/>
      <c r="I31" s="15"/>
      <c r="J31" s="15" t="s">
        <v>2353</v>
      </c>
      <c r="K31" s="15" t="s">
        <v>16</v>
      </c>
      <c r="L31" s="15" t="s">
        <v>2401</v>
      </c>
      <c r="M31" s="15"/>
      <c r="N31" s="16"/>
    </row>
    <row r="32" spans="1:14" x14ac:dyDescent="0.25">
      <c r="A32" s="13"/>
      <c r="B32" s="35" t="s">
        <v>2527</v>
      </c>
      <c r="C32" s="42" t="s">
        <v>88</v>
      </c>
      <c r="D32" s="15" t="s">
        <v>230</v>
      </c>
      <c r="E32" s="15" t="s">
        <v>4089</v>
      </c>
      <c r="F32" s="15"/>
      <c r="G32" s="15"/>
      <c r="H32" s="15"/>
      <c r="I32" s="15"/>
      <c r="J32" s="15" t="s">
        <v>2353</v>
      </c>
      <c r="K32" s="15" t="s">
        <v>16</v>
      </c>
      <c r="L32" s="15" t="s">
        <v>2257</v>
      </c>
      <c r="M32" s="15"/>
      <c r="N32" s="16" t="s">
        <v>2519</v>
      </c>
    </row>
    <row r="33" spans="1:14" x14ac:dyDescent="0.25">
      <c r="A33" s="13"/>
      <c r="B33" s="35" t="s">
        <v>1146</v>
      </c>
      <c r="C33" s="42" t="s">
        <v>88</v>
      </c>
      <c r="D33" s="15" t="s">
        <v>232</v>
      </c>
      <c r="E33" s="15" t="s">
        <v>4090</v>
      </c>
      <c r="F33" s="15"/>
      <c r="G33" s="15"/>
      <c r="H33" s="15"/>
      <c r="I33" s="15"/>
      <c r="J33" s="15"/>
      <c r="K33" s="15" t="s">
        <v>16</v>
      </c>
      <c r="L33" s="15"/>
      <c r="M33" s="15"/>
      <c r="N33" s="16"/>
    </row>
    <row r="34" spans="1:14" x14ac:dyDescent="0.25">
      <c r="A34" s="13"/>
      <c r="B34" s="35" t="s">
        <v>1144</v>
      </c>
      <c r="C34" s="42" t="s">
        <v>88</v>
      </c>
      <c r="D34" s="15" t="s">
        <v>234</v>
      </c>
      <c r="E34" s="15" t="s">
        <v>4091</v>
      </c>
      <c r="F34" s="15"/>
      <c r="G34" s="15"/>
      <c r="H34" s="15"/>
      <c r="I34" s="15"/>
      <c r="J34" s="15"/>
      <c r="K34" s="15" t="s">
        <v>16</v>
      </c>
      <c r="L34" s="15"/>
      <c r="M34" s="15"/>
      <c r="N34" s="16"/>
    </row>
    <row r="35" spans="1:14" s="94" customFormat="1" x14ac:dyDescent="0.25">
      <c r="A35" s="13"/>
      <c r="B35" s="32" t="s">
        <v>1142</v>
      </c>
      <c r="C35" s="17" t="s">
        <v>88</v>
      </c>
      <c r="D35" s="15" t="s">
        <v>236</v>
      </c>
      <c r="E35" s="15" t="s">
        <v>4092</v>
      </c>
      <c r="F35" s="18"/>
      <c r="G35" s="18"/>
      <c r="H35" s="18"/>
      <c r="I35" s="18"/>
      <c r="J35" s="18"/>
      <c r="K35" s="18" t="s">
        <v>16</v>
      </c>
      <c r="L35" s="18"/>
      <c r="M35" s="18"/>
      <c r="N35" s="16"/>
    </row>
    <row r="36" spans="1:14" s="96" customFormat="1" ht="15.75" x14ac:dyDescent="0.25">
      <c r="A36" s="13"/>
      <c r="B36" s="35" t="s">
        <v>1140</v>
      </c>
      <c r="C36" s="42" t="s">
        <v>12</v>
      </c>
      <c r="D36" s="15" t="s">
        <v>238</v>
      </c>
      <c r="E36" s="15" t="s">
        <v>4093</v>
      </c>
      <c r="F36" s="15"/>
      <c r="G36" s="15"/>
      <c r="H36" s="15"/>
      <c r="I36" s="15"/>
      <c r="J36" s="15"/>
      <c r="K36" s="15" t="s">
        <v>16</v>
      </c>
      <c r="L36" s="15"/>
      <c r="M36" s="15"/>
      <c r="N36" s="16"/>
    </row>
    <row r="37" spans="1:14" ht="15.75" x14ac:dyDescent="0.25">
      <c r="A37" s="3">
        <v>2</v>
      </c>
      <c r="B37" s="3" t="s">
        <v>3462</v>
      </c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3"/>
    </row>
    <row r="38" spans="1:14" x14ac:dyDescent="0.25">
      <c r="A38" s="20"/>
      <c r="B38" s="35" t="s">
        <v>1231</v>
      </c>
      <c r="C38" s="42" t="s">
        <v>88</v>
      </c>
      <c r="D38" s="15" t="s">
        <v>14</v>
      </c>
      <c r="E38" s="15" t="s">
        <v>1187</v>
      </c>
      <c r="F38" s="15"/>
      <c r="G38" s="15"/>
      <c r="H38" s="15"/>
      <c r="I38" s="15"/>
      <c r="J38" s="15"/>
      <c r="K38" s="15" t="s">
        <v>16</v>
      </c>
      <c r="L38" s="15"/>
      <c r="M38" s="15"/>
      <c r="N38" s="16"/>
    </row>
    <row r="39" spans="1:14" x14ac:dyDescent="0.25">
      <c r="A39" s="20"/>
      <c r="B39" s="35" t="s">
        <v>1229</v>
      </c>
      <c r="C39" s="42" t="s">
        <v>88</v>
      </c>
      <c r="D39" s="15" t="s">
        <v>19</v>
      </c>
      <c r="E39" s="15" t="s">
        <v>1189</v>
      </c>
      <c r="F39" s="15"/>
      <c r="G39" s="15"/>
      <c r="H39" s="15"/>
      <c r="I39" s="15"/>
      <c r="J39" s="15"/>
      <c r="K39" s="15" t="s">
        <v>16</v>
      </c>
      <c r="L39" s="15"/>
      <c r="M39" s="15"/>
      <c r="N39" s="16"/>
    </row>
    <row r="40" spans="1:14" x14ac:dyDescent="0.25">
      <c r="A40" s="13"/>
      <c r="B40" s="35" t="s">
        <v>2890</v>
      </c>
      <c r="C40" s="42" t="s">
        <v>88</v>
      </c>
      <c r="D40" s="15" t="s">
        <v>22</v>
      </c>
      <c r="E40" s="15" t="s">
        <v>1191</v>
      </c>
      <c r="F40" s="15"/>
      <c r="G40" s="15"/>
      <c r="H40" s="15"/>
      <c r="I40" s="15"/>
      <c r="J40" s="15" t="s">
        <v>2891</v>
      </c>
      <c r="K40" s="15" t="s">
        <v>16</v>
      </c>
      <c r="L40" s="15" t="s">
        <v>2252</v>
      </c>
      <c r="M40" s="15"/>
      <c r="N40" s="16"/>
    </row>
    <row r="41" spans="1:14" x14ac:dyDescent="0.25">
      <c r="A41" s="20"/>
      <c r="B41" s="35" t="s">
        <v>2647</v>
      </c>
      <c r="C41" s="42" t="s">
        <v>88</v>
      </c>
      <c r="D41" s="15" t="s">
        <v>25</v>
      </c>
      <c r="E41" s="15" t="s">
        <v>1193</v>
      </c>
      <c r="F41" s="15"/>
      <c r="G41" s="15"/>
      <c r="H41" s="15"/>
      <c r="I41" s="15"/>
      <c r="J41" s="15" t="s">
        <v>2418</v>
      </c>
      <c r="K41" s="15" t="s">
        <v>16</v>
      </c>
      <c r="L41" s="15" t="s">
        <v>2419</v>
      </c>
      <c r="M41" s="15"/>
      <c r="N41" s="16"/>
    </row>
    <row r="42" spans="1:14" x14ac:dyDescent="0.25">
      <c r="A42" s="20"/>
      <c r="B42" s="35" t="s">
        <v>2646</v>
      </c>
      <c r="C42" s="42" t="s">
        <v>88</v>
      </c>
      <c r="D42" s="15" t="s">
        <v>28</v>
      </c>
      <c r="E42" s="15" t="s">
        <v>1195</v>
      </c>
      <c r="F42" s="15"/>
      <c r="G42" s="15"/>
      <c r="H42" s="15"/>
      <c r="I42" s="15"/>
      <c r="J42" s="15" t="s">
        <v>2643</v>
      </c>
      <c r="K42" s="15" t="s">
        <v>16</v>
      </c>
      <c r="L42" s="15" t="s">
        <v>2404</v>
      </c>
      <c r="M42" s="15"/>
      <c r="N42" s="16"/>
    </row>
    <row r="43" spans="1:14" x14ac:dyDescent="0.25">
      <c r="A43" s="20"/>
      <c r="B43" s="35" t="s">
        <v>3013</v>
      </c>
      <c r="C43" s="42" t="s">
        <v>88</v>
      </c>
      <c r="D43" s="15" t="s">
        <v>31</v>
      </c>
      <c r="E43" s="15" t="s">
        <v>1197</v>
      </c>
      <c r="F43" s="15"/>
      <c r="G43" s="15"/>
      <c r="H43" s="15"/>
      <c r="I43" s="15"/>
      <c r="J43" s="15" t="s">
        <v>3011</v>
      </c>
      <c r="K43" s="15" t="s">
        <v>16</v>
      </c>
      <c r="L43" s="15" t="s">
        <v>2393</v>
      </c>
      <c r="M43" s="15"/>
      <c r="N43" s="16"/>
    </row>
    <row r="44" spans="1:14" x14ac:dyDescent="0.25">
      <c r="A44" s="20"/>
      <c r="B44" s="35" t="s">
        <v>2648</v>
      </c>
      <c r="C44" s="42" t="s">
        <v>88</v>
      </c>
      <c r="D44" s="15" t="s">
        <v>34</v>
      </c>
      <c r="E44" s="15" t="s">
        <v>1199</v>
      </c>
      <c r="F44" s="15"/>
      <c r="G44" s="15"/>
      <c r="H44" s="15"/>
      <c r="I44" s="15"/>
      <c r="J44" s="15" t="s">
        <v>2418</v>
      </c>
      <c r="K44" s="15" t="s">
        <v>16</v>
      </c>
      <c r="L44" s="15" t="s">
        <v>2394</v>
      </c>
      <c r="M44" s="15"/>
      <c r="N44" s="16"/>
    </row>
    <row r="45" spans="1:14" x14ac:dyDescent="0.25">
      <c r="A45" s="20"/>
      <c r="B45" s="35" t="s">
        <v>2649</v>
      </c>
      <c r="C45" s="42" t="s">
        <v>88</v>
      </c>
      <c r="D45" s="15" t="s">
        <v>37</v>
      </c>
      <c r="E45" s="15" t="s">
        <v>1201</v>
      </c>
      <c r="F45" s="15"/>
      <c r="G45" s="15"/>
      <c r="H45" s="15"/>
      <c r="I45" s="15"/>
      <c r="J45" s="15" t="s">
        <v>2418</v>
      </c>
      <c r="K45" s="15" t="s">
        <v>16</v>
      </c>
      <c r="L45" s="15" t="s">
        <v>2267</v>
      </c>
      <c r="M45" s="15"/>
      <c r="N45" s="16"/>
    </row>
    <row r="46" spans="1:14" x14ac:dyDescent="0.25">
      <c r="A46" s="20"/>
      <c r="B46" s="35" t="s">
        <v>3186</v>
      </c>
      <c r="C46" s="42" t="s">
        <v>88</v>
      </c>
      <c r="D46" s="15" t="s">
        <v>40</v>
      </c>
      <c r="E46" s="15" t="s">
        <v>1203</v>
      </c>
      <c r="F46" s="15"/>
      <c r="G46" s="15"/>
      <c r="H46" s="15"/>
      <c r="I46" s="15"/>
      <c r="J46" s="15" t="s">
        <v>2710</v>
      </c>
      <c r="K46" s="15" t="s">
        <v>16</v>
      </c>
      <c r="L46" s="15" t="s">
        <v>2393</v>
      </c>
      <c r="M46" s="15"/>
      <c r="N46" s="16"/>
    </row>
    <row r="47" spans="1:14" x14ac:dyDescent="0.25">
      <c r="A47" s="20"/>
      <c r="B47" s="35" t="s">
        <v>2622</v>
      </c>
      <c r="C47" s="42" t="s">
        <v>88</v>
      </c>
      <c r="D47" s="15" t="s">
        <v>43</v>
      </c>
      <c r="E47" s="15" t="s">
        <v>1205</v>
      </c>
      <c r="F47" s="15"/>
      <c r="G47" s="15"/>
      <c r="H47" s="15"/>
      <c r="I47" s="15"/>
      <c r="J47" s="15" t="s">
        <v>2283</v>
      </c>
      <c r="K47" s="15" t="s">
        <v>16</v>
      </c>
      <c r="L47" s="15" t="s">
        <v>2623</v>
      </c>
      <c r="M47" s="15"/>
      <c r="N47" s="16"/>
    </row>
    <row r="48" spans="1:14" x14ac:dyDescent="0.25">
      <c r="A48" s="20"/>
      <c r="B48" s="35" t="s">
        <v>2621</v>
      </c>
      <c r="C48" s="42" t="s">
        <v>88</v>
      </c>
      <c r="D48" s="15" t="s">
        <v>46</v>
      </c>
      <c r="E48" s="15" t="s">
        <v>1207</v>
      </c>
      <c r="F48" s="15"/>
      <c r="G48" s="15"/>
      <c r="H48" s="15"/>
      <c r="I48" s="15"/>
      <c r="J48" s="15" t="s">
        <v>2283</v>
      </c>
      <c r="K48" s="15" t="s">
        <v>16</v>
      </c>
      <c r="L48" s="15" t="s">
        <v>1545</v>
      </c>
      <c r="M48" s="15"/>
      <c r="N48" s="16"/>
    </row>
    <row r="49" spans="1:14" x14ac:dyDescent="0.25">
      <c r="A49" s="20"/>
      <c r="B49" s="35" t="s">
        <v>2619</v>
      </c>
      <c r="C49" s="42" t="s">
        <v>88</v>
      </c>
      <c r="D49" s="15" t="s">
        <v>72</v>
      </c>
      <c r="E49" s="15" t="s">
        <v>1209</v>
      </c>
      <c r="F49" s="15"/>
      <c r="G49" s="15"/>
      <c r="H49" s="15"/>
      <c r="I49" s="15"/>
      <c r="J49" s="15" t="s">
        <v>2283</v>
      </c>
      <c r="K49" s="15" t="s">
        <v>16</v>
      </c>
      <c r="L49" s="15" t="s">
        <v>2620</v>
      </c>
      <c r="M49" s="15"/>
      <c r="N49" s="16"/>
    </row>
    <row r="50" spans="1:14" x14ac:dyDescent="0.25">
      <c r="A50" s="20"/>
      <c r="B50" s="35" t="s">
        <v>2624</v>
      </c>
      <c r="C50" s="42" t="s">
        <v>88</v>
      </c>
      <c r="D50" s="15" t="s">
        <v>75</v>
      </c>
      <c r="E50" s="15" t="s">
        <v>1211</v>
      </c>
      <c r="F50" s="15"/>
      <c r="G50" s="15"/>
      <c r="H50" s="15"/>
      <c r="I50" s="15"/>
      <c r="J50" s="15" t="s">
        <v>2283</v>
      </c>
      <c r="K50" s="15" t="s">
        <v>16</v>
      </c>
      <c r="L50" s="15" t="s">
        <v>2625</v>
      </c>
      <c r="M50" s="15"/>
      <c r="N50" s="16"/>
    </row>
    <row r="51" spans="1:14" x14ac:dyDescent="0.25">
      <c r="A51" s="20"/>
      <c r="B51" s="35" t="s">
        <v>2903</v>
      </c>
      <c r="C51" s="42" t="s">
        <v>88</v>
      </c>
      <c r="D51" s="15" t="s">
        <v>77</v>
      </c>
      <c r="E51" s="15" t="s">
        <v>1213</v>
      </c>
      <c r="F51" s="15"/>
      <c r="G51" s="15"/>
      <c r="H51" s="15"/>
      <c r="I51" s="15"/>
      <c r="J51" s="15" t="s">
        <v>2891</v>
      </c>
      <c r="K51" s="15" t="s">
        <v>246</v>
      </c>
      <c r="L51" s="15" t="s">
        <v>2778</v>
      </c>
      <c r="M51" s="15"/>
      <c r="N51" s="16"/>
    </row>
    <row r="52" spans="1:14" x14ac:dyDescent="0.25">
      <c r="A52" s="20"/>
      <c r="B52" s="35" t="s">
        <v>2902</v>
      </c>
      <c r="C52" s="42" t="s">
        <v>88</v>
      </c>
      <c r="D52" s="15" t="s">
        <v>80</v>
      </c>
      <c r="E52" s="15" t="s">
        <v>1215</v>
      </c>
      <c r="F52" s="15"/>
      <c r="G52" s="15"/>
      <c r="H52" s="15"/>
      <c r="I52" s="15"/>
      <c r="J52" s="15" t="s">
        <v>2891</v>
      </c>
      <c r="K52" s="15" t="s">
        <v>246</v>
      </c>
      <c r="L52" s="15" t="s">
        <v>1441</v>
      </c>
      <c r="M52" s="15"/>
      <c r="N52" s="16"/>
    </row>
    <row r="53" spans="1:14" x14ac:dyDescent="0.25">
      <c r="A53" s="20"/>
      <c r="B53" s="35" t="s">
        <v>2901</v>
      </c>
      <c r="C53" s="42" t="s">
        <v>88</v>
      </c>
      <c r="D53" s="15" t="s">
        <v>84</v>
      </c>
      <c r="E53" s="15" t="s">
        <v>1216</v>
      </c>
      <c r="F53" s="15"/>
      <c r="G53" s="15"/>
      <c r="H53" s="15"/>
      <c r="I53" s="15"/>
      <c r="J53" s="15" t="s">
        <v>2891</v>
      </c>
      <c r="K53" s="15" t="s">
        <v>246</v>
      </c>
      <c r="L53" s="15" t="s">
        <v>1441</v>
      </c>
      <c r="M53" s="15"/>
      <c r="N53" s="16"/>
    </row>
    <row r="54" spans="1:14" x14ac:dyDescent="0.25">
      <c r="A54" s="20"/>
      <c r="B54" s="35" t="s">
        <v>2899</v>
      </c>
      <c r="C54" s="42" t="s">
        <v>88</v>
      </c>
      <c r="D54" s="15" t="s">
        <v>123</v>
      </c>
      <c r="E54" s="15" t="s">
        <v>1218</v>
      </c>
      <c r="F54" s="15"/>
      <c r="G54" s="15"/>
      <c r="H54" s="15"/>
      <c r="I54" s="15"/>
      <c r="J54" s="15" t="s">
        <v>2891</v>
      </c>
      <c r="K54" s="15" t="s">
        <v>246</v>
      </c>
      <c r="L54" s="15" t="s">
        <v>2900</v>
      </c>
      <c r="M54" s="15"/>
      <c r="N54" s="16"/>
    </row>
    <row r="55" spans="1:14" x14ac:dyDescent="0.25">
      <c r="A55" s="20"/>
      <c r="B55" s="35" t="s">
        <v>2909</v>
      </c>
      <c r="C55" s="42" t="s">
        <v>88</v>
      </c>
      <c r="D55" s="15" t="s">
        <v>212</v>
      </c>
      <c r="E55" s="15" t="s">
        <v>1220</v>
      </c>
      <c r="F55" s="15"/>
      <c r="G55" s="15"/>
      <c r="H55" s="15"/>
      <c r="I55" s="15"/>
      <c r="J55" s="15" t="s">
        <v>2893</v>
      </c>
      <c r="K55" s="15" t="s">
        <v>246</v>
      </c>
      <c r="L55" s="15" t="s">
        <v>1441</v>
      </c>
      <c r="M55" s="15"/>
      <c r="N55" s="16"/>
    </row>
    <row r="56" spans="1:14" x14ac:dyDescent="0.25">
      <c r="A56" s="20"/>
      <c r="B56" s="35" t="s">
        <v>1227</v>
      </c>
      <c r="C56" s="42" t="s">
        <v>88</v>
      </c>
      <c r="D56" s="15" t="s">
        <v>214</v>
      </c>
      <c r="E56" s="15" t="s">
        <v>1222</v>
      </c>
      <c r="F56" s="15"/>
      <c r="G56" s="15"/>
      <c r="H56" s="15"/>
      <c r="I56" s="15"/>
      <c r="J56" s="15"/>
      <c r="K56" s="15" t="s">
        <v>16</v>
      </c>
      <c r="L56" s="15"/>
      <c r="M56" s="15"/>
      <c r="N56" s="16"/>
    </row>
    <row r="57" spans="1:14" x14ac:dyDescent="0.25">
      <c r="A57" s="20"/>
      <c r="B57" s="35" t="s">
        <v>1225</v>
      </c>
      <c r="C57" s="42" t="s">
        <v>88</v>
      </c>
      <c r="D57" s="15" t="s">
        <v>216</v>
      </c>
      <c r="E57" s="15" t="s">
        <v>1224</v>
      </c>
      <c r="F57" s="15"/>
      <c r="G57" s="15"/>
      <c r="H57" s="15"/>
      <c r="I57" s="15"/>
      <c r="J57" s="15"/>
      <c r="K57" s="15" t="s">
        <v>16</v>
      </c>
      <c r="L57" s="15"/>
      <c r="M57" s="15"/>
      <c r="N57" s="16"/>
    </row>
    <row r="58" spans="1:14" x14ac:dyDescent="0.25">
      <c r="A58" s="13"/>
      <c r="B58" s="35" t="s">
        <v>2656</v>
      </c>
      <c r="C58" s="42" t="s">
        <v>88</v>
      </c>
      <c r="D58" s="15" t="s">
        <v>218</v>
      </c>
      <c r="E58" s="15" t="s">
        <v>1226</v>
      </c>
      <c r="F58" s="15"/>
      <c r="G58" s="15"/>
      <c r="H58" s="15"/>
      <c r="I58" s="15"/>
      <c r="J58" s="15" t="s">
        <v>2400</v>
      </c>
      <c r="K58" s="15" t="s">
        <v>16</v>
      </c>
      <c r="L58" s="15" t="s">
        <v>2657</v>
      </c>
      <c r="M58" s="15"/>
      <c r="N58" s="16"/>
    </row>
    <row r="59" spans="1:14" x14ac:dyDescent="0.25">
      <c r="A59" s="20"/>
      <c r="B59" s="35" t="s">
        <v>1223</v>
      </c>
      <c r="C59" s="42" t="s">
        <v>88</v>
      </c>
      <c r="D59" s="15" t="s">
        <v>220</v>
      </c>
      <c r="E59" s="15" t="s">
        <v>1228</v>
      </c>
      <c r="F59" s="15"/>
      <c r="G59" s="15"/>
      <c r="H59" s="15"/>
      <c r="I59" s="15"/>
      <c r="J59" s="15"/>
      <c r="K59" s="15" t="s">
        <v>16</v>
      </c>
      <c r="L59" s="15"/>
      <c r="M59" s="15"/>
      <c r="N59" s="16"/>
    </row>
    <row r="60" spans="1:14" x14ac:dyDescent="0.25">
      <c r="A60" s="20"/>
      <c r="B60" s="35" t="s">
        <v>1221</v>
      </c>
      <c r="C60" s="42" t="s">
        <v>88</v>
      </c>
      <c r="D60" s="15" t="s">
        <v>222</v>
      </c>
      <c r="E60" s="15" t="s">
        <v>1230</v>
      </c>
      <c r="F60" s="15"/>
      <c r="G60" s="15"/>
      <c r="H60" s="15"/>
      <c r="I60" s="15"/>
      <c r="J60" s="15"/>
      <c r="K60" s="15" t="s">
        <v>16</v>
      </c>
      <c r="L60" s="15"/>
      <c r="M60" s="15"/>
      <c r="N60" s="16"/>
    </row>
    <row r="61" spans="1:14" x14ac:dyDescent="0.25">
      <c r="A61" s="13"/>
      <c r="B61" s="35" t="s">
        <v>2432</v>
      </c>
      <c r="C61" s="42" t="s">
        <v>88</v>
      </c>
      <c r="D61" s="15" t="s">
        <v>224</v>
      </c>
      <c r="E61" s="15" t="s">
        <v>1232</v>
      </c>
      <c r="F61" s="15" t="s">
        <v>2430</v>
      </c>
      <c r="G61" s="15"/>
      <c r="H61" s="15"/>
      <c r="I61" s="15"/>
      <c r="J61" s="15" t="s">
        <v>2429</v>
      </c>
      <c r="K61" s="15" t="s">
        <v>16</v>
      </c>
      <c r="L61" s="15" t="s">
        <v>2401</v>
      </c>
      <c r="M61" s="15"/>
      <c r="N61" s="16"/>
    </row>
    <row r="62" spans="1:14" x14ac:dyDescent="0.25">
      <c r="A62" s="13"/>
      <c r="B62" s="35" t="s">
        <v>2431</v>
      </c>
      <c r="C62" s="42" t="s">
        <v>88</v>
      </c>
      <c r="D62" s="15" t="s">
        <v>226</v>
      </c>
      <c r="E62" s="15" t="s">
        <v>3456</v>
      </c>
      <c r="F62" s="15"/>
      <c r="G62" s="15"/>
      <c r="H62" s="15"/>
      <c r="I62" s="15"/>
      <c r="J62" s="15" t="s">
        <v>2429</v>
      </c>
      <c r="K62" s="15" t="s">
        <v>16</v>
      </c>
      <c r="L62" s="15" t="s">
        <v>2284</v>
      </c>
      <c r="M62" s="15"/>
      <c r="N62" s="16"/>
    </row>
    <row r="63" spans="1:14" x14ac:dyDescent="0.25">
      <c r="A63" s="13"/>
      <c r="B63" s="35" t="s">
        <v>2428</v>
      </c>
      <c r="C63" s="42" t="s">
        <v>88</v>
      </c>
      <c r="D63" s="15" t="s">
        <v>228</v>
      </c>
      <c r="E63" s="15" t="s">
        <v>4094</v>
      </c>
      <c r="F63" s="15"/>
      <c r="G63" s="15"/>
      <c r="H63" s="15"/>
      <c r="I63" s="15"/>
      <c r="J63" s="15" t="s">
        <v>2429</v>
      </c>
      <c r="K63" s="15" t="s">
        <v>16</v>
      </c>
      <c r="L63" s="15" t="s">
        <v>2405</v>
      </c>
      <c r="M63" s="15"/>
      <c r="N63" s="16"/>
    </row>
    <row r="64" spans="1:14" x14ac:dyDescent="0.25">
      <c r="A64" s="20"/>
      <c r="B64" s="35" t="s">
        <v>1219</v>
      </c>
      <c r="C64" s="42" t="s">
        <v>88</v>
      </c>
      <c r="D64" s="15" t="s">
        <v>230</v>
      </c>
      <c r="E64" s="15" t="s">
        <v>4095</v>
      </c>
      <c r="F64" s="15"/>
      <c r="G64" s="15"/>
      <c r="H64" s="15"/>
      <c r="I64" s="15"/>
      <c r="J64" s="15"/>
      <c r="K64" s="15" t="s">
        <v>16</v>
      </c>
      <c r="L64" s="15"/>
      <c r="M64" s="15"/>
      <c r="N64" s="16"/>
    </row>
    <row r="65" spans="1:14" x14ac:dyDescent="0.25">
      <c r="A65" s="20"/>
      <c r="B65" s="35" t="s">
        <v>1217</v>
      </c>
      <c r="C65" s="42" t="s">
        <v>88</v>
      </c>
      <c r="D65" s="15" t="s">
        <v>232</v>
      </c>
      <c r="E65" s="15" t="s">
        <v>4096</v>
      </c>
      <c r="F65" s="15" t="s">
        <v>2430</v>
      </c>
      <c r="G65" s="15"/>
      <c r="H65" s="15"/>
      <c r="I65" s="15"/>
      <c r="J65" s="15" t="s">
        <v>2429</v>
      </c>
      <c r="K65" s="15" t="s">
        <v>16</v>
      </c>
      <c r="L65" s="15" t="s">
        <v>2393</v>
      </c>
      <c r="M65" s="15"/>
      <c r="N65" s="16" t="s">
        <v>2519</v>
      </c>
    </row>
    <row r="66" spans="1:14" x14ac:dyDescent="0.25">
      <c r="A66" s="20"/>
      <c r="B66" s="35" t="s">
        <v>1217</v>
      </c>
      <c r="C66" s="42" t="s">
        <v>88</v>
      </c>
      <c r="D66" s="15" t="s">
        <v>234</v>
      </c>
      <c r="E66" s="15" t="s">
        <v>4097</v>
      </c>
      <c r="F66" s="15" t="s">
        <v>2430</v>
      </c>
      <c r="G66" s="15"/>
      <c r="H66" s="15"/>
      <c r="I66" s="15"/>
      <c r="J66" s="15" t="s">
        <v>2283</v>
      </c>
      <c r="K66" s="15" t="s">
        <v>16</v>
      </c>
      <c r="L66" s="15" t="s">
        <v>2529</v>
      </c>
      <c r="M66" s="15"/>
      <c r="N66" s="16"/>
    </row>
    <row r="67" spans="1:14" x14ac:dyDescent="0.25">
      <c r="A67" s="20"/>
      <c r="B67" s="35" t="s">
        <v>2629</v>
      </c>
      <c r="C67" s="42" t="s">
        <v>88</v>
      </c>
      <c r="D67" s="15" t="s">
        <v>236</v>
      </c>
      <c r="E67" s="15" t="s">
        <v>4098</v>
      </c>
      <c r="F67" s="15"/>
      <c r="G67" s="15"/>
      <c r="H67" s="15"/>
      <c r="I67" s="15"/>
      <c r="J67" s="15" t="s">
        <v>2429</v>
      </c>
      <c r="K67" s="15" t="s">
        <v>16</v>
      </c>
      <c r="L67" s="15" t="s">
        <v>2419</v>
      </c>
      <c r="M67" s="15"/>
      <c r="N67" s="16"/>
    </row>
    <row r="68" spans="1:14" x14ac:dyDescent="0.25">
      <c r="A68" s="20"/>
      <c r="B68" s="35" t="s">
        <v>2618</v>
      </c>
      <c r="C68" s="42" t="s">
        <v>88</v>
      </c>
      <c r="D68" s="15" t="s">
        <v>238</v>
      </c>
      <c r="E68" s="15" t="s">
        <v>4099</v>
      </c>
      <c r="F68" s="15" t="s">
        <v>2430</v>
      </c>
      <c r="G68" s="15"/>
      <c r="H68" s="15"/>
      <c r="I68" s="15"/>
      <c r="J68" s="15" t="s">
        <v>2353</v>
      </c>
      <c r="K68" s="15" t="s">
        <v>16</v>
      </c>
      <c r="L68" s="15" t="s">
        <v>2265</v>
      </c>
      <c r="M68" s="15"/>
      <c r="N68" s="16"/>
    </row>
    <row r="69" spans="1:14" x14ac:dyDescent="0.25">
      <c r="A69" s="20"/>
      <c r="B69" s="35" t="s">
        <v>2618</v>
      </c>
      <c r="C69" s="42" t="s">
        <v>88</v>
      </c>
      <c r="D69" s="15" t="s">
        <v>240</v>
      </c>
      <c r="E69" s="15" t="s">
        <v>4100</v>
      </c>
      <c r="F69" s="15" t="s">
        <v>2626</v>
      </c>
      <c r="G69" s="15"/>
      <c r="H69" s="15"/>
      <c r="I69" s="15"/>
      <c r="J69" s="15" t="s">
        <v>2517</v>
      </c>
      <c r="K69" s="15" t="s">
        <v>16</v>
      </c>
      <c r="L69" s="15" t="s">
        <v>2627</v>
      </c>
      <c r="M69" s="15"/>
      <c r="N69" s="16" t="s">
        <v>2628</v>
      </c>
    </row>
    <row r="70" spans="1:14" x14ac:dyDescent="0.25">
      <c r="A70" s="20"/>
      <c r="B70" s="35" t="s">
        <v>3115</v>
      </c>
      <c r="C70" s="42" t="s">
        <v>88</v>
      </c>
      <c r="D70" s="15" t="s">
        <v>334</v>
      </c>
      <c r="E70" s="15" t="s">
        <v>4101</v>
      </c>
      <c r="F70" s="15"/>
      <c r="G70" s="15"/>
      <c r="H70" s="15"/>
      <c r="I70" s="15"/>
      <c r="J70" s="15" t="s">
        <v>2954</v>
      </c>
      <c r="K70" s="15" t="s">
        <v>16</v>
      </c>
      <c r="L70" s="15" t="s">
        <v>2261</v>
      </c>
      <c r="M70" s="15"/>
      <c r="N70" s="16"/>
    </row>
    <row r="71" spans="1:14" x14ac:dyDescent="0.25">
      <c r="A71" s="20"/>
      <c r="B71" s="35" t="s">
        <v>3112</v>
      </c>
      <c r="C71" s="42" t="s">
        <v>88</v>
      </c>
      <c r="D71" s="15" t="s">
        <v>337</v>
      </c>
      <c r="E71" s="15" t="s">
        <v>4102</v>
      </c>
      <c r="F71" s="15"/>
      <c r="G71" s="15"/>
      <c r="H71" s="15"/>
      <c r="I71" s="15"/>
      <c r="J71" s="15" t="s">
        <v>2954</v>
      </c>
      <c r="K71" s="15" t="s">
        <v>16</v>
      </c>
      <c r="L71" s="15" t="s">
        <v>3113</v>
      </c>
      <c r="M71" s="15"/>
      <c r="N71" s="16"/>
    </row>
    <row r="72" spans="1:14" x14ac:dyDescent="0.25">
      <c r="A72" s="20"/>
      <c r="B72" s="35" t="s">
        <v>3114</v>
      </c>
      <c r="C72" s="42" t="s">
        <v>88</v>
      </c>
      <c r="D72" s="15" t="s">
        <v>340</v>
      </c>
      <c r="E72" s="15" t="s">
        <v>4103</v>
      </c>
      <c r="F72" s="15"/>
      <c r="G72" s="15"/>
      <c r="H72" s="15"/>
      <c r="I72" s="15"/>
      <c r="J72" s="15" t="s">
        <v>2954</v>
      </c>
      <c r="K72" s="15" t="s">
        <v>16</v>
      </c>
      <c r="L72" s="15" t="s">
        <v>2402</v>
      </c>
      <c r="M72" s="15"/>
      <c r="N72" s="16"/>
    </row>
    <row r="73" spans="1:14" x14ac:dyDescent="0.25">
      <c r="A73" s="20"/>
      <c r="B73" s="35" t="s">
        <v>2641</v>
      </c>
      <c r="C73" s="42" t="s">
        <v>12</v>
      </c>
      <c r="D73" s="15" t="s">
        <v>343</v>
      </c>
      <c r="E73" s="15" t="s">
        <v>4104</v>
      </c>
      <c r="F73" s="15"/>
      <c r="G73" s="15"/>
      <c r="H73" s="15"/>
      <c r="I73" s="15"/>
      <c r="J73" s="15" t="s">
        <v>2398</v>
      </c>
      <c r="K73" s="15" t="s">
        <v>246</v>
      </c>
      <c r="L73" s="15" t="s">
        <v>2640</v>
      </c>
      <c r="M73" s="15"/>
      <c r="N73" s="16"/>
    </row>
    <row r="74" spans="1:14" x14ac:dyDescent="0.25">
      <c r="A74" s="20"/>
      <c r="B74" s="35" t="s">
        <v>1214</v>
      </c>
      <c r="C74" s="42" t="s">
        <v>88</v>
      </c>
      <c r="D74" s="15" t="s">
        <v>345</v>
      </c>
      <c r="E74" s="15" t="s">
        <v>4105</v>
      </c>
      <c r="F74" s="52"/>
      <c r="G74" s="52"/>
      <c r="H74" s="52"/>
      <c r="I74" s="52"/>
      <c r="J74" s="52"/>
      <c r="K74" s="15" t="s">
        <v>16</v>
      </c>
      <c r="L74" s="15"/>
      <c r="M74" s="15"/>
      <c r="N74" s="16"/>
    </row>
    <row r="75" spans="1:14" x14ac:dyDescent="0.25">
      <c r="A75" s="20"/>
      <c r="B75" s="35" t="s">
        <v>1212</v>
      </c>
      <c r="C75" s="42" t="s">
        <v>88</v>
      </c>
      <c r="D75" s="15" t="s">
        <v>348</v>
      </c>
      <c r="E75" s="15" t="s">
        <v>4106</v>
      </c>
      <c r="F75" s="52"/>
      <c r="G75" s="52"/>
      <c r="H75" s="52"/>
      <c r="I75" s="52"/>
      <c r="J75" s="52"/>
      <c r="K75" s="15" t="s">
        <v>16</v>
      </c>
      <c r="L75" s="15"/>
      <c r="M75" s="15"/>
      <c r="N75" s="16"/>
    </row>
    <row r="76" spans="1:14" x14ac:dyDescent="0.25">
      <c r="A76" s="20"/>
      <c r="B76" s="35" t="s">
        <v>1210</v>
      </c>
      <c r="C76" s="42" t="s">
        <v>88</v>
      </c>
      <c r="D76" s="15" t="s">
        <v>351</v>
      </c>
      <c r="E76" s="15" t="s">
        <v>4107</v>
      </c>
      <c r="F76" s="52"/>
      <c r="G76" s="52"/>
      <c r="H76" s="52"/>
      <c r="I76" s="52"/>
      <c r="J76" s="52"/>
      <c r="K76" s="15" t="s">
        <v>16</v>
      </c>
      <c r="L76" s="15"/>
      <c r="M76" s="15"/>
      <c r="N76" s="16"/>
    </row>
    <row r="77" spans="1:14" x14ac:dyDescent="0.25">
      <c r="A77" s="20"/>
      <c r="B77" s="35" t="s">
        <v>1208</v>
      </c>
      <c r="C77" s="42" t="s">
        <v>88</v>
      </c>
      <c r="D77" s="15" t="s">
        <v>431</v>
      </c>
      <c r="E77" s="15" t="s">
        <v>4108</v>
      </c>
      <c r="F77" s="52"/>
      <c r="G77" s="52"/>
      <c r="H77" s="52"/>
      <c r="I77" s="52"/>
      <c r="J77" s="52"/>
      <c r="K77" s="15" t="s">
        <v>16</v>
      </c>
      <c r="L77" s="15"/>
      <c r="M77" s="15"/>
      <c r="N77" s="16"/>
    </row>
    <row r="78" spans="1:14" x14ac:dyDescent="0.25">
      <c r="A78" s="20"/>
      <c r="B78" s="35" t="s">
        <v>1206</v>
      </c>
      <c r="C78" s="42" t="s">
        <v>88</v>
      </c>
      <c r="D78" s="15" t="s">
        <v>434</v>
      </c>
      <c r="E78" s="15" t="s">
        <v>4109</v>
      </c>
      <c r="F78" s="15"/>
      <c r="G78" s="15"/>
      <c r="H78" s="15"/>
      <c r="I78" s="15"/>
      <c r="J78" s="15"/>
      <c r="K78" s="15" t="s">
        <v>16</v>
      </c>
      <c r="L78" s="15"/>
      <c r="M78" s="15"/>
      <c r="N78" s="16"/>
    </row>
    <row r="79" spans="1:14" x14ac:dyDescent="0.25">
      <c r="A79" s="20"/>
      <c r="B79" s="35" t="s">
        <v>1204</v>
      </c>
      <c r="C79" s="42" t="s">
        <v>88</v>
      </c>
      <c r="D79" s="15" t="s">
        <v>437</v>
      </c>
      <c r="E79" s="15" t="s">
        <v>4110</v>
      </c>
      <c r="F79" s="15"/>
      <c r="G79" s="15"/>
      <c r="H79" s="15"/>
      <c r="I79" s="15"/>
      <c r="J79" s="15"/>
      <c r="K79" s="15" t="s">
        <v>16</v>
      </c>
      <c r="L79" s="15"/>
      <c r="M79" s="15"/>
      <c r="N79" s="16"/>
    </row>
    <row r="80" spans="1:14" x14ac:dyDescent="0.25">
      <c r="A80" s="20"/>
      <c r="B80" s="35" t="s">
        <v>1202</v>
      </c>
      <c r="C80" s="42" t="s">
        <v>88</v>
      </c>
      <c r="D80" s="15" t="s">
        <v>440</v>
      </c>
      <c r="E80" s="15" t="s">
        <v>4111</v>
      </c>
      <c r="F80" s="15"/>
      <c r="G80" s="15"/>
      <c r="H80" s="15"/>
      <c r="I80" s="15"/>
      <c r="J80" s="15"/>
      <c r="K80" s="15" t="s">
        <v>16</v>
      </c>
      <c r="L80" s="15"/>
      <c r="M80" s="15"/>
      <c r="N80" s="16"/>
    </row>
    <row r="81" spans="1:14" x14ac:dyDescent="0.25">
      <c r="A81" s="20"/>
      <c r="B81" s="35" t="s">
        <v>1200</v>
      </c>
      <c r="C81" s="42" t="s">
        <v>88</v>
      </c>
      <c r="D81" s="15" t="s">
        <v>443</v>
      </c>
      <c r="E81" s="15" t="s">
        <v>4112</v>
      </c>
      <c r="F81" s="15"/>
      <c r="G81" s="15"/>
      <c r="H81" s="15"/>
      <c r="I81" s="15"/>
      <c r="J81" s="15"/>
      <c r="K81" s="15" t="s">
        <v>246</v>
      </c>
      <c r="L81" s="15"/>
      <c r="M81" s="15"/>
      <c r="N81" s="16"/>
    </row>
    <row r="82" spans="1:14" x14ac:dyDescent="0.25">
      <c r="A82" s="20"/>
      <c r="B82" s="35" t="s">
        <v>1198</v>
      </c>
      <c r="C82" s="42" t="s">
        <v>88</v>
      </c>
      <c r="D82" s="15" t="s">
        <v>446</v>
      </c>
      <c r="E82" s="15" t="s">
        <v>4113</v>
      </c>
      <c r="F82" s="15"/>
      <c r="G82" s="15"/>
      <c r="H82" s="15"/>
      <c r="I82" s="15"/>
      <c r="J82" s="15"/>
      <c r="K82" s="15" t="s">
        <v>246</v>
      </c>
      <c r="L82" s="15"/>
      <c r="M82" s="15"/>
      <c r="N82" s="16"/>
    </row>
    <row r="83" spans="1:14" x14ac:dyDescent="0.25">
      <c r="A83" s="20"/>
      <c r="B83" s="35" t="s">
        <v>1196</v>
      </c>
      <c r="C83" s="42" t="s">
        <v>88</v>
      </c>
      <c r="D83" s="15" t="s">
        <v>449</v>
      </c>
      <c r="E83" s="15" t="s">
        <v>4114</v>
      </c>
      <c r="F83" s="15"/>
      <c r="G83" s="15"/>
      <c r="H83" s="15"/>
      <c r="I83" s="15"/>
      <c r="J83" s="15" t="s">
        <v>2905</v>
      </c>
      <c r="K83" s="15" t="s">
        <v>246</v>
      </c>
      <c r="L83" s="15" t="s">
        <v>2657</v>
      </c>
      <c r="M83" s="15"/>
      <c r="N83" s="16"/>
    </row>
    <row r="84" spans="1:14" x14ac:dyDescent="0.25">
      <c r="A84" s="20"/>
      <c r="B84" s="35" t="s">
        <v>1194</v>
      </c>
      <c r="C84" s="42" t="s">
        <v>88</v>
      </c>
      <c r="D84" s="15" t="s">
        <v>452</v>
      </c>
      <c r="E84" s="15" t="s">
        <v>4115</v>
      </c>
      <c r="F84" s="15"/>
      <c r="G84" s="15"/>
      <c r="H84" s="15"/>
      <c r="I84" s="15"/>
      <c r="J84" s="15" t="s">
        <v>2905</v>
      </c>
      <c r="K84" s="15" t="s">
        <v>246</v>
      </c>
      <c r="L84" s="15" t="s">
        <v>2639</v>
      </c>
      <c r="M84" s="15"/>
      <c r="N84" s="16"/>
    </row>
    <row r="85" spans="1:14" x14ac:dyDescent="0.25">
      <c r="A85" s="20"/>
      <c r="B85" s="35" t="s">
        <v>1192</v>
      </c>
      <c r="C85" s="42" t="s">
        <v>88</v>
      </c>
      <c r="D85" s="15" t="s">
        <v>455</v>
      </c>
      <c r="E85" s="15" t="s">
        <v>4116</v>
      </c>
      <c r="F85" s="15"/>
      <c r="G85" s="15"/>
      <c r="H85" s="15"/>
      <c r="I85" s="15"/>
      <c r="J85" s="15" t="s">
        <v>2517</v>
      </c>
      <c r="K85" s="15" t="s">
        <v>16</v>
      </c>
      <c r="L85" s="15" t="s">
        <v>2231</v>
      </c>
      <c r="M85" s="15"/>
      <c r="N85" s="16" t="s">
        <v>2518</v>
      </c>
    </row>
    <row r="86" spans="1:14" s="94" customFormat="1" x14ac:dyDescent="0.25">
      <c r="A86" s="20"/>
      <c r="B86" s="35" t="s">
        <v>1192</v>
      </c>
      <c r="C86" s="42" t="s">
        <v>88</v>
      </c>
      <c r="D86" s="15" t="s">
        <v>458</v>
      </c>
      <c r="E86" s="15" t="s">
        <v>4117</v>
      </c>
      <c r="F86" s="15"/>
      <c r="G86" s="15"/>
      <c r="H86" s="15"/>
      <c r="I86" s="15"/>
      <c r="J86" s="15" t="s">
        <v>2400</v>
      </c>
      <c r="K86" s="15" t="s">
        <v>16</v>
      </c>
      <c r="L86" s="15" t="s">
        <v>2653</v>
      </c>
      <c r="M86" s="15"/>
      <c r="N86" s="16" t="s">
        <v>2519</v>
      </c>
    </row>
    <row r="87" spans="1:14" s="94" customFormat="1" x14ac:dyDescent="0.25">
      <c r="A87" s="20"/>
      <c r="B87" s="35" t="s">
        <v>1192</v>
      </c>
      <c r="C87" s="42" t="s">
        <v>88</v>
      </c>
      <c r="D87" s="15" t="s">
        <v>461</v>
      </c>
      <c r="E87" s="15" t="s">
        <v>4118</v>
      </c>
      <c r="F87" s="15"/>
      <c r="G87" s="15"/>
      <c r="H87" s="15"/>
      <c r="I87" s="15"/>
      <c r="J87" s="15" t="s">
        <v>2517</v>
      </c>
      <c r="K87" s="15" t="s">
        <v>16</v>
      </c>
      <c r="L87" s="15" t="s">
        <v>2394</v>
      </c>
      <c r="M87" s="15"/>
      <c r="N87" s="16" t="s">
        <v>2521</v>
      </c>
    </row>
    <row r="88" spans="1:14" s="94" customFormat="1" x14ac:dyDescent="0.25">
      <c r="A88" s="20"/>
      <c r="B88" s="35" t="s">
        <v>1190</v>
      </c>
      <c r="C88" s="42" t="s">
        <v>88</v>
      </c>
      <c r="D88" s="15" t="s">
        <v>464</v>
      </c>
      <c r="E88" s="15" t="s">
        <v>4119</v>
      </c>
      <c r="F88" s="15"/>
      <c r="G88" s="15"/>
      <c r="H88" s="15"/>
      <c r="I88" s="15"/>
      <c r="J88" s="15" t="s">
        <v>2517</v>
      </c>
      <c r="K88" s="15" t="s">
        <v>16</v>
      </c>
      <c r="L88" s="15" t="s">
        <v>2252</v>
      </c>
      <c r="M88" s="15"/>
      <c r="N88" s="16" t="s">
        <v>2518</v>
      </c>
    </row>
    <row r="89" spans="1:14" x14ac:dyDescent="0.25">
      <c r="A89" s="20"/>
      <c r="B89" s="35" t="s">
        <v>1190</v>
      </c>
      <c r="C89" s="42" t="s">
        <v>88</v>
      </c>
      <c r="D89" s="15" t="s">
        <v>467</v>
      </c>
      <c r="E89" s="15" t="s">
        <v>4120</v>
      </c>
      <c r="F89" s="15"/>
      <c r="G89" s="15"/>
      <c r="H89" s="15"/>
      <c r="I89" s="15"/>
      <c r="J89" s="15" t="s">
        <v>2517</v>
      </c>
      <c r="K89" s="15" t="s">
        <v>16</v>
      </c>
      <c r="L89" s="15" t="s">
        <v>2263</v>
      </c>
      <c r="M89" s="15"/>
      <c r="N89" s="16" t="s">
        <v>2520</v>
      </c>
    </row>
    <row r="90" spans="1:14" x14ac:dyDescent="0.25">
      <c r="A90" s="20"/>
      <c r="B90" s="35" t="s">
        <v>1188</v>
      </c>
      <c r="C90" s="42" t="s">
        <v>88</v>
      </c>
      <c r="D90" s="15" t="s">
        <v>470</v>
      </c>
      <c r="E90" s="15" t="s">
        <v>4121</v>
      </c>
      <c r="F90" s="15"/>
      <c r="G90" s="15"/>
      <c r="H90" s="15"/>
      <c r="I90" s="15"/>
      <c r="J90" s="15" t="s">
        <v>2283</v>
      </c>
      <c r="K90" s="15" t="s">
        <v>16</v>
      </c>
      <c r="L90" s="15" t="s">
        <v>2427</v>
      </c>
      <c r="M90" s="15"/>
      <c r="N90" s="16"/>
    </row>
    <row r="91" spans="1:14" x14ac:dyDescent="0.25">
      <c r="A91" s="13"/>
      <c r="B91" s="35" t="s">
        <v>1186</v>
      </c>
      <c r="C91" s="42" t="s">
        <v>88</v>
      </c>
      <c r="D91" s="15" t="s">
        <v>473</v>
      </c>
      <c r="E91" s="15" t="s">
        <v>4122</v>
      </c>
      <c r="F91" s="15"/>
      <c r="G91" s="15"/>
      <c r="H91" s="15"/>
      <c r="I91" s="15"/>
      <c r="J91" s="15" t="s">
        <v>2283</v>
      </c>
      <c r="K91" s="15" t="s">
        <v>16</v>
      </c>
      <c r="L91" s="15" t="s">
        <v>2284</v>
      </c>
      <c r="M91" s="15"/>
      <c r="N91" s="16"/>
    </row>
    <row r="92" spans="1:14" x14ac:dyDescent="0.25">
      <c r="A92" s="13"/>
      <c r="B92" s="35" t="s">
        <v>4581</v>
      </c>
      <c r="C92" s="42" t="s">
        <v>88</v>
      </c>
      <c r="D92" s="15" t="s">
        <v>476</v>
      </c>
      <c r="E92" s="15" t="s">
        <v>4582</v>
      </c>
      <c r="F92" s="15"/>
      <c r="G92" s="15"/>
      <c r="H92" s="15"/>
      <c r="I92" s="15"/>
      <c r="J92" s="15" t="s">
        <v>4583</v>
      </c>
      <c r="K92" s="15" t="s">
        <v>16</v>
      </c>
      <c r="L92" s="15" t="s">
        <v>2284</v>
      </c>
      <c r="M92" s="15"/>
      <c r="N92" s="16"/>
    </row>
    <row r="93" spans="1:14" ht="15.75" x14ac:dyDescent="0.25">
      <c r="A93" s="3">
        <v>3</v>
      </c>
      <c r="B93" s="3" t="s">
        <v>3463</v>
      </c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</row>
    <row r="94" spans="1:14" x14ac:dyDescent="0.25">
      <c r="A94" s="20"/>
      <c r="B94" s="35" t="s">
        <v>1396</v>
      </c>
      <c r="C94" s="42" t="s">
        <v>12</v>
      </c>
      <c r="D94" s="15" t="s">
        <v>14</v>
      </c>
      <c r="E94" s="15" t="s">
        <v>1234</v>
      </c>
      <c r="F94" s="15"/>
      <c r="G94" s="15"/>
      <c r="H94" s="15"/>
      <c r="I94" s="15"/>
      <c r="J94" s="15"/>
      <c r="K94" s="15" t="s">
        <v>16</v>
      </c>
      <c r="L94" s="15"/>
      <c r="M94" s="15"/>
      <c r="N94" s="16"/>
    </row>
    <row r="95" spans="1:14" x14ac:dyDescent="0.25">
      <c r="A95" s="13"/>
      <c r="B95" s="35" t="s">
        <v>1394</v>
      </c>
      <c r="C95" s="42" t="s">
        <v>88</v>
      </c>
      <c r="D95" s="15" t="s">
        <v>19</v>
      </c>
      <c r="E95" s="15" t="s">
        <v>1236</v>
      </c>
      <c r="F95" s="15"/>
      <c r="G95" s="15"/>
      <c r="H95" s="15"/>
      <c r="I95" s="15"/>
      <c r="J95" s="15"/>
      <c r="K95" s="15" t="s">
        <v>16</v>
      </c>
      <c r="L95" s="15"/>
      <c r="M95" s="15"/>
      <c r="N95" s="16"/>
    </row>
    <row r="96" spans="1:14" x14ac:dyDescent="0.25">
      <c r="A96" s="13"/>
      <c r="B96" s="35" t="s">
        <v>1392</v>
      </c>
      <c r="C96" s="42" t="s">
        <v>12</v>
      </c>
      <c r="D96" s="15" t="s">
        <v>22</v>
      </c>
      <c r="E96" s="15" t="s">
        <v>1238</v>
      </c>
      <c r="F96" s="15"/>
      <c r="G96" s="15"/>
      <c r="H96" s="15"/>
      <c r="I96" s="15"/>
      <c r="J96" s="15"/>
      <c r="K96" s="15" t="s">
        <v>16</v>
      </c>
      <c r="L96" s="15"/>
      <c r="M96" s="15"/>
      <c r="N96" s="16"/>
    </row>
    <row r="97" spans="1:14" s="91" customFormat="1" x14ac:dyDescent="0.25">
      <c r="A97" s="13"/>
      <c r="B97" s="35" t="s">
        <v>1364</v>
      </c>
      <c r="C97" s="42" t="s">
        <v>12</v>
      </c>
      <c r="D97" s="15" t="s">
        <v>25</v>
      </c>
      <c r="E97" s="15" t="s">
        <v>1240</v>
      </c>
      <c r="F97" s="15"/>
      <c r="G97" s="15"/>
      <c r="H97" s="15"/>
      <c r="I97" s="15"/>
      <c r="J97" s="15" t="s">
        <v>2833</v>
      </c>
      <c r="K97" s="15" t="s">
        <v>16</v>
      </c>
      <c r="L97" s="15" t="s">
        <v>2524</v>
      </c>
      <c r="M97" s="15"/>
      <c r="N97" s="16"/>
    </row>
    <row r="98" spans="1:14" x14ac:dyDescent="0.25">
      <c r="A98" s="13"/>
      <c r="B98" s="35" t="s">
        <v>2522</v>
      </c>
      <c r="C98" s="42" t="s">
        <v>12</v>
      </c>
      <c r="D98" s="15" t="s">
        <v>28</v>
      </c>
      <c r="E98" s="15" t="s">
        <v>1242</v>
      </c>
      <c r="F98" s="15" t="s">
        <v>2523</v>
      </c>
      <c r="G98" s="15"/>
      <c r="H98" s="15"/>
      <c r="I98" s="15"/>
      <c r="J98" s="15" t="s">
        <v>2517</v>
      </c>
      <c r="K98" s="15" t="s">
        <v>16</v>
      </c>
      <c r="L98" s="15" t="s">
        <v>2524</v>
      </c>
      <c r="M98" s="15"/>
      <c r="N98" s="16"/>
    </row>
    <row r="99" spans="1:14" x14ac:dyDescent="0.25">
      <c r="A99" s="13"/>
      <c r="B99" s="35" t="s">
        <v>2522</v>
      </c>
      <c r="C99" s="42" t="s">
        <v>12</v>
      </c>
      <c r="D99" s="15" t="s">
        <v>31</v>
      </c>
      <c r="E99" s="15" t="s">
        <v>1244</v>
      </c>
      <c r="F99" s="15" t="s">
        <v>2487</v>
      </c>
      <c r="G99" s="15"/>
      <c r="H99" s="15"/>
      <c r="I99" s="15"/>
      <c r="J99" s="15" t="s">
        <v>2517</v>
      </c>
      <c r="K99" s="15" t="s">
        <v>16</v>
      </c>
      <c r="L99" s="15" t="s">
        <v>2524</v>
      </c>
      <c r="M99" s="15"/>
      <c r="N99" s="16"/>
    </row>
    <row r="100" spans="1:14" x14ac:dyDescent="0.25">
      <c r="A100" s="13"/>
      <c r="B100" s="35" t="s">
        <v>1389</v>
      </c>
      <c r="C100" s="42" t="s">
        <v>12</v>
      </c>
      <c r="D100" s="15" t="s">
        <v>34</v>
      </c>
      <c r="E100" s="15" t="s">
        <v>1246</v>
      </c>
      <c r="F100" s="15"/>
      <c r="G100" s="15"/>
      <c r="H100" s="15"/>
      <c r="I100" s="15"/>
      <c r="J100" s="15" t="s">
        <v>2433</v>
      </c>
      <c r="K100" s="15" t="s">
        <v>16</v>
      </c>
      <c r="L100" s="15" t="s">
        <v>2420</v>
      </c>
      <c r="M100" s="15"/>
      <c r="N100" s="16" t="s">
        <v>2434</v>
      </c>
    </row>
    <row r="101" spans="1:14" x14ac:dyDescent="0.25">
      <c r="A101" s="13"/>
      <c r="B101" s="35" t="s">
        <v>1389</v>
      </c>
      <c r="C101" s="42" t="s">
        <v>12</v>
      </c>
      <c r="D101" s="15" t="s">
        <v>37</v>
      </c>
      <c r="E101" s="15" t="s">
        <v>1248</v>
      </c>
      <c r="F101" s="15"/>
      <c r="G101" s="15"/>
      <c r="H101" s="15"/>
      <c r="I101" s="15"/>
      <c r="J101" s="15" t="s">
        <v>2433</v>
      </c>
      <c r="K101" s="15" t="s">
        <v>16</v>
      </c>
      <c r="L101" s="15" t="s">
        <v>2265</v>
      </c>
      <c r="M101" s="15"/>
      <c r="N101" s="16" t="s">
        <v>2435</v>
      </c>
    </row>
    <row r="102" spans="1:14" x14ac:dyDescent="0.25">
      <c r="A102" s="13"/>
      <c r="B102" s="35" t="s">
        <v>1387</v>
      </c>
      <c r="C102" s="42" t="s">
        <v>88</v>
      </c>
      <c r="D102" s="15" t="s">
        <v>40</v>
      </c>
      <c r="E102" s="15" t="s">
        <v>1250</v>
      </c>
      <c r="F102" s="15"/>
      <c r="G102" s="15"/>
      <c r="H102" s="15"/>
      <c r="I102" s="15"/>
      <c r="J102" s="15"/>
      <c r="K102" s="15" t="s">
        <v>16</v>
      </c>
      <c r="L102" s="15"/>
      <c r="M102" s="15"/>
      <c r="N102" s="16"/>
    </row>
    <row r="103" spans="1:14" x14ac:dyDescent="0.25">
      <c r="A103" s="13"/>
      <c r="B103" s="35" t="s">
        <v>1385</v>
      </c>
      <c r="C103" s="42" t="s">
        <v>12</v>
      </c>
      <c r="D103" s="15" t="s">
        <v>43</v>
      </c>
      <c r="E103" s="15" t="s">
        <v>1252</v>
      </c>
      <c r="F103" s="15"/>
      <c r="G103" s="15"/>
      <c r="H103" s="15"/>
      <c r="I103" s="15"/>
      <c r="J103" s="15"/>
      <c r="K103" s="15" t="s">
        <v>16</v>
      </c>
      <c r="L103" s="15"/>
      <c r="M103" s="15"/>
      <c r="N103" s="16"/>
    </row>
    <row r="104" spans="1:14" x14ac:dyDescent="0.25">
      <c r="A104" s="13"/>
      <c r="B104" s="35" t="s">
        <v>1383</v>
      </c>
      <c r="C104" s="42" t="s">
        <v>12</v>
      </c>
      <c r="D104" s="15" t="s">
        <v>46</v>
      </c>
      <c r="E104" s="15" t="s">
        <v>1254</v>
      </c>
      <c r="F104" s="15"/>
      <c r="G104" s="15"/>
      <c r="H104" s="15"/>
      <c r="I104" s="15"/>
      <c r="J104" s="15"/>
      <c r="K104" s="15" t="s">
        <v>16</v>
      </c>
      <c r="L104" s="15"/>
      <c r="M104" s="15"/>
      <c r="N104" s="16"/>
    </row>
    <row r="105" spans="1:14" x14ac:dyDescent="0.25">
      <c r="A105" s="13"/>
      <c r="B105" s="35" t="s">
        <v>1381</v>
      </c>
      <c r="C105" s="42" t="s">
        <v>12</v>
      </c>
      <c r="D105" s="15" t="s">
        <v>72</v>
      </c>
      <c r="E105" s="15" t="s">
        <v>1256</v>
      </c>
      <c r="F105" s="15"/>
      <c r="G105" s="15"/>
      <c r="H105" s="15"/>
      <c r="I105" s="15"/>
      <c r="J105" s="15"/>
      <c r="K105" s="15" t="s">
        <v>16</v>
      </c>
      <c r="L105" s="15"/>
      <c r="M105" s="15"/>
      <c r="N105" s="16"/>
    </row>
    <row r="106" spans="1:14" x14ac:dyDescent="0.25">
      <c r="A106" s="13"/>
      <c r="B106" s="35" t="s">
        <v>1379</v>
      </c>
      <c r="C106" s="42" t="s">
        <v>12</v>
      </c>
      <c r="D106" s="15" t="s">
        <v>75</v>
      </c>
      <c r="E106" s="15" t="s">
        <v>1258</v>
      </c>
      <c r="F106" s="15"/>
      <c r="G106" s="15"/>
      <c r="H106" s="15"/>
      <c r="I106" s="15"/>
      <c r="J106" s="15"/>
      <c r="K106" s="15" t="s">
        <v>16</v>
      </c>
      <c r="L106" s="15"/>
      <c r="M106" s="15"/>
      <c r="N106" s="16"/>
    </row>
    <row r="107" spans="1:14" x14ac:dyDescent="0.25">
      <c r="A107" s="13"/>
      <c r="B107" s="35" t="s">
        <v>1377</v>
      </c>
      <c r="C107" s="42" t="s">
        <v>12</v>
      </c>
      <c r="D107" s="15" t="s">
        <v>77</v>
      </c>
      <c r="E107" s="15" t="s">
        <v>1260</v>
      </c>
      <c r="F107" s="15"/>
      <c r="G107" s="15"/>
      <c r="H107" s="15"/>
      <c r="I107" s="15"/>
      <c r="J107" s="15"/>
      <c r="K107" s="15" t="s">
        <v>16</v>
      </c>
      <c r="L107" s="15"/>
      <c r="M107" s="15"/>
      <c r="N107" s="16"/>
    </row>
    <row r="108" spans="1:14" x14ac:dyDescent="0.25">
      <c r="A108" s="13"/>
      <c r="B108" s="35" t="s">
        <v>1375</v>
      </c>
      <c r="C108" s="42" t="s">
        <v>12</v>
      </c>
      <c r="D108" s="15" t="s">
        <v>80</v>
      </c>
      <c r="E108" s="15" t="s">
        <v>1262</v>
      </c>
      <c r="F108" s="15"/>
      <c r="G108" s="15"/>
      <c r="H108" s="15"/>
      <c r="I108" s="15"/>
      <c r="J108" s="15"/>
      <c r="K108" s="15" t="s">
        <v>16</v>
      </c>
      <c r="L108" s="15"/>
      <c r="M108" s="15"/>
      <c r="N108" s="16"/>
    </row>
    <row r="109" spans="1:14" x14ac:dyDescent="0.25">
      <c r="A109" s="13"/>
      <c r="B109" s="35" t="s">
        <v>1373</v>
      </c>
      <c r="C109" s="42" t="s">
        <v>12</v>
      </c>
      <c r="D109" s="15" t="s">
        <v>84</v>
      </c>
      <c r="E109" s="15" t="s">
        <v>1264</v>
      </c>
      <c r="F109" s="15"/>
      <c r="G109" s="15"/>
      <c r="H109" s="15"/>
      <c r="I109" s="15"/>
      <c r="J109" s="15"/>
      <c r="K109" s="15" t="s">
        <v>16</v>
      </c>
      <c r="L109" s="15"/>
      <c r="M109" s="15"/>
      <c r="N109" s="16"/>
    </row>
    <row r="110" spans="1:14" x14ac:dyDescent="0.25">
      <c r="A110" s="13"/>
      <c r="B110" s="35" t="s">
        <v>1371</v>
      </c>
      <c r="C110" s="42" t="s">
        <v>12</v>
      </c>
      <c r="D110" s="15" t="s">
        <v>123</v>
      </c>
      <c r="E110" s="15" t="s">
        <v>1266</v>
      </c>
      <c r="F110" s="15"/>
      <c r="G110" s="15"/>
      <c r="H110" s="15"/>
      <c r="I110" s="15"/>
      <c r="J110" s="15"/>
      <c r="K110" s="15" t="s">
        <v>16</v>
      </c>
      <c r="L110" s="15"/>
      <c r="M110" s="15"/>
      <c r="N110" s="16"/>
    </row>
    <row r="111" spans="1:14" x14ac:dyDescent="0.25">
      <c r="A111" s="13"/>
      <c r="B111" s="35" t="s">
        <v>2397</v>
      </c>
      <c r="C111" s="42" t="s">
        <v>12</v>
      </c>
      <c r="D111" s="15" t="s">
        <v>212</v>
      </c>
      <c r="E111" s="15" t="s">
        <v>1269</v>
      </c>
      <c r="F111" s="15" t="s">
        <v>2395</v>
      </c>
      <c r="G111" s="15"/>
      <c r="H111" s="15"/>
      <c r="I111" s="15"/>
      <c r="J111" s="15" t="s">
        <v>2283</v>
      </c>
      <c r="K111" s="15" t="s">
        <v>16</v>
      </c>
      <c r="L111" s="15" t="s">
        <v>2265</v>
      </c>
      <c r="M111" s="15"/>
      <c r="N111" s="16"/>
    </row>
    <row r="112" spans="1:14" x14ac:dyDescent="0.25">
      <c r="A112" s="13"/>
      <c r="B112" s="35" t="s">
        <v>1369</v>
      </c>
      <c r="C112" s="42" t="s">
        <v>12</v>
      </c>
      <c r="D112" s="15" t="s">
        <v>214</v>
      </c>
      <c r="E112" s="15" t="s">
        <v>1271</v>
      </c>
      <c r="F112" s="15" t="s">
        <v>2395</v>
      </c>
      <c r="G112" s="15"/>
      <c r="H112" s="15"/>
      <c r="I112" s="15"/>
      <c r="J112" s="15" t="s">
        <v>2283</v>
      </c>
      <c r="K112" s="15" t="s">
        <v>16</v>
      </c>
      <c r="L112" s="15" t="s">
        <v>2396</v>
      </c>
      <c r="M112" s="15"/>
      <c r="N112" s="16"/>
    </row>
    <row r="113" spans="1:14" x14ac:dyDescent="0.25">
      <c r="A113" s="13"/>
      <c r="B113" s="35" t="s">
        <v>1367</v>
      </c>
      <c r="C113" s="42" t="s">
        <v>12</v>
      </c>
      <c r="D113" s="15" t="s">
        <v>216</v>
      </c>
      <c r="E113" s="15" t="s">
        <v>1273</v>
      </c>
      <c r="F113" s="15"/>
      <c r="G113" s="15"/>
      <c r="H113" s="15"/>
      <c r="I113" s="15"/>
      <c r="J113" s="15"/>
      <c r="K113" s="15" t="s">
        <v>16</v>
      </c>
      <c r="L113" s="15"/>
      <c r="M113" s="15"/>
      <c r="N113" s="16"/>
    </row>
    <row r="114" spans="1:14" x14ac:dyDescent="0.25">
      <c r="A114" s="13"/>
      <c r="B114" s="35" t="s">
        <v>782</v>
      </c>
      <c r="C114" s="42" t="s">
        <v>12</v>
      </c>
      <c r="D114" s="15" t="s">
        <v>218</v>
      </c>
      <c r="E114" s="15" t="s">
        <v>1275</v>
      </c>
      <c r="F114" s="15"/>
      <c r="G114" s="15"/>
      <c r="H114" s="15"/>
      <c r="I114" s="15"/>
      <c r="J114" s="15"/>
      <c r="K114" s="15" t="s">
        <v>16</v>
      </c>
      <c r="L114" s="15"/>
      <c r="M114" s="15"/>
      <c r="N114" s="16"/>
    </row>
    <row r="115" spans="1:14" x14ac:dyDescent="0.25">
      <c r="A115" s="20"/>
      <c r="B115" s="35" t="s">
        <v>2809</v>
      </c>
      <c r="C115" s="42" t="s">
        <v>12</v>
      </c>
      <c r="D115" s="15" t="s">
        <v>220</v>
      </c>
      <c r="E115" s="15" t="s">
        <v>1277</v>
      </c>
      <c r="F115" s="15"/>
      <c r="G115" s="15"/>
      <c r="H115" s="15"/>
      <c r="I115" s="15"/>
      <c r="J115" s="15" t="s">
        <v>2795</v>
      </c>
      <c r="K115" s="15" t="s">
        <v>926</v>
      </c>
      <c r="L115" s="15" t="s">
        <v>2284</v>
      </c>
      <c r="M115" s="15"/>
      <c r="N115" s="16"/>
    </row>
    <row r="116" spans="1:14" x14ac:dyDescent="0.25">
      <c r="A116" s="13"/>
      <c r="B116" s="35" t="s">
        <v>2963</v>
      </c>
      <c r="C116" s="42" t="s">
        <v>12</v>
      </c>
      <c r="D116" s="15" t="s">
        <v>222</v>
      </c>
      <c r="E116" s="15" t="s">
        <v>1279</v>
      </c>
      <c r="F116" s="15"/>
      <c r="G116" s="15"/>
      <c r="H116" s="15"/>
      <c r="I116" s="15"/>
      <c r="J116" s="15" t="s">
        <v>2891</v>
      </c>
      <c r="K116" s="15" t="s">
        <v>16</v>
      </c>
      <c r="L116" s="15" t="s">
        <v>2402</v>
      </c>
      <c r="M116" s="15"/>
      <c r="N116" s="16"/>
    </row>
    <row r="117" spans="1:14" x14ac:dyDescent="0.25">
      <c r="A117" s="13"/>
      <c r="B117" s="35" t="s">
        <v>2965</v>
      </c>
      <c r="C117" s="42" t="s">
        <v>12</v>
      </c>
      <c r="D117" s="15" t="s">
        <v>224</v>
      </c>
      <c r="E117" s="15" t="s">
        <v>1281</v>
      </c>
      <c r="F117" s="15"/>
      <c r="G117" s="15"/>
      <c r="H117" s="15"/>
      <c r="I117" s="15"/>
      <c r="J117" s="15" t="s">
        <v>2891</v>
      </c>
      <c r="K117" s="15" t="s">
        <v>16</v>
      </c>
      <c r="L117" s="15" t="s">
        <v>2405</v>
      </c>
      <c r="M117" s="15"/>
      <c r="N117" s="16"/>
    </row>
    <row r="118" spans="1:14" x14ac:dyDescent="0.25">
      <c r="A118" s="13"/>
      <c r="B118" s="35" t="s">
        <v>2964</v>
      </c>
      <c r="C118" s="42" t="s">
        <v>12</v>
      </c>
      <c r="D118" s="15" t="s">
        <v>226</v>
      </c>
      <c r="E118" s="15" t="s">
        <v>1283</v>
      </c>
      <c r="F118" s="15"/>
      <c r="G118" s="15"/>
      <c r="H118" s="15"/>
      <c r="I118" s="15"/>
      <c r="J118" s="15" t="s">
        <v>2891</v>
      </c>
      <c r="K118" s="15" t="s">
        <v>16</v>
      </c>
      <c r="L118" s="15" t="s">
        <v>2402</v>
      </c>
      <c r="M118" s="15"/>
      <c r="N118" s="16"/>
    </row>
    <row r="119" spans="1:14" x14ac:dyDescent="0.25">
      <c r="A119" s="13"/>
      <c r="B119" s="35" t="s">
        <v>2962</v>
      </c>
      <c r="C119" s="42" t="s">
        <v>12</v>
      </c>
      <c r="D119" s="15" t="s">
        <v>228</v>
      </c>
      <c r="E119" s="15" t="s">
        <v>1285</v>
      </c>
      <c r="F119" s="15"/>
      <c r="G119" s="15"/>
      <c r="H119" s="15"/>
      <c r="I119" s="15"/>
      <c r="J119" s="15" t="s">
        <v>2891</v>
      </c>
      <c r="K119" s="15" t="s">
        <v>16</v>
      </c>
      <c r="L119" s="15" t="s">
        <v>2402</v>
      </c>
      <c r="M119" s="15"/>
      <c r="N119" s="16"/>
    </row>
    <row r="120" spans="1:14" x14ac:dyDescent="0.25">
      <c r="A120" s="13"/>
      <c r="B120" s="35" t="s">
        <v>2961</v>
      </c>
      <c r="C120" s="42" t="s">
        <v>12</v>
      </c>
      <c r="D120" s="15" t="s">
        <v>230</v>
      </c>
      <c r="E120" s="15" t="s">
        <v>1287</v>
      </c>
      <c r="F120" s="15"/>
      <c r="G120" s="15"/>
      <c r="H120" s="15"/>
      <c r="I120" s="15"/>
      <c r="J120" s="15" t="s">
        <v>2891</v>
      </c>
      <c r="K120" s="15" t="s">
        <v>16</v>
      </c>
      <c r="L120" s="15" t="s">
        <v>2394</v>
      </c>
      <c r="M120" s="15"/>
      <c r="N120" s="16"/>
    </row>
    <row r="121" spans="1:14" x14ac:dyDescent="0.25">
      <c r="A121" s="13"/>
      <c r="B121" s="35" t="s">
        <v>1362</v>
      </c>
      <c r="C121" s="42" t="s">
        <v>12</v>
      </c>
      <c r="D121" s="15" t="s">
        <v>232</v>
      </c>
      <c r="E121" s="15" t="s">
        <v>1289</v>
      </c>
      <c r="F121" s="15"/>
      <c r="G121" s="15"/>
      <c r="H121" s="15"/>
      <c r="I121" s="15"/>
      <c r="J121" s="15"/>
      <c r="K121" s="15" t="s">
        <v>16</v>
      </c>
      <c r="L121" s="15"/>
      <c r="M121" s="15"/>
      <c r="N121" s="16"/>
    </row>
    <row r="122" spans="1:14" x14ac:dyDescent="0.25">
      <c r="A122" s="13"/>
      <c r="B122" s="35" t="s">
        <v>1360</v>
      </c>
      <c r="C122" s="42" t="s">
        <v>12</v>
      </c>
      <c r="D122" s="15" t="s">
        <v>234</v>
      </c>
      <c r="E122" s="15" t="s">
        <v>1291</v>
      </c>
      <c r="F122" s="15"/>
      <c r="G122" s="15"/>
      <c r="H122" s="15"/>
      <c r="I122" s="15"/>
      <c r="J122" s="15"/>
      <c r="K122" s="15" t="s">
        <v>16</v>
      </c>
      <c r="L122" s="15"/>
      <c r="M122" s="15"/>
      <c r="N122" s="16"/>
    </row>
    <row r="123" spans="1:14" x14ac:dyDescent="0.25">
      <c r="A123" s="13"/>
      <c r="B123" s="35" t="s">
        <v>1356</v>
      </c>
      <c r="C123" s="42" t="s">
        <v>12</v>
      </c>
      <c r="D123" s="15" t="s">
        <v>236</v>
      </c>
      <c r="E123" s="15" t="s">
        <v>1293</v>
      </c>
      <c r="F123" s="15"/>
      <c r="G123" s="15"/>
      <c r="H123" s="15"/>
      <c r="I123" s="15"/>
      <c r="J123" s="15"/>
      <c r="K123" s="15" t="s">
        <v>16</v>
      </c>
      <c r="L123" s="15"/>
      <c r="M123" s="15"/>
      <c r="N123" s="16"/>
    </row>
    <row r="124" spans="1:14" x14ac:dyDescent="0.25">
      <c r="A124" s="13"/>
      <c r="B124" s="35" t="s">
        <v>1358</v>
      </c>
      <c r="C124" s="42" t="s">
        <v>12</v>
      </c>
      <c r="D124" s="15" t="s">
        <v>238</v>
      </c>
      <c r="E124" s="15" t="s">
        <v>1295</v>
      </c>
      <c r="F124" s="15"/>
      <c r="G124" s="15"/>
      <c r="H124" s="15"/>
      <c r="I124" s="15"/>
      <c r="J124" s="15"/>
      <c r="K124" s="15" t="s">
        <v>16</v>
      </c>
      <c r="L124" s="15"/>
      <c r="M124" s="15"/>
      <c r="N124" s="16"/>
    </row>
    <row r="125" spans="1:14" s="11" customFormat="1" x14ac:dyDescent="0.25">
      <c r="A125" s="13"/>
      <c r="B125" s="35" t="s">
        <v>1354</v>
      </c>
      <c r="C125" s="42" t="s">
        <v>12</v>
      </c>
      <c r="D125" s="15" t="s">
        <v>240</v>
      </c>
      <c r="E125" s="15" t="s">
        <v>1297</v>
      </c>
      <c r="F125" s="15"/>
      <c r="G125" s="15"/>
      <c r="H125" s="15"/>
      <c r="I125" s="15"/>
      <c r="J125" s="15"/>
      <c r="K125" s="15" t="s">
        <v>16</v>
      </c>
      <c r="L125" s="15"/>
      <c r="M125" s="15"/>
      <c r="N125" s="16"/>
    </row>
    <row r="126" spans="1:14" x14ac:dyDescent="0.25">
      <c r="A126" s="20"/>
      <c r="B126" s="35" t="s">
        <v>2882</v>
      </c>
      <c r="C126" s="42" t="s">
        <v>12</v>
      </c>
      <c r="D126" s="15" t="s">
        <v>334</v>
      </c>
      <c r="E126" s="15" t="s">
        <v>1299</v>
      </c>
      <c r="F126" s="15"/>
      <c r="G126" s="15"/>
      <c r="H126" s="15"/>
      <c r="I126" s="15"/>
      <c r="J126" s="15" t="s">
        <v>2828</v>
      </c>
      <c r="K126" s="15" t="s">
        <v>16</v>
      </c>
      <c r="L126" s="15" t="s">
        <v>2284</v>
      </c>
      <c r="M126" s="15"/>
      <c r="N126" s="16"/>
    </row>
    <row r="127" spans="1:14" x14ac:dyDescent="0.25">
      <c r="A127" s="20"/>
      <c r="B127" s="35" t="s">
        <v>2881</v>
      </c>
      <c r="C127" s="42" t="s">
        <v>12</v>
      </c>
      <c r="D127" s="15" t="s">
        <v>337</v>
      </c>
      <c r="E127" s="15" t="s">
        <v>1301</v>
      </c>
      <c r="F127" s="15"/>
      <c r="G127" s="15"/>
      <c r="H127" s="15"/>
      <c r="I127" s="15"/>
      <c r="J127" s="15" t="s">
        <v>2828</v>
      </c>
      <c r="K127" s="15" t="s">
        <v>16</v>
      </c>
      <c r="L127" s="15" t="s">
        <v>2402</v>
      </c>
      <c r="M127" s="15"/>
      <c r="N127" s="16"/>
    </row>
    <row r="128" spans="1:14" x14ac:dyDescent="0.25">
      <c r="A128" s="20"/>
      <c r="B128" s="35" t="s">
        <v>2883</v>
      </c>
      <c r="C128" s="42" t="s">
        <v>12</v>
      </c>
      <c r="D128" s="15" t="s">
        <v>340</v>
      </c>
      <c r="E128" s="15" t="s">
        <v>1303</v>
      </c>
      <c r="F128" s="15"/>
      <c r="G128" s="15"/>
      <c r="H128" s="15"/>
      <c r="I128" s="15"/>
      <c r="J128" s="15" t="s">
        <v>2828</v>
      </c>
      <c r="K128" s="15" t="s">
        <v>16</v>
      </c>
      <c r="L128" s="15" t="s">
        <v>2405</v>
      </c>
      <c r="M128" s="15"/>
      <c r="N128" s="16"/>
    </row>
    <row r="129" spans="1:14" x14ac:dyDescent="0.25">
      <c r="A129" s="13"/>
      <c r="B129" s="35" t="s">
        <v>1352</v>
      </c>
      <c r="C129" s="42" t="s">
        <v>12</v>
      </c>
      <c r="D129" s="15" t="s">
        <v>343</v>
      </c>
      <c r="E129" s="15" t="s">
        <v>1305</v>
      </c>
      <c r="F129" s="15"/>
      <c r="G129" s="15"/>
      <c r="H129" s="15"/>
      <c r="I129" s="15"/>
      <c r="J129" s="15"/>
      <c r="K129" s="15" t="s">
        <v>16</v>
      </c>
      <c r="L129" s="15"/>
      <c r="M129" s="15"/>
      <c r="N129" s="16"/>
    </row>
    <row r="130" spans="1:14" x14ac:dyDescent="0.25">
      <c r="A130" s="13"/>
      <c r="B130" s="35" t="s">
        <v>1350</v>
      </c>
      <c r="C130" s="42" t="s">
        <v>12</v>
      </c>
      <c r="D130" s="15" t="s">
        <v>345</v>
      </c>
      <c r="E130" s="15" t="s">
        <v>1307</v>
      </c>
      <c r="F130" s="15"/>
      <c r="G130" s="15"/>
      <c r="H130" s="15"/>
      <c r="I130" s="15"/>
      <c r="J130" s="15" t="s">
        <v>2950</v>
      </c>
      <c r="K130" s="15" t="s">
        <v>16</v>
      </c>
      <c r="L130" s="15" t="s">
        <v>2263</v>
      </c>
      <c r="M130" s="15"/>
      <c r="N130" s="16"/>
    </row>
    <row r="131" spans="1:14" x14ac:dyDescent="0.25">
      <c r="A131" s="13"/>
      <c r="B131" s="35" t="s">
        <v>1348</v>
      </c>
      <c r="C131" s="42" t="s">
        <v>12</v>
      </c>
      <c r="D131" s="15" t="s">
        <v>348</v>
      </c>
      <c r="E131" s="15" t="s">
        <v>1309</v>
      </c>
      <c r="F131" s="15"/>
      <c r="G131" s="15"/>
      <c r="H131" s="15"/>
      <c r="I131" s="15"/>
      <c r="J131" s="15" t="s">
        <v>2950</v>
      </c>
      <c r="K131" s="15" t="s">
        <v>16</v>
      </c>
      <c r="L131" s="15" t="s">
        <v>2393</v>
      </c>
      <c r="M131" s="15"/>
      <c r="N131" s="16"/>
    </row>
    <row r="132" spans="1:14" x14ac:dyDescent="0.25">
      <c r="A132" s="13"/>
      <c r="B132" s="35" t="s">
        <v>1346</v>
      </c>
      <c r="C132" s="42" t="s">
        <v>12</v>
      </c>
      <c r="D132" s="15" t="s">
        <v>351</v>
      </c>
      <c r="E132" s="15" t="s">
        <v>1311</v>
      </c>
      <c r="F132" s="15"/>
      <c r="G132" s="15"/>
      <c r="H132" s="15"/>
      <c r="I132" s="15"/>
      <c r="J132" s="15" t="s">
        <v>2398</v>
      </c>
      <c r="K132" s="15" t="s">
        <v>16</v>
      </c>
      <c r="L132" s="15" t="s">
        <v>2256</v>
      </c>
      <c r="M132" s="15"/>
      <c r="N132" s="16"/>
    </row>
    <row r="133" spans="1:14" x14ac:dyDescent="0.25">
      <c r="A133" s="13"/>
      <c r="B133" s="35" t="s">
        <v>1344</v>
      </c>
      <c r="C133" s="42" t="s">
        <v>12</v>
      </c>
      <c r="D133" s="15" t="s">
        <v>431</v>
      </c>
      <c r="E133" s="15" t="s">
        <v>1313</v>
      </c>
      <c r="F133" s="15"/>
      <c r="G133" s="15"/>
      <c r="H133" s="15"/>
      <c r="I133" s="15"/>
      <c r="J133" s="15"/>
      <c r="K133" s="15" t="s">
        <v>16</v>
      </c>
      <c r="L133" s="15"/>
      <c r="M133" s="15"/>
      <c r="N133" s="16"/>
    </row>
    <row r="134" spans="1:14" x14ac:dyDescent="0.25">
      <c r="A134" s="13"/>
      <c r="B134" s="35" t="s">
        <v>1342</v>
      </c>
      <c r="C134" s="42" t="s">
        <v>12</v>
      </c>
      <c r="D134" s="15" t="s">
        <v>434</v>
      </c>
      <c r="E134" s="15" t="s">
        <v>1315</v>
      </c>
      <c r="F134" s="15"/>
      <c r="G134" s="15"/>
      <c r="H134" s="15"/>
      <c r="I134" s="15"/>
      <c r="J134" s="15"/>
      <c r="K134" s="15" t="s">
        <v>16</v>
      </c>
      <c r="L134" s="15"/>
      <c r="M134" s="15"/>
      <c r="N134" s="16"/>
    </row>
    <row r="135" spans="1:14" x14ac:dyDescent="0.25">
      <c r="A135" s="13"/>
      <c r="B135" s="35" t="s">
        <v>1340</v>
      </c>
      <c r="C135" s="42" t="s">
        <v>12</v>
      </c>
      <c r="D135" s="15" t="s">
        <v>437</v>
      </c>
      <c r="E135" s="15" t="s">
        <v>1317</v>
      </c>
      <c r="F135" s="15"/>
      <c r="G135" s="15"/>
      <c r="H135" s="15"/>
      <c r="I135" s="15"/>
      <c r="J135" s="15" t="s">
        <v>2950</v>
      </c>
      <c r="K135" s="15" t="s">
        <v>16</v>
      </c>
      <c r="L135" s="15" t="s">
        <v>2263</v>
      </c>
      <c r="M135" s="15"/>
      <c r="N135" s="16"/>
    </row>
    <row r="136" spans="1:14" x14ac:dyDescent="0.25">
      <c r="A136" s="13"/>
      <c r="B136" s="35" t="s">
        <v>1338</v>
      </c>
      <c r="C136" s="42" t="s">
        <v>12</v>
      </c>
      <c r="D136" s="15" t="s">
        <v>440</v>
      </c>
      <c r="E136" s="15" t="s">
        <v>1319</v>
      </c>
      <c r="F136" s="15"/>
      <c r="G136" s="15"/>
      <c r="H136" s="15"/>
      <c r="I136" s="15"/>
      <c r="J136" s="15"/>
      <c r="K136" s="15" t="s">
        <v>16</v>
      </c>
      <c r="L136" s="15"/>
      <c r="M136" s="15"/>
      <c r="N136" s="16"/>
    </row>
    <row r="137" spans="1:14" x14ac:dyDescent="0.25">
      <c r="A137" s="13"/>
      <c r="B137" s="35" t="s">
        <v>1336</v>
      </c>
      <c r="C137" s="42" t="s">
        <v>12</v>
      </c>
      <c r="D137" s="15" t="s">
        <v>443</v>
      </c>
      <c r="E137" s="15" t="s">
        <v>1321</v>
      </c>
      <c r="F137" s="15"/>
      <c r="G137" s="15"/>
      <c r="H137" s="15"/>
      <c r="I137" s="15"/>
      <c r="J137" s="15"/>
      <c r="K137" s="15" t="s">
        <v>16</v>
      </c>
      <c r="L137" s="15"/>
      <c r="M137" s="15"/>
      <c r="N137" s="16"/>
    </row>
    <row r="138" spans="1:14" x14ac:dyDescent="0.25">
      <c r="A138" s="20"/>
      <c r="B138" s="35" t="s">
        <v>1467</v>
      </c>
      <c r="C138" s="42" t="s">
        <v>88</v>
      </c>
      <c r="D138" s="15" t="s">
        <v>446</v>
      </c>
      <c r="E138" s="15" t="s">
        <v>1323</v>
      </c>
      <c r="F138" s="15"/>
      <c r="G138" s="15"/>
      <c r="H138" s="15"/>
      <c r="I138" s="15"/>
      <c r="J138" s="15" t="s">
        <v>4583</v>
      </c>
      <c r="K138" s="15" t="s">
        <v>16</v>
      </c>
      <c r="L138" s="15" t="s">
        <v>2405</v>
      </c>
      <c r="M138" s="15"/>
      <c r="N138" s="16"/>
    </row>
    <row r="139" spans="1:14" x14ac:dyDescent="0.25">
      <c r="A139" s="20"/>
      <c r="B139" s="35" t="s">
        <v>1464</v>
      </c>
      <c r="C139" s="42" t="s">
        <v>88</v>
      </c>
      <c r="D139" s="15" t="s">
        <v>449</v>
      </c>
      <c r="E139" s="15" t="s">
        <v>1325</v>
      </c>
      <c r="F139" s="15"/>
      <c r="G139" s="15"/>
      <c r="H139" s="15"/>
      <c r="I139" s="15"/>
      <c r="J139" s="15" t="s">
        <v>4583</v>
      </c>
      <c r="K139" s="15" t="s">
        <v>16</v>
      </c>
      <c r="L139" s="15" t="s">
        <v>2284</v>
      </c>
      <c r="M139" s="15"/>
      <c r="N139" s="16"/>
    </row>
    <row r="140" spans="1:14" x14ac:dyDescent="0.25">
      <c r="A140" s="20"/>
      <c r="B140" s="35" t="s">
        <v>1520</v>
      </c>
      <c r="C140" s="42" t="s">
        <v>88</v>
      </c>
      <c r="D140" s="15" t="s">
        <v>452</v>
      </c>
      <c r="E140" s="15" t="s">
        <v>1327</v>
      </c>
      <c r="F140" s="15"/>
      <c r="G140" s="15"/>
      <c r="H140" s="15"/>
      <c r="I140" s="15"/>
      <c r="J140" s="15"/>
      <c r="K140" s="15" t="s">
        <v>16</v>
      </c>
      <c r="L140" s="15"/>
      <c r="M140" s="15"/>
      <c r="N140" s="16"/>
    </row>
    <row r="141" spans="1:14" x14ac:dyDescent="0.25">
      <c r="A141" s="20"/>
      <c r="B141" s="35" t="s">
        <v>1517</v>
      </c>
      <c r="C141" s="42" t="s">
        <v>88</v>
      </c>
      <c r="D141" s="15" t="s">
        <v>455</v>
      </c>
      <c r="E141" s="15" t="s">
        <v>1329</v>
      </c>
      <c r="F141" s="15"/>
      <c r="G141" s="15"/>
      <c r="H141" s="15"/>
      <c r="I141" s="15"/>
      <c r="J141" s="15"/>
      <c r="K141" s="15" t="s">
        <v>16</v>
      </c>
      <c r="L141" s="15"/>
      <c r="M141" s="15"/>
      <c r="N141" s="16"/>
    </row>
    <row r="142" spans="1:14" x14ac:dyDescent="0.25">
      <c r="A142" s="20"/>
      <c r="B142" s="35" t="s">
        <v>1514</v>
      </c>
      <c r="C142" s="42" t="s">
        <v>88</v>
      </c>
      <c r="D142" s="15" t="s">
        <v>458</v>
      </c>
      <c r="E142" s="15" t="s">
        <v>1331</v>
      </c>
      <c r="F142" s="15"/>
      <c r="G142" s="15"/>
      <c r="H142" s="15"/>
      <c r="I142" s="15"/>
      <c r="J142" s="15" t="s">
        <v>2399</v>
      </c>
      <c r="K142" s="15" t="s">
        <v>16</v>
      </c>
      <c r="L142" s="15" t="s">
        <v>2401</v>
      </c>
      <c r="M142" s="15"/>
      <c r="N142" s="16"/>
    </row>
    <row r="143" spans="1:14" x14ac:dyDescent="0.25">
      <c r="A143" s="20"/>
      <c r="B143" s="35" t="s">
        <v>1511</v>
      </c>
      <c r="C143" s="42" t="s">
        <v>88</v>
      </c>
      <c r="D143" s="15" t="s">
        <v>461</v>
      </c>
      <c r="E143" s="15" t="s">
        <v>1333</v>
      </c>
      <c r="F143" s="15"/>
      <c r="G143" s="15"/>
      <c r="H143" s="15"/>
      <c r="I143" s="15"/>
      <c r="J143" s="15" t="s">
        <v>2400</v>
      </c>
      <c r="K143" s="15" t="s">
        <v>16</v>
      </c>
      <c r="L143" s="15" t="s">
        <v>2231</v>
      </c>
      <c r="M143" s="15"/>
      <c r="N143" s="16"/>
    </row>
    <row r="144" spans="1:14" x14ac:dyDescent="0.25">
      <c r="A144" s="20"/>
      <c r="B144" s="35" t="s">
        <v>1506</v>
      </c>
      <c r="C144" s="42" t="s">
        <v>88</v>
      </c>
      <c r="D144" s="15" t="s">
        <v>464</v>
      </c>
      <c r="E144" s="15" t="s">
        <v>1335</v>
      </c>
      <c r="F144" s="15"/>
      <c r="G144" s="15"/>
      <c r="H144" s="15"/>
      <c r="I144" s="15"/>
      <c r="J144" s="15" t="s">
        <v>2400</v>
      </c>
      <c r="K144" s="15" t="s">
        <v>16</v>
      </c>
      <c r="L144" s="15" t="s">
        <v>2405</v>
      </c>
      <c r="M144" s="15"/>
      <c r="N144" s="16"/>
    </row>
    <row r="145" spans="1:14" x14ac:dyDescent="0.25">
      <c r="A145" s="20"/>
      <c r="B145" s="35" t="s">
        <v>1503</v>
      </c>
      <c r="C145" s="42" t="s">
        <v>88</v>
      </c>
      <c r="D145" s="15" t="s">
        <v>467</v>
      </c>
      <c r="E145" s="15" t="s">
        <v>1337</v>
      </c>
      <c r="F145" s="15"/>
      <c r="G145" s="15"/>
      <c r="H145" s="15"/>
      <c r="I145" s="15"/>
      <c r="J145" s="15"/>
      <c r="K145" s="15" t="s">
        <v>16</v>
      </c>
      <c r="L145" s="15"/>
      <c r="M145" s="15"/>
      <c r="N145" s="16"/>
    </row>
    <row r="146" spans="1:14" x14ac:dyDescent="0.25">
      <c r="A146" s="20"/>
      <c r="B146" s="35" t="s">
        <v>1500</v>
      </c>
      <c r="C146" s="42" t="s">
        <v>88</v>
      </c>
      <c r="D146" s="15" t="s">
        <v>470</v>
      </c>
      <c r="E146" s="15" t="s">
        <v>1339</v>
      </c>
      <c r="F146" s="15"/>
      <c r="G146" s="15"/>
      <c r="H146" s="15"/>
      <c r="I146" s="15"/>
      <c r="J146" s="15" t="s">
        <v>3311</v>
      </c>
      <c r="K146" s="15" t="s">
        <v>16</v>
      </c>
      <c r="L146" s="15" t="s">
        <v>2405</v>
      </c>
      <c r="M146" s="15"/>
      <c r="N146" s="16"/>
    </row>
    <row r="147" spans="1:14" x14ac:dyDescent="0.25">
      <c r="A147" s="20"/>
      <c r="B147" s="35" t="s">
        <v>1497</v>
      </c>
      <c r="C147" s="42" t="s">
        <v>88</v>
      </c>
      <c r="D147" s="15" t="s">
        <v>473</v>
      </c>
      <c r="E147" s="15" t="s">
        <v>1341</v>
      </c>
      <c r="F147" s="15"/>
      <c r="G147" s="15"/>
      <c r="H147" s="15"/>
      <c r="I147" s="15"/>
      <c r="J147" s="15" t="s">
        <v>2399</v>
      </c>
      <c r="K147" s="15" t="s">
        <v>16</v>
      </c>
      <c r="L147" s="15" t="s">
        <v>2402</v>
      </c>
      <c r="M147" s="15"/>
      <c r="N147" s="16"/>
    </row>
    <row r="148" spans="1:14" x14ac:dyDescent="0.25">
      <c r="A148" s="20"/>
      <c r="B148" s="35" t="s">
        <v>1494</v>
      </c>
      <c r="C148" s="42" t="s">
        <v>88</v>
      </c>
      <c r="D148" s="15" t="s">
        <v>476</v>
      </c>
      <c r="E148" s="15" t="s">
        <v>1343</v>
      </c>
      <c r="F148" s="15"/>
      <c r="G148" s="15"/>
      <c r="H148" s="15"/>
      <c r="I148" s="15"/>
      <c r="J148" s="15" t="s">
        <v>2399</v>
      </c>
      <c r="K148" s="15" t="s">
        <v>16</v>
      </c>
      <c r="L148" s="15" t="s">
        <v>2254</v>
      </c>
      <c r="M148" s="15"/>
      <c r="N148" s="16"/>
    </row>
    <row r="149" spans="1:14" x14ac:dyDescent="0.25">
      <c r="A149" s="20"/>
      <c r="B149" s="35" t="s">
        <v>2413</v>
      </c>
      <c r="C149" s="42" t="s">
        <v>88</v>
      </c>
      <c r="D149" s="15" t="s">
        <v>479</v>
      </c>
      <c r="E149" s="15" t="s">
        <v>1345</v>
      </c>
      <c r="F149" s="15"/>
      <c r="G149" s="15"/>
      <c r="H149" s="15"/>
      <c r="I149" s="15"/>
      <c r="J149" s="15" t="s">
        <v>2399</v>
      </c>
      <c r="K149" s="15" t="s">
        <v>16</v>
      </c>
      <c r="L149" s="15" t="s">
        <v>2405</v>
      </c>
      <c r="M149" s="15"/>
      <c r="N149" s="16"/>
    </row>
    <row r="150" spans="1:14" x14ac:dyDescent="0.25">
      <c r="A150" s="20"/>
      <c r="B150" s="35" t="s">
        <v>2410</v>
      </c>
      <c r="C150" s="42" t="s">
        <v>88</v>
      </c>
      <c r="D150" s="15" t="s">
        <v>482</v>
      </c>
      <c r="E150" s="15" t="s">
        <v>1347</v>
      </c>
      <c r="F150" s="15"/>
      <c r="G150" s="15"/>
      <c r="H150" s="15"/>
      <c r="I150" s="15"/>
      <c r="J150" s="15" t="s">
        <v>2399</v>
      </c>
      <c r="K150" s="15" t="s">
        <v>16</v>
      </c>
      <c r="L150" s="15" t="s">
        <v>2411</v>
      </c>
      <c r="M150" s="15"/>
      <c r="N150" s="16"/>
    </row>
    <row r="151" spans="1:14" x14ac:dyDescent="0.25">
      <c r="A151" s="20"/>
      <c r="B151" s="35" t="s">
        <v>1491</v>
      </c>
      <c r="C151" s="42" t="s">
        <v>88</v>
      </c>
      <c r="D151" s="15" t="s">
        <v>485</v>
      </c>
      <c r="E151" s="15" t="s">
        <v>1349</v>
      </c>
      <c r="F151" s="15"/>
      <c r="G151" s="15"/>
      <c r="H151" s="15"/>
      <c r="I151" s="15"/>
      <c r="J151" s="15" t="s">
        <v>2399</v>
      </c>
      <c r="K151" s="15" t="s">
        <v>16</v>
      </c>
      <c r="L151" s="15" t="s">
        <v>2256</v>
      </c>
      <c r="M151" s="15"/>
      <c r="N151" s="16"/>
    </row>
    <row r="152" spans="1:14" x14ac:dyDescent="0.25">
      <c r="A152" s="20"/>
      <c r="B152" s="35" t="s">
        <v>2409</v>
      </c>
      <c r="C152" s="42" t="s">
        <v>88</v>
      </c>
      <c r="D152" s="15" t="s">
        <v>488</v>
      </c>
      <c r="E152" s="15" t="s">
        <v>1351</v>
      </c>
      <c r="F152" s="15"/>
      <c r="G152" s="15"/>
      <c r="H152" s="15"/>
      <c r="I152" s="15"/>
      <c r="J152" s="15" t="s">
        <v>2399</v>
      </c>
      <c r="K152" s="15" t="s">
        <v>16</v>
      </c>
      <c r="L152" s="15" t="s">
        <v>2404</v>
      </c>
      <c r="M152" s="15"/>
      <c r="N152" s="16"/>
    </row>
    <row r="153" spans="1:14" x14ac:dyDescent="0.25">
      <c r="A153" s="20"/>
      <c r="B153" s="35" t="s">
        <v>1488</v>
      </c>
      <c r="C153" s="42" t="s">
        <v>88</v>
      </c>
      <c r="D153" s="15" t="s">
        <v>491</v>
      </c>
      <c r="E153" s="15" t="s">
        <v>1353</v>
      </c>
      <c r="F153" s="15"/>
      <c r="G153" s="15"/>
      <c r="H153" s="15"/>
      <c r="I153" s="15"/>
      <c r="J153" s="15" t="s">
        <v>2399</v>
      </c>
      <c r="K153" s="15" t="s">
        <v>16</v>
      </c>
      <c r="L153" s="15" t="s">
        <v>2257</v>
      </c>
      <c r="M153" s="15"/>
      <c r="N153" s="16"/>
    </row>
    <row r="154" spans="1:14" x14ac:dyDescent="0.25">
      <c r="A154" s="20"/>
      <c r="B154" s="35" t="s">
        <v>1488</v>
      </c>
      <c r="C154" s="42" t="s">
        <v>88</v>
      </c>
      <c r="D154" s="15" t="s">
        <v>494</v>
      </c>
      <c r="E154" s="15" t="s">
        <v>1355</v>
      </c>
      <c r="F154" s="15"/>
      <c r="G154" s="15"/>
      <c r="H154" s="15"/>
      <c r="I154" s="15"/>
      <c r="J154" s="15"/>
      <c r="K154" s="15" t="s">
        <v>16</v>
      </c>
      <c r="L154" s="15"/>
      <c r="M154" s="15"/>
      <c r="N154" s="16"/>
    </row>
    <row r="155" spans="1:14" x14ac:dyDescent="0.25">
      <c r="A155" s="20"/>
      <c r="B155" s="35" t="s">
        <v>1485</v>
      </c>
      <c r="C155" s="42" t="s">
        <v>88</v>
      </c>
      <c r="D155" s="15" t="s">
        <v>497</v>
      </c>
      <c r="E155" s="15" t="s">
        <v>1357</v>
      </c>
      <c r="F155" s="15"/>
      <c r="G155" s="15"/>
      <c r="H155" s="15"/>
      <c r="I155" s="15"/>
      <c r="J155" s="15" t="s">
        <v>2399</v>
      </c>
      <c r="K155" s="15" t="s">
        <v>16</v>
      </c>
      <c r="L155" s="15" t="s">
        <v>2284</v>
      </c>
      <c r="M155" s="15"/>
      <c r="N155" s="16"/>
    </row>
    <row r="156" spans="1:14" x14ac:dyDescent="0.25">
      <c r="A156" s="20"/>
      <c r="B156" s="35" t="s">
        <v>2412</v>
      </c>
      <c r="C156" s="42" t="s">
        <v>88</v>
      </c>
      <c r="D156" s="15" t="s">
        <v>500</v>
      </c>
      <c r="E156" s="15" t="s">
        <v>1359</v>
      </c>
      <c r="F156" s="15"/>
      <c r="G156" s="15"/>
      <c r="H156" s="15"/>
      <c r="I156" s="15"/>
      <c r="J156" s="15" t="s">
        <v>2399</v>
      </c>
      <c r="K156" s="15" t="s">
        <v>16</v>
      </c>
      <c r="L156" s="15" t="s">
        <v>2284</v>
      </c>
      <c r="M156" s="15"/>
      <c r="N156" s="16"/>
    </row>
    <row r="157" spans="1:14" x14ac:dyDescent="0.25">
      <c r="A157" s="20"/>
      <c r="B157" s="35" t="s">
        <v>1482</v>
      </c>
      <c r="C157" s="42" t="s">
        <v>88</v>
      </c>
      <c r="D157" s="15" t="s">
        <v>503</v>
      </c>
      <c r="E157" s="15" t="s">
        <v>1361</v>
      </c>
      <c r="F157" s="15"/>
      <c r="G157" s="15"/>
      <c r="H157" s="15"/>
      <c r="I157" s="15"/>
      <c r="J157" s="15" t="s">
        <v>2399</v>
      </c>
      <c r="K157" s="15" t="s">
        <v>16</v>
      </c>
      <c r="L157" s="15" t="s">
        <v>2233</v>
      </c>
      <c r="M157" s="15"/>
      <c r="N157" s="16"/>
    </row>
    <row r="158" spans="1:14" x14ac:dyDescent="0.25">
      <c r="A158" s="20"/>
      <c r="B158" s="35" t="s">
        <v>1479</v>
      </c>
      <c r="C158" s="42" t="s">
        <v>88</v>
      </c>
      <c r="D158" s="15" t="s">
        <v>506</v>
      </c>
      <c r="E158" s="15" t="s">
        <v>1363</v>
      </c>
      <c r="F158" s="15"/>
      <c r="G158" s="15"/>
      <c r="H158" s="15"/>
      <c r="I158" s="15"/>
      <c r="J158" s="15" t="s">
        <v>2399</v>
      </c>
      <c r="K158" s="15" t="s">
        <v>16</v>
      </c>
      <c r="L158" s="15" t="s">
        <v>2419</v>
      </c>
      <c r="M158" s="15"/>
      <c r="N158" s="16"/>
    </row>
    <row r="159" spans="1:14" x14ac:dyDescent="0.25">
      <c r="A159" s="20"/>
      <c r="B159" s="35" t="s">
        <v>1476</v>
      </c>
      <c r="C159" s="42" t="s">
        <v>88</v>
      </c>
      <c r="D159" s="15" t="s">
        <v>509</v>
      </c>
      <c r="E159" s="15" t="s">
        <v>1365</v>
      </c>
      <c r="F159" s="15"/>
      <c r="G159" s="15"/>
      <c r="H159" s="15"/>
      <c r="I159" s="15"/>
      <c r="J159" s="15" t="s">
        <v>4583</v>
      </c>
      <c r="K159" s="15" t="s">
        <v>16</v>
      </c>
      <c r="L159" s="15" t="s">
        <v>2394</v>
      </c>
      <c r="M159" s="15"/>
      <c r="N159" s="16"/>
    </row>
    <row r="160" spans="1:14" x14ac:dyDescent="0.25">
      <c r="A160" s="20"/>
      <c r="B160" s="35" t="s">
        <v>1473</v>
      </c>
      <c r="C160" s="42" t="s">
        <v>88</v>
      </c>
      <c r="D160" s="15" t="s">
        <v>512</v>
      </c>
      <c r="E160" s="15" t="s">
        <v>1366</v>
      </c>
      <c r="F160" s="15"/>
      <c r="G160" s="15"/>
      <c r="H160" s="15"/>
      <c r="I160" s="15"/>
      <c r="J160" s="15" t="s">
        <v>4583</v>
      </c>
      <c r="K160" s="15" t="s">
        <v>16</v>
      </c>
      <c r="L160" s="15" t="s">
        <v>2404</v>
      </c>
      <c r="M160" s="15"/>
      <c r="N160" s="16"/>
    </row>
    <row r="161" spans="1:14" x14ac:dyDescent="0.25">
      <c r="A161" s="20"/>
      <c r="B161" s="35" t="s">
        <v>1470</v>
      </c>
      <c r="C161" s="42" t="s">
        <v>88</v>
      </c>
      <c r="D161" s="15" t="s">
        <v>515</v>
      </c>
      <c r="E161" s="15" t="s">
        <v>1368</v>
      </c>
      <c r="F161" s="15"/>
      <c r="G161" s="15"/>
      <c r="H161" s="15"/>
      <c r="I161" s="15"/>
      <c r="J161" s="15" t="s">
        <v>4583</v>
      </c>
      <c r="K161" s="15" t="s">
        <v>16</v>
      </c>
      <c r="L161" s="15" t="s">
        <v>2284</v>
      </c>
      <c r="M161" s="15"/>
      <c r="N161" s="16"/>
    </row>
    <row r="162" spans="1:14" x14ac:dyDescent="0.25">
      <c r="A162" s="13"/>
      <c r="B162" s="35" t="s">
        <v>1334</v>
      </c>
      <c r="C162" s="42" t="s">
        <v>12</v>
      </c>
      <c r="D162" s="15" t="s">
        <v>518</v>
      </c>
      <c r="E162" s="15" t="s">
        <v>1370</v>
      </c>
      <c r="F162" s="15"/>
      <c r="G162" s="15"/>
      <c r="H162" s="15"/>
      <c r="I162" s="15"/>
      <c r="J162" s="15" t="s">
        <v>2283</v>
      </c>
      <c r="K162" s="15" t="s">
        <v>16</v>
      </c>
      <c r="L162" s="15" t="s">
        <v>2405</v>
      </c>
      <c r="M162" s="15"/>
      <c r="N162" s="16"/>
    </row>
    <row r="163" spans="1:14" x14ac:dyDescent="0.25">
      <c r="A163" s="13"/>
      <c r="B163" s="35" t="s">
        <v>1332</v>
      </c>
      <c r="C163" s="42" t="s">
        <v>12</v>
      </c>
      <c r="D163" s="15" t="s">
        <v>521</v>
      </c>
      <c r="E163" s="15" t="s">
        <v>1372</v>
      </c>
      <c r="F163" s="15"/>
      <c r="G163" s="15"/>
      <c r="H163" s="15"/>
      <c r="I163" s="15"/>
      <c r="J163" s="15"/>
      <c r="K163" s="15" t="s">
        <v>16</v>
      </c>
      <c r="L163" s="15"/>
      <c r="M163" s="15"/>
      <c r="N163" s="16"/>
    </row>
    <row r="164" spans="1:14" x14ac:dyDescent="0.25">
      <c r="A164" s="13"/>
      <c r="B164" s="35" t="s">
        <v>1330</v>
      </c>
      <c r="C164" s="42" t="s">
        <v>12</v>
      </c>
      <c r="D164" s="15" t="s">
        <v>524</v>
      </c>
      <c r="E164" s="15" t="s">
        <v>1374</v>
      </c>
      <c r="F164" s="15"/>
      <c r="G164" s="15"/>
      <c r="H164" s="15"/>
      <c r="I164" s="15"/>
      <c r="J164" s="15" t="s">
        <v>2283</v>
      </c>
      <c r="K164" s="15" t="s">
        <v>16</v>
      </c>
      <c r="L164" s="15" t="s">
        <v>2394</v>
      </c>
      <c r="M164" s="15"/>
      <c r="N164" s="16"/>
    </row>
    <row r="165" spans="1:14" x14ac:dyDescent="0.25">
      <c r="A165" s="13"/>
      <c r="B165" s="35" t="s">
        <v>1328</v>
      </c>
      <c r="C165" s="42" t="s">
        <v>12</v>
      </c>
      <c r="D165" s="15" t="s">
        <v>527</v>
      </c>
      <c r="E165" s="15" t="s">
        <v>1376</v>
      </c>
      <c r="F165" s="15"/>
      <c r="G165" s="15"/>
      <c r="H165" s="15"/>
      <c r="I165" s="15"/>
      <c r="J165" s="15"/>
      <c r="K165" s="15" t="s">
        <v>16</v>
      </c>
      <c r="L165" s="15"/>
      <c r="M165" s="15"/>
      <c r="N165" s="16"/>
    </row>
    <row r="166" spans="1:14" x14ac:dyDescent="0.25">
      <c r="A166" s="13"/>
      <c r="B166" s="35" t="s">
        <v>1326</v>
      </c>
      <c r="C166" s="42" t="s">
        <v>12</v>
      </c>
      <c r="D166" s="15" t="s">
        <v>530</v>
      </c>
      <c r="E166" s="15" t="s">
        <v>1378</v>
      </c>
      <c r="F166" s="15"/>
      <c r="G166" s="15"/>
      <c r="H166" s="15"/>
      <c r="I166" s="15"/>
      <c r="J166" s="15" t="s">
        <v>2283</v>
      </c>
      <c r="K166" s="15" t="s">
        <v>16</v>
      </c>
      <c r="L166" s="15" t="s">
        <v>2256</v>
      </c>
      <c r="M166" s="15"/>
      <c r="N166" s="16"/>
    </row>
    <row r="167" spans="1:14" x14ac:dyDescent="0.25">
      <c r="A167" s="13"/>
      <c r="B167" s="35" t="s">
        <v>1324</v>
      </c>
      <c r="C167" s="42" t="s">
        <v>88</v>
      </c>
      <c r="D167" s="15" t="s">
        <v>533</v>
      </c>
      <c r="E167" s="15" t="s">
        <v>1380</v>
      </c>
      <c r="F167" s="15"/>
      <c r="G167" s="15"/>
      <c r="H167" s="15"/>
      <c r="I167" s="15"/>
      <c r="J167" s="15"/>
      <c r="K167" s="15" t="s">
        <v>16</v>
      </c>
      <c r="L167" s="15"/>
      <c r="M167" s="15"/>
      <c r="N167" s="16"/>
    </row>
    <row r="168" spans="1:14" x14ac:dyDescent="0.25">
      <c r="A168" s="13"/>
      <c r="B168" s="35" t="s">
        <v>2696</v>
      </c>
      <c r="C168" s="42" t="s">
        <v>88</v>
      </c>
      <c r="D168" s="15" t="s">
        <v>536</v>
      </c>
      <c r="E168" s="15" t="s">
        <v>1382</v>
      </c>
      <c r="F168" s="15" t="s">
        <v>2697</v>
      </c>
      <c r="G168" s="15"/>
      <c r="H168" s="15"/>
      <c r="I168" s="15"/>
      <c r="J168" s="15" t="s">
        <v>2400</v>
      </c>
      <c r="K168" s="15" t="s">
        <v>16</v>
      </c>
      <c r="L168" s="15" t="s">
        <v>2639</v>
      </c>
      <c r="M168" s="15"/>
      <c r="N168" s="16"/>
    </row>
    <row r="169" spans="1:14" x14ac:dyDescent="0.25">
      <c r="A169" s="13"/>
      <c r="B169" s="35" t="s">
        <v>1322</v>
      </c>
      <c r="C169" s="42" t="s">
        <v>88</v>
      </c>
      <c r="D169" s="15" t="s">
        <v>539</v>
      </c>
      <c r="E169" s="15" t="s">
        <v>1384</v>
      </c>
      <c r="F169" s="15"/>
      <c r="G169" s="15"/>
      <c r="H169" s="15"/>
      <c r="I169" s="15"/>
      <c r="J169" s="15"/>
      <c r="K169" s="15" t="s">
        <v>16</v>
      </c>
      <c r="L169" s="15"/>
      <c r="M169" s="15"/>
      <c r="N169" s="16"/>
    </row>
    <row r="170" spans="1:14" x14ac:dyDescent="0.25">
      <c r="A170" s="20"/>
      <c r="B170" s="35" t="s">
        <v>2717</v>
      </c>
      <c r="C170" s="42" t="s">
        <v>88</v>
      </c>
      <c r="D170" s="15" t="s">
        <v>542</v>
      </c>
      <c r="E170" s="15" t="s">
        <v>1386</v>
      </c>
      <c r="F170" s="15"/>
      <c r="G170" s="15"/>
      <c r="H170" s="15"/>
      <c r="I170" s="15"/>
      <c r="J170" s="15" t="s">
        <v>2399</v>
      </c>
      <c r="K170" s="15" t="s">
        <v>16</v>
      </c>
      <c r="L170" s="15" t="s">
        <v>2284</v>
      </c>
      <c r="M170" s="15"/>
      <c r="N170" s="16"/>
    </row>
    <row r="171" spans="1:14" x14ac:dyDescent="0.25">
      <c r="A171" s="36"/>
      <c r="B171" s="35" t="s">
        <v>3318</v>
      </c>
      <c r="C171" s="16" t="s">
        <v>12</v>
      </c>
      <c r="D171" s="15" t="s">
        <v>545</v>
      </c>
      <c r="E171" s="15" t="s">
        <v>1388</v>
      </c>
      <c r="F171" s="15"/>
      <c r="G171" s="15"/>
      <c r="H171" s="15"/>
      <c r="I171" s="15"/>
      <c r="J171" s="15" t="s">
        <v>2950</v>
      </c>
      <c r="K171" s="15" t="s">
        <v>246</v>
      </c>
      <c r="L171" s="15" t="s">
        <v>2405</v>
      </c>
      <c r="M171" s="15"/>
      <c r="N171" s="16"/>
    </row>
    <row r="172" spans="1:14" x14ac:dyDescent="0.25">
      <c r="A172" s="13"/>
      <c r="B172" s="35" t="s">
        <v>1320</v>
      </c>
      <c r="C172" s="42" t="s">
        <v>12</v>
      </c>
      <c r="D172" s="15" t="s">
        <v>548</v>
      </c>
      <c r="E172" s="15" t="s">
        <v>1390</v>
      </c>
      <c r="F172" s="52"/>
      <c r="G172" s="52"/>
      <c r="H172" s="52"/>
      <c r="I172" s="52"/>
      <c r="J172" s="52"/>
      <c r="K172" s="15" t="s">
        <v>16</v>
      </c>
      <c r="L172" s="15"/>
      <c r="M172" s="15"/>
      <c r="N172" s="16"/>
    </row>
    <row r="173" spans="1:14" x14ac:dyDescent="0.25">
      <c r="A173" s="13"/>
      <c r="B173" s="35" t="s">
        <v>1318</v>
      </c>
      <c r="C173" s="42" t="s">
        <v>12</v>
      </c>
      <c r="D173" s="15" t="s">
        <v>551</v>
      </c>
      <c r="E173" s="15" t="s">
        <v>1391</v>
      </c>
      <c r="F173" s="52" t="s">
        <v>2658</v>
      </c>
      <c r="G173" s="52"/>
      <c r="H173" s="52"/>
      <c r="I173" s="52"/>
      <c r="J173" s="52" t="s">
        <v>2283</v>
      </c>
      <c r="K173" s="15" t="s">
        <v>16</v>
      </c>
      <c r="L173" s="15" t="s">
        <v>2259</v>
      </c>
      <c r="M173" s="15"/>
      <c r="N173" s="16"/>
    </row>
    <row r="174" spans="1:14" x14ac:dyDescent="0.25">
      <c r="A174" s="13"/>
      <c r="B174" s="35" t="s">
        <v>1316</v>
      </c>
      <c r="C174" s="42" t="s">
        <v>12</v>
      </c>
      <c r="D174" s="15" t="s">
        <v>554</v>
      </c>
      <c r="E174" s="15" t="s">
        <v>1393</v>
      </c>
      <c r="F174" s="52"/>
      <c r="G174" s="52"/>
      <c r="H174" s="52"/>
      <c r="I174" s="52"/>
      <c r="J174" s="52"/>
      <c r="K174" s="15" t="s">
        <v>16</v>
      </c>
      <c r="L174" s="15"/>
      <c r="M174" s="15"/>
      <c r="N174" s="16"/>
    </row>
    <row r="175" spans="1:14" x14ac:dyDescent="0.25">
      <c r="A175" s="13"/>
      <c r="B175" s="35" t="s">
        <v>1314</v>
      </c>
      <c r="C175" s="42" t="s">
        <v>12</v>
      </c>
      <c r="D175" s="15" t="s">
        <v>557</v>
      </c>
      <c r="E175" s="15" t="s">
        <v>1395</v>
      </c>
      <c r="F175" s="52"/>
      <c r="G175" s="52"/>
      <c r="H175" s="52"/>
      <c r="I175" s="52"/>
      <c r="J175" s="52"/>
      <c r="K175" s="15" t="s">
        <v>16</v>
      </c>
      <c r="L175" s="15"/>
      <c r="M175" s="15"/>
      <c r="N175" s="16"/>
    </row>
    <row r="176" spans="1:14" x14ac:dyDescent="0.25">
      <c r="A176" s="13"/>
      <c r="B176" s="35" t="s">
        <v>1312</v>
      </c>
      <c r="C176" s="42" t="s">
        <v>88</v>
      </c>
      <c r="D176" s="15" t="s">
        <v>560</v>
      </c>
      <c r="E176" s="15" t="s">
        <v>1397</v>
      </c>
      <c r="F176" s="52"/>
      <c r="G176" s="52"/>
      <c r="H176" s="52"/>
      <c r="I176" s="52"/>
      <c r="J176" s="52"/>
      <c r="K176" s="15" t="s">
        <v>16</v>
      </c>
      <c r="L176" s="15"/>
      <c r="M176" s="15"/>
      <c r="N176" s="16"/>
    </row>
    <row r="177" spans="1:14" x14ac:dyDescent="0.25">
      <c r="A177" s="13"/>
      <c r="B177" s="35" t="s">
        <v>1310</v>
      </c>
      <c r="C177" s="42" t="s">
        <v>88</v>
      </c>
      <c r="D177" s="15" t="s">
        <v>563</v>
      </c>
      <c r="E177" s="15" t="s">
        <v>1399</v>
      </c>
      <c r="F177" s="52"/>
      <c r="G177" s="52"/>
      <c r="H177" s="52"/>
      <c r="I177" s="52"/>
      <c r="J177" s="52"/>
      <c r="K177" s="15" t="s">
        <v>16</v>
      </c>
      <c r="L177" s="15"/>
      <c r="M177" s="15"/>
      <c r="N177" s="16"/>
    </row>
    <row r="178" spans="1:14" x14ac:dyDescent="0.25">
      <c r="A178" s="13"/>
      <c r="B178" s="35" t="s">
        <v>1308</v>
      </c>
      <c r="C178" s="42" t="s">
        <v>88</v>
      </c>
      <c r="D178" s="15" t="s">
        <v>566</v>
      </c>
      <c r="E178" s="15" t="s">
        <v>1401</v>
      </c>
      <c r="F178" s="52"/>
      <c r="G178" s="52"/>
      <c r="H178" s="52"/>
      <c r="I178" s="52"/>
      <c r="J178" s="52"/>
      <c r="K178" s="15" t="s">
        <v>16</v>
      </c>
      <c r="L178" s="15"/>
      <c r="M178" s="15"/>
      <c r="N178" s="16"/>
    </row>
    <row r="179" spans="1:14" x14ac:dyDescent="0.25">
      <c r="A179" s="13"/>
      <c r="B179" s="35" t="s">
        <v>1306</v>
      </c>
      <c r="C179" s="42" t="s">
        <v>12</v>
      </c>
      <c r="D179" s="15" t="s">
        <v>569</v>
      </c>
      <c r="E179" s="15" t="s">
        <v>1403</v>
      </c>
      <c r="F179" s="52"/>
      <c r="G179" s="52"/>
      <c r="H179" s="52"/>
      <c r="I179" s="52"/>
      <c r="J179" s="52"/>
      <c r="K179" s="15" t="s">
        <v>16</v>
      </c>
      <c r="L179" s="15"/>
      <c r="M179" s="15"/>
      <c r="N179" s="16"/>
    </row>
    <row r="180" spans="1:14" x14ac:dyDescent="0.25">
      <c r="A180" s="13"/>
      <c r="B180" s="35" t="s">
        <v>1304</v>
      </c>
      <c r="C180" s="42" t="s">
        <v>12</v>
      </c>
      <c r="D180" s="15" t="s">
        <v>572</v>
      </c>
      <c r="E180" s="15" t="s">
        <v>1405</v>
      </c>
      <c r="F180" s="52"/>
      <c r="G180" s="52"/>
      <c r="H180" s="52"/>
      <c r="I180" s="52"/>
      <c r="J180" s="52"/>
      <c r="K180" s="15" t="s">
        <v>16</v>
      </c>
      <c r="L180" s="15"/>
      <c r="M180" s="15"/>
      <c r="N180" s="16"/>
    </row>
    <row r="181" spans="1:14" x14ac:dyDescent="0.25">
      <c r="A181" s="13"/>
      <c r="B181" s="35" t="s">
        <v>1302</v>
      </c>
      <c r="C181" s="42" t="s">
        <v>12</v>
      </c>
      <c r="D181" s="15" t="s">
        <v>575</v>
      </c>
      <c r="E181" s="15" t="s">
        <v>1407</v>
      </c>
      <c r="F181" s="52"/>
      <c r="G181" s="52"/>
      <c r="H181" s="52"/>
      <c r="I181" s="52"/>
      <c r="J181" s="52" t="s">
        <v>2950</v>
      </c>
      <c r="K181" s="15" t="s">
        <v>2878</v>
      </c>
      <c r="L181" s="15" t="s">
        <v>2284</v>
      </c>
      <c r="M181" s="15"/>
      <c r="N181" s="16"/>
    </row>
    <row r="182" spans="1:14" x14ac:dyDescent="0.25">
      <c r="A182" s="13"/>
      <c r="B182" s="35" t="s">
        <v>3298</v>
      </c>
      <c r="C182" s="42" t="s">
        <v>12</v>
      </c>
      <c r="D182" s="15" t="s">
        <v>578</v>
      </c>
      <c r="E182" s="15" t="s">
        <v>1409</v>
      </c>
      <c r="F182" s="52"/>
      <c r="G182" s="52"/>
      <c r="H182" s="52"/>
      <c r="I182" s="52"/>
      <c r="J182" s="52" t="s">
        <v>2950</v>
      </c>
      <c r="K182" s="15" t="s">
        <v>2878</v>
      </c>
      <c r="L182" s="15" t="s">
        <v>2284</v>
      </c>
      <c r="M182" s="15"/>
      <c r="N182" s="16"/>
    </row>
    <row r="183" spans="1:14" x14ac:dyDescent="0.25">
      <c r="A183" s="13"/>
      <c r="B183" s="35" t="s">
        <v>1300</v>
      </c>
      <c r="C183" s="42" t="s">
        <v>12</v>
      </c>
      <c r="D183" s="15" t="s">
        <v>1411</v>
      </c>
      <c r="E183" s="15" t="s">
        <v>1412</v>
      </c>
      <c r="F183" s="52"/>
      <c r="G183" s="52"/>
      <c r="H183" s="52"/>
      <c r="I183" s="52"/>
      <c r="J183" s="52"/>
      <c r="K183" s="15" t="s">
        <v>16</v>
      </c>
      <c r="L183" s="15"/>
      <c r="M183" s="15"/>
      <c r="N183" s="16"/>
    </row>
    <row r="184" spans="1:14" x14ac:dyDescent="0.25">
      <c r="A184" s="13"/>
      <c r="B184" s="35" t="s">
        <v>3188</v>
      </c>
      <c r="C184" s="42" t="s">
        <v>12</v>
      </c>
      <c r="D184" s="15" t="s">
        <v>1414</v>
      </c>
      <c r="E184" s="15" t="s">
        <v>1415</v>
      </c>
      <c r="F184" s="52" t="s">
        <v>3189</v>
      </c>
      <c r="G184" s="52"/>
      <c r="H184" s="52"/>
      <c r="I184" s="52"/>
      <c r="J184" s="52" t="s">
        <v>2950</v>
      </c>
      <c r="K184" s="15" t="s">
        <v>2878</v>
      </c>
      <c r="L184" s="15" t="s">
        <v>2393</v>
      </c>
      <c r="M184" s="15"/>
      <c r="N184" s="16"/>
    </row>
    <row r="185" spans="1:14" x14ac:dyDescent="0.25">
      <c r="A185" s="13"/>
      <c r="B185" s="35" t="s">
        <v>3190</v>
      </c>
      <c r="C185" s="42" t="s">
        <v>12</v>
      </c>
      <c r="D185" s="15" t="s">
        <v>1417</v>
      </c>
      <c r="E185" s="15" t="s">
        <v>1418</v>
      </c>
      <c r="F185" s="52" t="s">
        <v>3189</v>
      </c>
      <c r="G185" s="52"/>
      <c r="H185" s="52"/>
      <c r="I185" s="52"/>
      <c r="J185" s="52" t="s">
        <v>2950</v>
      </c>
      <c r="K185" s="15" t="s">
        <v>2878</v>
      </c>
      <c r="L185" s="15" t="s">
        <v>2419</v>
      </c>
      <c r="M185" s="15"/>
      <c r="N185" s="16"/>
    </row>
    <row r="186" spans="1:14" x14ac:dyDescent="0.25">
      <c r="A186" s="13"/>
      <c r="B186" s="35" t="s">
        <v>3191</v>
      </c>
      <c r="C186" s="42" t="s">
        <v>12</v>
      </c>
      <c r="D186" s="15" t="s">
        <v>1420</v>
      </c>
      <c r="E186" s="15" t="s">
        <v>1421</v>
      </c>
      <c r="F186" s="52" t="s">
        <v>3189</v>
      </c>
      <c r="G186" s="52"/>
      <c r="H186" s="52"/>
      <c r="I186" s="52"/>
      <c r="J186" s="52" t="s">
        <v>2950</v>
      </c>
      <c r="K186" s="15" t="s">
        <v>2878</v>
      </c>
      <c r="L186" s="15" t="s">
        <v>2405</v>
      </c>
      <c r="M186" s="15"/>
      <c r="N186" s="16"/>
    </row>
    <row r="187" spans="1:14" x14ac:dyDescent="0.25">
      <c r="A187" s="13"/>
      <c r="B187" s="35" t="s">
        <v>3192</v>
      </c>
      <c r="C187" s="42" t="s">
        <v>12</v>
      </c>
      <c r="D187" s="15" t="s">
        <v>1423</v>
      </c>
      <c r="E187" s="15" t="s">
        <v>1424</v>
      </c>
      <c r="F187" s="52" t="s">
        <v>3189</v>
      </c>
      <c r="G187" s="52"/>
      <c r="H187" s="52"/>
      <c r="I187" s="52"/>
      <c r="J187" s="52" t="s">
        <v>2950</v>
      </c>
      <c r="K187" s="15" t="s">
        <v>2878</v>
      </c>
      <c r="L187" s="15" t="s">
        <v>2284</v>
      </c>
      <c r="M187" s="15"/>
      <c r="N187" s="16"/>
    </row>
    <row r="188" spans="1:14" x14ac:dyDescent="0.25">
      <c r="A188" s="13"/>
      <c r="B188" s="35" t="s">
        <v>1298</v>
      </c>
      <c r="C188" s="42" t="s">
        <v>88</v>
      </c>
      <c r="D188" s="15" t="s">
        <v>1426</v>
      </c>
      <c r="E188" s="15" t="s">
        <v>1427</v>
      </c>
      <c r="F188" s="52"/>
      <c r="G188" s="52"/>
      <c r="H188" s="52"/>
      <c r="I188" s="52"/>
      <c r="J188" s="52"/>
      <c r="K188" s="15" t="s">
        <v>16</v>
      </c>
      <c r="L188" s="15"/>
      <c r="M188" s="15"/>
      <c r="N188" s="16"/>
    </row>
    <row r="189" spans="1:14" x14ac:dyDescent="0.25">
      <c r="A189" s="13"/>
      <c r="B189" s="35" t="s">
        <v>1267</v>
      </c>
      <c r="C189" s="42" t="s">
        <v>1268</v>
      </c>
      <c r="D189" s="15" t="s">
        <v>1429</v>
      </c>
      <c r="E189" s="15" t="s">
        <v>1430</v>
      </c>
      <c r="F189" s="52"/>
      <c r="G189" s="52"/>
      <c r="H189" s="52"/>
      <c r="I189" s="52"/>
      <c r="J189" s="52"/>
      <c r="K189" s="15" t="s">
        <v>16</v>
      </c>
      <c r="L189" s="15"/>
      <c r="M189" s="15"/>
      <c r="N189" s="16"/>
    </row>
    <row r="190" spans="1:14" x14ac:dyDescent="0.25">
      <c r="A190" s="20"/>
      <c r="B190" s="35" t="s">
        <v>2894</v>
      </c>
      <c r="C190" s="42" t="s">
        <v>1268</v>
      </c>
      <c r="D190" s="15" t="s">
        <v>1432</v>
      </c>
      <c r="E190" s="15" t="s">
        <v>1433</v>
      </c>
      <c r="F190" s="52"/>
      <c r="G190" s="52"/>
      <c r="H190" s="52"/>
      <c r="I190" s="52"/>
      <c r="J190" s="52" t="s">
        <v>2830</v>
      </c>
      <c r="K190" s="15" t="s">
        <v>16</v>
      </c>
      <c r="L190" s="15" t="s">
        <v>2393</v>
      </c>
      <c r="M190" s="15"/>
      <c r="N190" s="16"/>
    </row>
    <row r="191" spans="1:14" x14ac:dyDescent="0.25">
      <c r="A191" s="13"/>
      <c r="B191" s="35" t="s">
        <v>1296</v>
      </c>
      <c r="C191" s="42" t="s">
        <v>12</v>
      </c>
      <c r="D191" s="15" t="s">
        <v>1435</v>
      </c>
      <c r="E191" s="15" t="s">
        <v>1436</v>
      </c>
      <c r="F191" s="52"/>
      <c r="G191" s="52"/>
      <c r="H191" s="52"/>
      <c r="I191" s="52"/>
      <c r="J191" s="52"/>
      <c r="K191" s="15" t="s">
        <v>16</v>
      </c>
      <c r="L191" s="15"/>
      <c r="M191" s="15"/>
      <c r="N191" s="16"/>
    </row>
    <row r="192" spans="1:14" x14ac:dyDescent="0.25">
      <c r="A192" s="13"/>
      <c r="B192" s="35" t="s">
        <v>1294</v>
      </c>
      <c r="C192" s="42" t="s">
        <v>88</v>
      </c>
      <c r="D192" s="15" t="s">
        <v>1438</v>
      </c>
      <c r="E192" s="15" t="s">
        <v>1439</v>
      </c>
      <c r="F192" s="52"/>
      <c r="G192" s="52"/>
      <c r="H192" s="52"/>
      <c r="I192" s="52"/>
      <c r="J192" s="52"/>
      <c r="K192" s="15" t="s">
        <v>16</v>
      </c>
      <c r="L192" s="15"/>
      <c r="M192" s="15"/>
      <c r="N192" s="16"/>
    </row>
    <row r="193" spans="1:14" x14ac:dyDescent="0.25">
      <c r="A193" s="20"/>
      <c r="B193" s="35" t="s">
        <v>1408</v>
      </c>
      <c r="C193" s="42" t="s">
        <v>88</v>
      </c>
      <c r="D193" s="15" t="s">
        <v>1441</v>
      </c>
      <c r="E193" s="15" t="s">
        <v>1442</v>
      </c>
      <c r="F193" s="52"/>
      <c r="G193" s="52"/>
      <c r="H193" s="52"/>
      <c r="I193" s="52"/>
      <c r="J193" s="52"/>
      <c r="K193" s="15" t="s">
        <v>16</v>
      </c>
      <c r="L193" s="15"/>
      <c r="M193" s="15"/>
      <c r="N193" s="16"/>
    </row>
    <row r="194" spans="1:14" x14ac:dyDescent="0.25">
      <c r="A194" s="20"/>
      <c r="B194" s="35" t="s">
        <v>1406</v>
      </c>
      <c r="C194" s="42" t="s">
        <v>88</v>
      </c>
      <c r="D194" s="15" t="s">
        <v>1444</v>
      </c>
      <c r="E194" s="15" t="s">
        <v>1445</v>
      </c>
      <c r="F194" s="52"/>
      <c r="G194" s="52"/>
      <c r="H194" s="52"/>
      <c r="I194" s="52"/>
      <c r="J194" s="52"/>
      <c r="K194" s="15" t="s">
        <v>16</v>
      </c>
      <c r="L194" s="15"/>
      <c r="M194" s="15"/>
      <c r="N194" s="16"/>
    </row>
    <row r="195" spans="1:14" x14ac:dyDescent="0.25">
      <c r="A195" s="20"/>
      <c r="B195" s="35" t="s">
        <v>1404</v>
      </c>
      <c r="C195" s="42" t="s">
        <v>88</v>
      </c>
      <c r="D195" s="15" t="s">
        <v>1447</v>
      </c>
      <c r="E195" s="15" t="s">
        <v>1448</v>
      </c>
      <c r="F195" s="52"/>
      <c r="G195" s="52"/>
      <c r="H195" s="52"/>
      <c r="I195" s="52"/>
      <c r="J195" s="52"/>
      <c r="K195" s="15" t="s">
        <v>16</v>
      </c>
      <c r="L195" s="15"/>
      <c r="M195" s="15"/>
      <c r="N195" s="16"/>
    </row>
    <row r="196" spans="1:14" x14ac:dyDescent="0.25">
      <c r="A196" s="20"/>
      <c r="B196" s="35" t="s">
        <v>1402</v>
      </c>
      <c r="C196" s="42" t="s">
        <v>88</v>
      </c>
      <c r="D196" s="15" t="s">
        <v>1450</v>
      </c>
      <c r="E196" s="15" t="s">
        <v>1451</v>
      </c>
      <c r="F196" s="52"/>
      <c r="G196" s="52"/>
      <c r="H196" s="52"/>
      <c r="I196" s="52"/>
      <c r="J196" s="52"/>
      <c r="K196" s="15" t="s">
        <v>16</v>
      </c>
      <c r="L196" s="15"/>
      <c r="M196" s="15"/>
      <c r="N196" s="16"/>
    </row>
    <row r="197" spans="1:14" x14ac:dyDescent="0.25">
      <c r="A197" s="20"/>
      <c r="B197" s="35" t="s">
        <v>1400</v>
      </c>
      <c r="C197" s="42" t="s">
        <v>88</v>
      </c>
      <c r="D197" s="15" t="s">
        <v>1453</v>
      </c>
      <c r="E197" s="15" t="s">
        <v>1454</v>
      </c>
      <c r="F197" s="52"/>
      <c r="G197" s="52"/>
      <c r="H197" s="52"/>
      <c r="I197" s="52"/>
      <c r="J197" s="52"/>
      <c r="K197" s="15" t="s">
        <v>16</v>
      </c>
      <c r="L197" s="15"/>
      <c r="M197" s="15"/>
      <c r="N197" s="16"/>
    </row>
    <row r="198" spans="1:14" x14ac:dyDescent="0.25">
      <c r="A198" s="20"/>
      <c r="B198" s="35" t="s">
        <v>1398</v>
      </c>
      <c r="C198" s="42" t="s">
        <v>88</v>
      </c>
      <c r="D198" s="15" t="s">
        <v>1456</v>
      </c>
      <c r="E198" s="15" t="s">
        <v>1457</v>
      </c>
      <c r="F198" s="52"/>
      <c r="G198" s="52"/>
      <c r="H198" s="52"/>
      <c r="I198" s="52"/>
      <c r="J198" s="52"/>
      <c r="K198" s="15" t="s">
        <v>16</v>
      </c>
      <c r="L198" s="15"/>
      <c r="M198" s="15"/>
      <c r="N198" s="16"/>
    </row>
    <row r="199" spans="1:14" x14ac:dyDescent="0.25">
      <c r="A199" s="20"/>
      <c r="B199" s="35" t="s">
        <v>2913</v>
      </c>
      <c r="C199" s="42" t="s">
        <v>88</v>
      </c>
      <c r="D199" s="15" t="s">
        <v>1459</v>
      </c>
      <c r="E199" s="15" t="s">
        <v>1460</v>
      </c>
      <c r="F199" s="52"/>
      <c r="G199" s="52"/>
      <c r="H199" s="52"/>
      <c r="I199" s="52"/>
      <c r="J199" s="52" t="s">
        <v>2893</v>
      </c>
      <c r="K199" s="15" t="s">
        <v>16</v>
      </c>
      <c r="L199" s="15" t="s">
        <v>2402</v>
      </c>
      <c r="M199" s="15"/>
      <c r="N199" s="16"/>
    </row>
    <row r="200" spans="1:14" x14ac:dyDescent="0.25">
      <c r="A200" s="20"/>
      <c r="B200" s="35" t="s">
        <v>1646</v>
      </c>
      <c r="C200" s="42" t="s">
        <v>88</v>
      </c>
      <c r="D200" s="15" t="s">
        <v>1462</v>
      </c>
      <c r="E200" s="15" t="s">
        <v>1463</v>
      </c>
      <c r="F200" s="52"/>
      <c r="G200" s="52"/>
      <c r="H200" s="52"/>
      <c r="I200" s="52"/>
      <c r="J200" s="52" t="s">
        <v>2905</v>
      </c>
      <c r="K200" s="15" t="s">
        <v>16</v>
      </c>
      <c r="L200" s="15" t="s">
        <v>2284</v>
      </c>
      <c r="M200" s="15"/>
      <c r="N200" s="16"/>
    </row>
    <row r="201" spans="1:14" x14ac:dyDescent="0.25">
      <c r="A201" s="20"/>
      <c r="B201" s="35" t="s">
        <v>1643</v>
      </c>
      <c r="C201" s="42" t="s">
        <v>88</v>
      </c>
      <c r="D201" s="15" t="s">
        <v>1465</v>
      </c>
      <c r="E201" s="15" t="s">
        <v>1466</v>
      </c>
      <c r="F201" s="15"/>
      <c r="G201" s="15"/>
      <c r="H201" s="15"/>
      <c r="I201" s="15"/>
      <c r="J201" s="15"/>
      <c r="K201" s="15" t="s">
        <v>16</v>
      </c>
      <c r="L201" s="15"/>
      <c r="M201" s="15"/>
      <c r="N201" s="16"/>
    </row>
    <row r="202" spans="1:14" x14ac:dyDescent="0.25">
      <c r="A202" s="20"/>
      <c r="B202" s="35" t="s">
        <v>1640</v>
      </c>
      <c r="C202" s="42" t="s">
        <v>88</v>
      </c>
      <c r="D202" s="15" t="s">
        <v>1468</v>
      </c>
      <c r="E202" s="15" t="s">
        <v>1469</v>
      </c>
      <c r="F202" s="15"/>
      <c r="G202" s="15"/>
      <c r="H202" s="15"/>
      <c r="I202" s="15"/>
      <c r="J202" s="15"/>
      <c r="K202" s="15" t="s">
        <v>16</v>
      </c>
      <c r="L202" s="15"/>
      <c r="M202" s="15"/>
      <c r="N202" s="16"/>
    </row>
    <row r="203" spans="1:14" x14ac:dyDescent="0.25">
      <c r="A203" s="20"/>
      <c r="B203" s="35" t="s">
        <v>1637</v>
      </c>
      <c r="C203" s="42" t="s">
        <v>88</v>
      </c>
      <c r="D203" s="15" t="s">
        <v>1471</v>
      </c>
      <c r="E203" s="15" t="s">
        <v>1472</v>
      </c>
      <c r="F203" s="15"/>
      <c r="G203" s="15"/>
      <c r="H203" s="15"/>
      <c r="I203" s="15"/>
      <c r="J203" s="15"/>
      <c r="K203" s="15" t="s">
        <v>16</v>
      </c>
      <c r="L203" s="15"/>
      <c r="M203" s="15"/>
      <c r="N203" s="16"/>
    </row>
    <row r="204" spans="1:14" x14ac:dyDescent="0.25">
      <c r="A204" s="20"/>
      <c r="B204" s="35" t="s">
        <v>1634</v>
      </c>
      <c r="C204" s="42" t="s">
        <v>88</v>
      </c>
      <c r="D204" s="15" t="s">
        <v>1474</v>
      </c>
      <c r="E204" s="15" t="s">
        <v>1475</v>
      </c>
      <c r="F204" s="15"/>
      <c r="G204" s="15"/>
      <c r="H204" s="15"/>
      <c r="I204" s="15"/>
      <c r="J204" s="15" t="s">
        <v>2887</v>
      </c>
      <c r="K204" s="15" t="s">
        <v>16</v>
      </c>
      <c r="L204" s="15" t="s">
        <v>2284</v>
      </c>
      <c r="M204" s="15"/>
      <c r="N204" s="16"/>
    </row>
    <row r="205" spans="1:14" x14ac:dyDescent="0.25">
      <c r="A205" s="20"/>
      <c r="B205" s="35" t="s">
        <v>1631</v>
      </c>
      <c r="C205" s="42" t="s">
        <v>88</v>
      </c>
      <c r="D205" s="15" t="s">
        <v>1477</v>
      </c>
      <c r="E205" s="15" t="s">
        <v>1478</v>
      </c>
      <c r="F205" s="15"/>
      <c r="G205" s="15"/>
      <c r="H205" s="15"/>
      <c r="I205" s="15"/>
      <c r="J205" s="15" t="s">
        <v>2905</v>
      </c>
      <c r="K205" s="15" t="s">
        <v>16</v>
      </c>
      <c r="L205" s="15" t="s">
        <v>2284</v>
      </c>
      <c r="M205" s="15"/>
      <c r="N205" s="16"/>
    </row>
    <row r="206" spans="1:14" x14ac:dyDescent="0.25">
      <c r="A206" s="20"/>
      <c r="B206" s="35" t="s">
        <v>1628</v>
      </c>
      <c r="C206" s="42" t="s">
        <v>88</v>
      </c>
      <c r="D206" s="15" t="s">
        <v>1480</v>
      </c>
      <c r="E206" s="15" t="s">
        <v>1481</v>
      </c>
      <c r="F206" s="15"/>
      <c r="G206" s="15"/>
      <c r="H206" s="15"/>
      <c r="I206" s="15"/>
      <c r="J206" s="15"/>
      <c r="K206" s="15" t="s">
        <v>16</v>
      </c>
      <c r="L206" s="15"/>
      <c r="M206" s="15"/>
      <c r="N206" s="16"/>
    </row>
    <row r="207" spans="1:14" x14ac:dyDescent="0.25">
      <c r="A207" s="20"/>
      <c r="B207" s="35" t="s">
        <v>1625</v>
      </c>
      <c r="C207" s="42" t="s">
        <v>88</v>
      </c>
      <c r="D207" s="15" t="s">
        <v>1483</v>
      </c>
      <c r="E207" s="15" t="s">
        <v>1484</v>
      </c>
      <c r="F207" s="15"/>
      <c r="G207" s="15"/>
      <c r="H207" s="15"/>
      <c r="I207" s="15"/>
      <c r="J207" s="15" t="s">
        <v>2887</v>
      </c>
      <c r="K207" s="15" t="s">
        <v>16</v>
      </c>
      <c r="L207" s="15" t="s">
        <v>2405</v>
      </c>
      <c r="M207" s="15"/>
      <c r="N207" s="16"/>
    </row>
    <row r="208" spans="1:14" x14ac:dyDescent="0.25">
      <c r="A208" s="20"/>
      <c r="B208" s="35" t="s">
        <v>2928</v>
      </c>
      <c r="C208" s="42" t="s">
        <v>88</v>
      </c>
      <c r="D208" s="15" t="s">
        <v>1486</v>
      </c>
      <c r="E208" s="15" t="s">
        <v>1487</v>
      </c>
      <c r="F208" s="15"/>
      <c r="G208" s="15"/>
      <c r="H208" s="15"/>
      <c r="I208" s="15"/>
      <c r="J208" s="15" t="s">
        <v>2887</v>
      </c>
      <c r="K208" s="15" t="s">
        <v>16</v>
      </c>
      <c r="L208" s="15" t="s">
        <v>2284</v>
      </c>
      <c r="M208" s="15"/>
      <c r="N208" s="16"/>
    </row>
    <row r="209" spans="1:14" x14ac:dyDescent="0.25">
      <c r="A209" s="20"/>
      <c r="B209" s="35" t="s">
        <v>1622</v>
      </c>
      <c r="C209" s="42" t="s">
        <v>88</v>
      </c>
      <c r="D209" s="15" t="s">
        <v>1489</v>
      </c>
      <c r="E209" s="15" t="s">
        <v>1490</v>
      </c>
      <c r="F209" s="15"/>
      <c r="G209" s="15"/>
      <c r="H209" s="15"/>
      <c r="I209" s="15"/>
      <c r="J209" s="15" t="s">
        <v>2887</v>
      </c>
      <c r="K209" s="15" t="s">
        <v>16</v>
      </c>
      <c r="L209" s="15" t="s">
        <v>2405</v>
      </c>
      <c r="M209" s="15"/>
      <c r="N209" s="16"/>
    </row>
    <row r="210" spans="1:14" x14ac:dyDescent="0.25">
      <c r="A210" s="20"/>
      <c r="B210" s="35" t="s">
        <v>1619</v>
      </c>
      <c r="C210" s="42" t="s">
        <v>88</v>
      </c>
      <c r="D210" s="15" t="s">
        <v>1492</v>
      </c>
      <c r="E210" s="15" t="s">
        <v>1493</v>
      </c>
      <c r="F210" s="15"/>
      <c r="G210" s="15"/>
      <c r="H210" s="15"/>
      <c r="I210" s="15"/>
      <c r="J210" s="15"/>
      <c r="K210" s="15" t="s">
        <v>16</v>
      </c>
      <c r="L210" s="15"/>
      <c r="M210" s="15"/>
      <c r="N210" s="16"/>
    </row>
    <row r="211" spans="1:14" x14ac:dyDescent="0.25">
      <c r="A211" s="20"/>
      <c r="B211" s="35" t="s">
        <v>1616</v>
      </c>
      <c r="C211" s="42" t="s">
        <v>88</v>
      </c>
      <c r="D211" s="15" t="s">
        <v>1495</v>
      </c>
      <c r="E211" s="15" t="s">
        <v>1496</v>
      </c>
      <c r="F211" s="15"/>
      <c r="G211" s="15"/>
      <c r="H211" s="15"/>
      <c r="I211" s="15"/>
      <c r="J211" s="15" t="s">
        <v>3311</v>
      </c>
      <c r="K211" s="15" t="s">
        <v>16</v>
      </c>
      <c r="L211" s="15" t="s">
        <v>2284</v>
      </c>
      <c r="M211" s="15"/>
      <c r="N211" s="16"/>
    </row>
    <row r="212" spans="1:14" x14ac:dyDescent="0.25">
      <c r="A212" s="20"/>
      <c r="B212" s="35" t="s">
        <v>1613</v>
      </c>
      <c r="C212" s="42" t="s">
        <v>88</v>
      </c>
      <c r="D212" s="15" t="s">
        <v>1498</v>
      </c>
      <c r="E212" s="15" t="s">
        <v>1499</v>
      </c>
      <c r="F212" s="15"/>
      <c r="G212" s="15"/>
      <c r="H212" s="15"/>
      <c r="I212" s="15"/>
      <c r="J212" s="15" t="s">
        <v>2400</v>
      </c>
      <c r="K212" s="15" t="s">
        <v>16</v>
      </c>
      <c r="L212" s="15" t="s">
        <v>2404</v>
      </c>
      <c r="M212" s="15"/>
      <c r="N212" s="16"/>
    </row>
    <row r="213" spans="1:14" x14ac:dyDescent="0.25">
      <c r="A213" s="20"/>
      <c r="B213" s="35" t="s">
        <v>3313</v>
      </c>
      <c r="C213" s="42" t="s">
        <v>88</v>
      </c>
      <c r="D213" s="15" t="s">
        <v>1501</v>
      </c>
      <c r="E213" s="15" t="s">
        <v>1502</v>
      </c>
      <c r="F213" s="15"/>
      <c r="G213" s="15"/>
      <c r="H213" s="15"/>
      <c r="I213" s="15"/>
      <c r="J213" s="15" t="s">
        <v>2400</v>
      </c>
      <c r="K213" s="15" t="s">
        <v>16</v>
      </c>
      <c r="L213" s="15" t="s">
        <v>2284</v>
      </c>
      <c r="M213" s="15"/>
      <c r="N213" s="16"/>
    </row>
    <row r="214" spans="1:14" x14ac:dyDescent="0.25">
      <c r="A214" s="20"/>
      <c r="B214" s="35" t="s">
        <v>1610</v>
      </c>
      <c r="C214" s="42" t="s">
        <v>88</v>
      </c>
      <c r="D214" s="15" t="s">
        <v>1504</v>
      </c>
      <c r="E214" s="15" t="s">
        <v>1505</v>
      </c>
      <c r="F214" s="15"/>
      <c r="G214" s="15"/>
      <c r="H214" s="15"/>
      <c r="I214" s="15"/>
      <c r="J214" s="15" t="s">
        <v>2400</v>
      </c>
      <c r="K214" s="15" t="s">
        <v>16</v>
      </c>
      <c r="L214" s="15" t="s">
        <v>2404</v>
      </c>
      <c r="M214" s="15"/>
      <c r="N214" s="16"/>
    </row>
    <row r="215" spans="1:14" x14ac:dyDescent="0.25">
      <c r="A215" s="20"/>
      <c r="B215" s="35" t="s">
        <v>1607</v>
      </c>
      <c r="C215" s="42" t="s">
        <v>88</v>
      </c>
      <c r="D215" s="15" t="s">
        <v>1507</v>
      </c>
      <c r="E215" s="15" t="s">
        <v>1508</v>
      </c>
      <c r="F215" s="15"/>
      <c r="G215" s="15"/>
      <c r="H215" s="15"/>
      <c r="I215" s="15"/>
      <c r="J215" s="15" t="s">
        <v>2400</v>
      </c>
      <c r="K215" s="15" t="s">
        <v>16</v>
      </c>
      <c r="L215" s="15" t="s">
        <v>2252</v>
      </c>
      <c r="M215" s="15"/>
      <c r="N215" s="16"/>
    </row>
    <row r="216" spans="1:14" x14ac:dyDescent="0.25">
      <c r="A216" s="20"/>
      <c r="B216" s="35" t="s">
        <v>3312</v>
      </c>
      <c r="C216" s="42" t="s">
        <v>88</v>
      </c>
      <c r="D216" s="15" t="s">
        <v>1509</v>
      </c>
      <c r="E216" s="15" t="s">
        <v>1510</v>
      </c>
      <c r="F216" s="15"/>
      <c r="G216" s="15"/>
      <c r="H216" s="15"/>
      <c r="I216" s="15"/>
      <c r="J216" s="15" t="s">
        <v>2400</v>
      </c>
      <c r="K216" s="15" t="s">
        <v>16</v>
      </c>
      <c r="L216" s="15" t="s">
        <v>2405</v>
      </c>
      <c r="M216" s="15"/>
      <c r="N216" s="16"/>
    </row>
    <row r="217" spans="1:14" x14ac:dyDescent="0.25">
      <c r="A217" s="20"/>
      <c r="B217" s="35" t="s">
        <v>1604</v>
      </c>
      <c r="C217" s="42" t="s">
        <v>88</v>
      </c>
      <c r="D217" s="15" t="s">
        <v>1512</v>
      </c>
      <c r="E217" s="15" t="s">
        <v>1513</v>
      </c>
      <c r="F217" s="15"/>
      <c r="G217" s="15"/>
      <c r="H217" s="15"/>
      <c r="I217" s="15"/>
      <c r="J217" s="15"/>
      <c r="K217" s="15" t="s">
        <v>16</v>
      </c>
      <c r="L217" s="15"/>
      <c r="M217" s="15"/>
      <c r="N217" s="16"/>
    </row>
    <row r="218" spans="1:14" x14ac:dyDescent="0.25">
      <c r="A218" s="20"/>
      <c r="B218" s="35" t="s">
        <v>1601</v>
      </c>
      <c r="C218" s="42" t="s">
        <v>88</v>
      </c>
      <c r="D218" s="15" t="s">
        <v>1515</v>
      </c>
      <c r="E218" s="15" t="s">
        <v>1516</v>
      </c>
      <c r="F218" s="15"/>
      <c r="G218" s="15"/>
      <c r="H218" s="15"/>
      <c r="I218" s="15"/>
      <c r="J218" s="15"/>
      <c r="K218" s="15" t="s">
        <v>16</v>
      </c>
      <c r="L218" s="15"/>
      <c r="M218" s="15"/>
      <c r="N218" s="16"/>
    </row>
    <row r="219" spans="1:14" x14ac:dyDescent="0.25">
      <c r="A219" s="20"/>
      <c r="B219" s="35" t="s">
        <v>1598</v>
      </c>
      <c r="C219" s="42" t="s">
        <v>88</v>
      </c>
      <c r="D219" s="15" t="s">
        <v>1518</v>
      </c>
      <c r="E219" s="15" t="s">
        <v>1519</v>
      </c>
      <c r="F219" s="15"/>
      <c r="G219" s="15"/>
      <c r="H219" s="15"/>
      <c r="I219" s="15"/>
      <c r="J219" s="15"/>
      <c r="K219" s="15" t="s">
        <v>16</v>
      </c>
      <c r="L219" s="15"/>
      <c r="M219" s="15"/>
      <c r="N219" s="16"/>
    </row>
    <row r="220" spans="1:14" x14ac:dyDescent="0.25">
      <c r="A220" s="20"/>
      <c r="B220" s="35" t="s">
        <v>1595</v>
      </c>
      <c r="C220" s="42" t="s">
        <v>88</v>
      </c>
      <c r="D220" s="15" t="s">
        <v>1521</v>
      </c>
      <c r="E220" s="15" t="s">
        <v>1522</v>
      </c>
      <c r="F220" s="15"/>
      <c r="G220" s="15"/>
      <c r="H220" s="15"/>
      <c r="I220" s="15"/>
      <c r="J220" s="15"/>
      <c r="K220" s="15" t="s">
        <v>16</v>
      </c>
      <c r="L220" s="15"/>
      <c r="M220" s="15"/>
      <c r="N220" s="16"/>
    </row>
    <row r="221" spans="1:14" x14ac:dyDescent="0.25">
      <c r="A221" s="20"/>
      <c r="B221" s="35" t="s">
        <v>1592</v>
      </c>
      <c r="C221" s="42" t="s">
        <v>88</v>
      </c>
      <c r="D221" s="15" t="s">
        <v>1524</v>
      </c>
      <c r="E221" s="15" t="s">
        <v>1525</v>
      </c>
      <c r="F221" s="15"/>
      <c r="G221" s="15"/>
      <c r="H221" s="15"/>
      <c r="I221" s="15"/>
      <c r="J221" s="15"/>
      <c r="K221" s="15" t="s">
        <v>16</v>
      </c>
      <c r="L221" s="15"/>
      <c r="M221" s="15"/>
      <c r="N221" s="16"/>
    </row>
    <row r="222" spans="1:14" x14ac:dyDescent="0.25">
      <c r="A222" s="20"/>
      <c r="B222" s="35" t="s">
        <v>1589</v>
      </c>
      <c r="C222" s="42" t="s">
        <v>88</v>
      </c>
      <c r="D222" s="15" t="s">
        <v>1527</v>
      </c>
      <c r="E222" s="15" t="s">
        <v>1528</v>
      </c>
      <c r="F222" s="15"/>
      <c r="G222" s="15"/>
      <c r="H222" s="15"/>
      <c r="I222" s="15"/>
      <c r="J222" s="15"/>
      <c r="K222" s="15" t="s">
        <v>16</v>
      </c>
      <c r="L222" s="15"/>
      <c r="M222" s="15"/>
      <c r="N222" s="16"/>
    </row>
    <row r="223" spans="1:14" x14ac:dyDescent="0.25">
      <c r="A223" s="20"/>
      <c r="B223" s="35" t="s">
        <v>1655</v>
      </c>
      <c r="C223" s="42" t="s">
        <v>88</v>
      </c>
      <c r="D223" s="15" t="s">
        <v>1530</v>
      </c>
      <c r="E223" s="15" t="s">
        <v>1531</v>
      </c>
      <c r="F223" s="15"/>
      <c r="G223" s="15"/>
      <c r="H223" s="15"/>
      <c r="I223" s="15"/>
      <c r="J223" s="15"/>
      <c r="K223" s="15" t="s">
        <v>16</v>
      </c>
      <c r="L223" s="15"/>
      <c r="M223" s="15"/>
      <c r="N223" s="16"/>
    </row>
    <row r="224" spans="1:14" x14ac:dyDescent="0.25">
      <c r="A224" s="20"/>
      <c r="B224" s="35" t="s">
        <v>1655</v>
      </c>
      <c r="C224" s="42" t="s">
        <v>88</v>
      </c>
      <c r="D224" s="15" t="s">
        <v>1533</v>
      </c>
      <c r="E224" s="15" t="s">
        <v>1534</v>
      </c>
      <c r="F224" s="15"/>
      <c r="G224" s="15"/>
      <c r="H224" s="15"/>
      <c r="I224" s="15"/>
      <c r="J224" s="15" t="s">
        <v>2905</v>
      </c>
      <c r="K224" s="15" t="s">
        <v>16</v>
      </c>
      <c r="L224" s="15" t="s">
        <v>2284</v>
      </c>
      <c r="M224" s="15"/>
      <c r="N224" s="16"/>
    </row>
    <row r="225" spans="1:14" x14ac:dyDescent="0.25">
      <c r="A225" s="20"/>
      <c r="B225" s="35" t="s">
        <v>1652</v>
      </c>
      <c r="C225" s="42" t="s">
        <v>88</v>
      </c>
      <c r="D225" s="15" t="s">
        <v>1536</v>
      </c>
      <c r="E225" s="15" t="s">
        <v>1537</v>
      </c>
      <c r="F225" s="15"/>
      <c r="G225" s="15"/>
      <c r="H225" s="15"/>
      <c r="I225" s="15"/>
      <c r="J225" s="15"/>
      <c r="K225" s="15" t="s">
        <v>16</v>
      </c>
      <c r="L225" s="15"/>
      <c r="M225" s="15"/>
      <c r="N225" s="16"/>
    </row>
    <row r="226" spans="1:14" x14ac:dyDescent="0.25">
      <c r="A226" s="20"/>
      <c r="B226" s="35" t="s">
        <v>1649</v>
      </c>
      <c r="C226" s="42" t="s">
        <v>88</v>
      </c>
      <c r="D226" s="15" t="s">
        <v>1539</v>
      </c>
      <c r="E226" s="15" t="s">
        <v>1540</v>
      </c>
      <c r="F226" s="15"/>
      <c r="G226" s="15"/>
      <c r="H226" s="15"/>
      <c r="I226" s="15"/>
      <c r="J226" s="15"/>
      <c r="K226" s="15" t="s">
        <v>16</v>
      </c>
      <c r="L226" s="15"/>
      <c r="M226" s="15"/>
      <c r="N226" s="16"/>
    </row>
    <row r="227" spans="1:14" x14ac:dyDescent="0.25">
      <c r="A227" s="20"/>
      <c r="B227" s="35" t="s">
        <v>1649</v>
      </c>
      <c r="C227" s="42" t="s">
        <v>88</v>
      </c>
      <c r="D227" s="15" t="s">
        <v>1542</v>
      </c>
      <c r="E227" s="15" t="s">
        <v>1543</v>
      </c>
      <c r="F227" s="15"/>
      <c r="G227" s="15"/>
      <c r="H227" s="15"/>
      <c r="I227" s="15"/>
      <c r="J227" s="15" t="s">
        <v>2905</v>
      </c>
      <c r="K227" s="15" t="s">
        <v>16</v>
      </c>
      <c r="L227" s="15" t="s">
        <v>2405</v>
      </c>
      <c r="M227" s="15"/>
      <c r="N227" s="16"/>
    </row>
    <row r="228" spans="1:14" x14ac:dyDescent="0.25">
      <c r="A228" s="20"/>
      <c r="B228" s="35" t="s">
        <v>2929</v>
      </c>
      <c r="C228" s="42" t="s">
        <v>88</v>
      </c>
      <c r="D228" s="15" t="s">
        <v>1545</v>
      </c>
      <c r="E228" s="15" t="s">
        <v>1546</v>
      </c>
      <c r="F228" s="15"/>
      <c r="G228" s="15"/>
      <c r="H228" s="15"/>
      <c r="I228" s="15"/>
      <c r="J228" s="15" t="s">
        <v>2905</v>
      </c>
      <c r="K228" s="15" t="s">
        <v>16</v>
      </c>
      <c r="L228" s="15" t="s">
        <v>2404</v>
      </c>
      <c r="M228" s="15"/>
      <c r="N228" s="16"/>
    </row>
    <row r="229" spans="1:14" x14ac:dyDescent="0.25">
      <c r="A229" s="20"/>
      <c r="B229" s="35" t="s">
        <v>1691</v>
      </c>
      <c r="C229" s="42" t="s">
        <v>88</v>
      </c>
      <c r="D229" s="15" t="s">
        <v>1548</v>
      </c>
      <c r="E229" s="15" t="s">
        <v>1549</v>
      </c>
      <c r="F229" s="15"/>
      <c r="G229" s="15"/>
      <c r="H229" s="15"/>
      <c r="I229" s="15"/>
      <c r="J229" s="15"/>
      <c r="K229" s="15" t="s">
        <v>16</v>
      </c>
      <c r="L229" s="15"/>
      <c r="M229" s="15"/>
      <c r="N229" s="16"/>
    </row>
    <row r="230" spans="1:14" x14ac:dyDescent="0.25">
      <c r="A230" s="20"/>
      <c r="B230" s="35" t="s">
        <v>1688</v>
      </c>
      <c r="C230" s="42" t="s">
        <v>88</v>
      </c>
      <c r="D230" s="15" t="s">
        <v>1551</v>
      </c>
      <c r="E230" s="15" t="s">
        <v>1552</v>
      </c>
      <c r="F230" s="15"/>
      <c r="G230" s="15"/>
      <c r="H230" s="15"/>
      <c r="I230" s="15"/>
      <c r="J230" s="15"/>
      <c r="K230" s="15" t="s">
        <v>16</v>
      </c>
      <c r="L230" s="15"/>
      <c r="M230" s="15"/>
      <c r="N230" s="16"/>
    </row>
    <row r="231" spans="1:14" x14ac:dyDescent="0.25">
      <c r="A231" s="20"/>
      <c r="B231" s="35" t="s">
        <v>1685</v>
      </c>
      <c r="C231" s="42" t="s">
        <v>88</v>
      </c>
      <c r="D231" s="15" t="s">
        <v>1554</v>
      </c>
      <c r="E231" s="15" t="s">
        <v>1555</v>
      </c>
      <c r="F231" s="15"/>
      <c r="G231" s="15"/>
      <c r="H231" s="15"/>
      <c r="I231" s="15"/>
      <c r="J231" s="15"/>
      <c r="K231" s="15" t="s">
        <v>16</v>
      </c>
      <c r="L231" s="15"/>
      <c r="M231" s="15"/>
      <c r="N231" s="16"/>
    </row>
    <row r="232" spans="1:14" x14ac:dyDescent="0.25">
      <c r="A232" s="20"/>
      <c r="B232" s="35" t="s">
        <v>1682</v>
      </c>
      <c r="C232" s="42" t="s">
        <v>88</v>
      </c>
      <c r="D232" s="15" t="s">
        <v>1557</v>
      </c>
      <c r="E232" s="15" t="s">
        <v>1558</v>
      </c>
      <c r="F232" s="15"/>
      <c r="G232" s="15"/>
      <c r="H232" s="15"/>
      <c r="I232" s="15"/>
      <c r="J232" s="15" t="s">
        <v>3236</v>
      </c>
      <c r="K232" s="15" t="s">
        <v>16</v>
      </c>
      <c r="L232" s="15" t="s">
        <v>2284</v>
      </c>
      <c r="M232" s="15"/>
      <c r="N232" s="16"/>
    </row>
    <row r="233" spans="1:14" x14ac:dyDescent="0.25">
      <c r="A233" s="20"/>
      <c r="B233" s="35" t="s">
        <v>1679</v>
      </c>
      <c r="C233" s="42" t="s">
        <v>88</v>
      </c>
      <c r="D233" s="15" t="s">
        <v>1560</v>
      </c>
      <c r="E233" s="15" t="s">
        <v>1561</v>
      </c>
      <c r="F233" s="15"/>
      <c r="G233" s="15"/>
      <c r="H233" s="15"/>
      <c r="I233" s="15"/>
      <c r="J233" s="15"/>
      <c r="K233" s="15" t="s">
        <v>16</v>
      </c>
      <c r="L233" s="15"/>
      <c r="M233" s="15"/>
      <c r="N233" s="16"/>
    </row>
    <row r="234" spans="1:14" x14ac:dyDescent="0.25">
      <c r="A234" s="20"/>
      <c r="B234" s="35" t="s">
        <v>1676</v>
      </c>
      <c r="C234" s="42" t="s">
        <v>88</v>
      </c>
      <c r="D234" s="15" t="s">
        <v>1563</v>
      </c>
      <c r="E234" s="15" t="s">
        <v>1564</v>
      </c>
      <c r="F234" s="15"/>
      <c r="G234" s="15"/>
      <c r="H234" s="15"/>
      <c r="I234" s="15"/>
      <c r="J234" s="15" t="s">
        <v>2906</v>
      </c>
      <c r="K234" s="15" t="s">
        <v>16</v>
      </c>
      <c r="L234" s="15" t="s">
        <v>2405</v>
      </c>
      <c r="M234" s="15"/>
      <c r="N234" s="16"/>
    </row>
    <row r="235" spans="1:14" x14ac:dyDescent="0.25">
      <c r="A235" s="20"/>
      <c r="B235" s="35" t="s">
        <v>1673</v>
      </c>
      <c r="C235" s="42" t="s">
        <v>88</v>
      </c>
      <c r="D235" s="15" t="s">
        <v>1566</v>
      </c>
      <c r="E235" s="15" t="s">
        <v>1567</v>
      </c>
      <c r="F235" s="15"/>
      <c r="G235" s="15"/>
      <c r="H235" s="15"/>
      <c r="I235" s="15"/>
      <c r="J235" s="15"/>
      <c r="K235" s="15" t="s">
        <v>16</v>
      </c>
      <c r="L235" s="15"/>
      <c r="M235" s="15"/>
      <c r="N235" s="16"/>
    </row>
    <row r="236" spans="1:14" x14ac:dyDescent="0.25">
      <c r="A236" s="20"/>
      <c r="B236" s="35" t="s">
        <v>1670</v>
      </c>
      <c r="C236" s="42" t="s">
        <v>88</v>
      </c>
      <c r="D236" s="15" t="s">
        <v>1569</v>
      </c>
      <c r="E236" s="15" t="s">
        <v>1570</v>
      </c>
      <c r="F236" s="15"/>
      <c r="G236" s="15"/>
      <c r="H236" s="15"/>
      <c r="I236" s="15"/>
      <c r="J236" s="15"/>
      <c r="K236" s="15" t="s">
        <v>16</v>
      </c>
      <c r="L236" s="15"/>
      <c r="M236" s="15"/>
      <c r="N236" s="16"/>
    </row>
    <row r="237" spans="1:14" x14ac:dyDescent="0.25">
      <c r="A237" s="20"/>
      <c r="B237" s="35" t="s">
        <v>1667</v>
      </c>
      <c r="C237" s="42" t="s">
        <v>88</v>
      </c>
      <c r="D237" s="15" t="s">
        <v>1572</v>
      </c>
      <c r="E237" s="15" t="s">
        <v>1573</v>
      </c>
      <c r="F237" s="15"/>
      <c r="G237" s="15"/>
      <c r="H237" s="15"/>
      <c r="I237" s="15"/>
      <c r="J237" s="15"/>
      <c r="K237" s="15" t="s">
        <v>16</v>
      </c>
      <c r="L237" s="15"/>
      <c r="M237" s="15"/>
      <c r="N237" s="16"/>
    </row>
    <row r="238" spans="1:14" x14ac:dyDescent="0.25">
      <c r="A238" s="20"/>
      <c r="B238" s="35" t="s">
        <v>1664</v>
      </c>
      <c r="C238" s="42" t="s">
        <v>88</v>
      </c>
      <c r="D238" s="15" t="s">
        <v>1575</v>
      </c>
      <c r="E238" s="15" t="s">
        <v>1576</v>
      </c>
      <c r="F238" s="15"/>
      <c r="G238" s="15"/>
      <c r="H238" s="15"/>
      <c r="I238" s="15"/>
      <c r="J238" s="15"/>
      <c r="K238" s="15" t="s">
        <v>16</v>
      </c>
      <c r="L238" s="15"/>
      <c r="M238" s="15"/>
      <c r="N238" s="16"/>
    </row>
    <row r="239" spans="1:14" x14ac:dyDescent="0.25">
      <c r="A239" s="20"/>
      <c r="B239" s="35" t="s">
        <v>1661</v>
      </c>
      <c r="C239" s="42" t="s">
        <v>88</v>
      </c>
      <c r="D239" s="15" t="s">
        <v>1578</v>
      </c>
      <c r="E239" s="15" t="s">
        <v>1579</v>
      </c>
      <c r="F239" s="15"/>
      <c r="G239" s="15"/>
      <c r="H239" s="15"/>
      <c r="I239" s="15"/>
      <c r="J239" s="15" t="s">
        <v>2418</v>
      </c>
      <c r="K239" s="15" t="s">
        <v>16</v>
      </c>
      <c r="L239" s="15" t="s">
        <v>2393</v>
      </c>
      <c r="M239" s="15"/>
      <c r="N239" s="16"/>
    </row>
    <row r="240" spans="1:14" x14ac:dyDescent="0.25">
      <c r="A240" s="20"/>
      <c r="B240" s="35" t="s">
        <v>1658</v>
      </c>
      <c r="C240" s="42" t="s">
        <v>88</v>
      </c>
      <c r="D240" s="15" t="s">
        <v>1581</v>
      </c>
      <c r="E240" s="15" t="s">
        <v>1582</v>
      </c>
      <c r="F240" s="15"/>
      <c r="G240" s="15"/>
      <c r="H240" s="15"/>
      <c r="I240" s="15"/>
      <c r="J240" s="15"/>
      <c r="K240" s="15" t="s">
        <v>16</v>
      </c>
      <c r="L240" s="15"/>
      <c r="M240" s="15"/>
      <c r="N240" s="16"/>
    </row>
    <row r="241" spans="1:14" x14ac:dyDescent="0.25">
      <c r="A241" s="20"/>
      <c r="B241" s="35" t="s">
        <v>2918</v>
      </c>
      <c r="C241" s="42" t="s">
        <v>88</v>
      </c>
      <c r="D241" s="15" t="s">
        <v>1584</v>
      </c>
      <c r="E241" s="15" t="s">
        <v>1585</v>
      </c>
      <c r="F241" s="15"/>
      <c r="G241" s="15"/>
      <c r="H241" s="15"/>
      <c r="I241" s="15"/>
      <c r="J241" s="15" t="s">
        <v>2906</v>
      </c>
      <c r="K241" s="15" t="s">
        <v>16</v>
      </c>
      <c r="L241" s="15" t="s">
        <v>2402</v>
      </c>
      <c r="M241" s="15"/>
      <c r="N241" s="16"/>
    </row>
    <row r="242" spans="1:14" x14ac:dyDescent="0.25">
      <c r="A242" s="13"/>
      <c r="B242" s="35" t="s">
        <v>1286</v>
      </c>
      <c r="C242" s="42" t="s">
        <v>12</v>
      </c>
      <c r="D242" s="15" t="s">
        <v>1587</v>
      </c>
      <c r="E242" s="15" t="s">
        <v>1588</v>
      </c>
      <c r="F242" s="15"/>
      <c r="G242" s="15"/>
      <c r="H242" s="15"/>
      <c r="I242" s="15"/>
      <c r="J242" s="15"/>
      <c r="K242" s="15" t="s">
        <v>16</v>
      </c>
      <c r="L242" s="15"/>
      <c r="M242" s="15"/>
      <c r="N242" s="16"/>
    </row>
    <row r="243" spans="1:14" x14ac:dyDescent="0.25">
      <c r="A243" s="13"/>
      <c r="B243" s="35" t="s">
        <v>1290</v>
      </c>
      <c r="C243" s="42" t="s">
        <v>12</v>
      </c>
      <c r="D243" s="15" t="s">
        <v>1590</v>
      </c>
      <c r="E243" s="15" t="s">
        <v>1591</v>
      </c>
      <c r="F243" s="15"/>
      <c r="G243" s="15"/>
      <c r="H243" s="15"/>
      <c r="I243" s="15"/>
      <c r="J243" s="15"/>
      <c r="K243" s="15" t="s">
        <v>16</v>
      </c>
      <c r="L243" s="15"/>
      <c r="M243" s="15"/>
      <c r="N243" s="16"/>
    </row>
    <row r="244" spans="1:14" x14ac:dyDescent="0.25">
      <c r="A244" s="13"/>
      <c r="B244" s="35" t="s">
        <v>1288</v>
      </c>
      <c r="C244" s="42" t="s">
        <v>12</v>
      </c>
      <c r="D244" s="15" t="s">
        <v>1593</v>
      </c>
      <c r="E244" s="15" t="s">
        <v>1594</v>
      </c>
      <c r="F244" s="15"/>
      <c r="G244" s="15"/>
      <c r="H244" s="15"/>
      <c r="I244" s="15"/>
      <c r="J244" s="15" t="s">
        <v>3331</v>
      </c>
      <c r="K244" s="15" t="s">
        <v>16</v>
      </c>
      <c r="L244" s="15" t="s">
        <v>2215</v>
      </c>
      <c r="M244" s="15"/>
      <c r="N244" s="16"/>
    </row>
    <row r="245" spans="1:14" x14ac:dyDescent="0.25">
      <c r="A245" s="13"/>
      <c r="B245" s="35" t="s">
        <v>1284</v>
      </c>
      <c r="C245" s="42" t="s">
        <v>12</v>
      </c>
      <c r="D245" s="15" t="s">
        <v>1596</v>
      </c>
      <c r="E245" s="15" t="s">
        <v>1597</v>
      </c>
      <c r="F245" s="15"/>
      <c r="G245" s="15"/>
      <c r="H245" s="15"/>
      <c r="I245" s="15"/>
      <c r="J245" s="15" t="s">
        <v>2699</v>
      </c>
      <c r="K245" s="15" t="s">
        <v>16</v>
      </c>
      <c r="L245" s="15" t="s">
        <v>2419</v>
      </c>
      <c r="M245" s="15"/>
      <c r="N245" s="16"/>
    </row>
    <row r="246" spans="1:14" x14ac:dyDescent="0.25">
      <c r="A246" s="20"/>
      <c r="B246" s="35" t="s">
        <v>2638</v>
      </c>
      <c r="C246" s="42" t="s">
        <v>12</v>
      </c>
      <c r="D246" s="15" t="s">
        <v>1599</v>
      </c>
      <c r="E246" s="15" t="s">
        <v>1600</v>
      </c>
      <c r="F246" s="15"/>
      <c r="G246" s="15"/>
      <c r="H246" s="15"/>
      <c r="I246" s="90"/>
      <c r="J246" s="15" t="s">
        <v>2429</v>
      </c>
      <c r="K246" s="15" t="s">
        <v>16</v>
      </c>
      <c r="L246" s="15" t="s">
        <v>2639</v>
      </c>
      <c r="M246" s="15"/>
      <c r="N246" s="16"/>
    </row>
    <row r="247" spans="1:14" x14ac:dyDescent="0.25">
      <c r="A247" s="13"/>
      <c r="B247" s="35" t="s">
        <v>1282</v>
      </c>
      <c r="C247" s="42" t="s">
        <v>12</v>
      </c>
      <c r="D247" s="15" t="s">
        <v>1602</v>
      </c>
      <c r="E247" s="15" t="s">
        <v>1603</v>
      </c>
      <c r="F247" s="15"/>
      <c r="G247" s="15"/>
      <c r="H247" s="15"/>
      <c r="I247" s="15"/>
      <c r="J247" s="15"/>
      <c r="K247" s="15" t="s">
        <v>16</v>
      </c>
      <c r="L247" s="15"/>
      <c r="M247" s="15"/>
      <c r="N247" s="16"/>
    </row>
    <row r="248" spans="1:14" x14ac:dyDescent="0.25">
      <c r="A248" s="13"/>
      <c r="B248" s="35" t="s">
        <v>1280</v>
      </c>
      <c r="C248" s="42" t="s">
        <v>12</v>
      </c>
      <c r="D248" s="15" t="s">
        <v>1605</v>
      </c>
      <c r="E248" s="15" t="s">
        <v>1606</v>
      </c>
      <c r="F248" s="15"/>
      <c r="G248" s="15"/>
      <c r="H248" s="15"/>
      <c r="I248" s="15"/>
      <c r="J248" s="15"/>
      <c r="K248" s="15" t="s">
        <v>16</v>
      </c>
      <c r="L248" s="15"/>
      <c r="M248" s="15"/>
      <c r="N248" s="16"/>
    </row>
    <row r="249" spans="1:14" x14ac:dyDescent="0.25">
      <c r="A249" s="13"/>
      <c r="B249" s="35" t="s">
        <v>1278</v>
      </c>
      <c r="C249" s="42" t="s">
        <v>12</v>
      </c>
      <c r="D249" s="15" t="s">
        <v>1608</v>
      </c>
      <c r="E249" s="15" t="s">
        <v>1609</v>
      </c>
      <c r="F249" s="15"/>
      <c r="G249" s="15"/>
      <c r="H249" s="15"/>
      <c r="I249" s="15"/>
      <c r="J249" s="15"/>
      <c r="K249" s="15" t="s">
        <v>16</v>
      </c>
      <c r="L249" s="15"/>
      <c r="M249" s="15"/>
      <c r="N249" s="16"/>
    </row>
    <row r="250" spans="1:14" x14ac:dyDescent="0.25">
      <c r="A250" s="13"/>
      <c r="B250" s="35" t="s">
        <v>1276</v>
      </c>
      <c r="C250" s="42" t="s">
        <v>12</v>
      </c>
      <c r="D250" s="15" t="s">
        <v>1611</v>
      </c>
      <c r="E250" s="15" t="s">
        <v>1612</v>
      </c>
      <c r="F250" s="15"/>
      <c r="G250" s="15"/>
      <c r="H250" s="15"/>
      <c r="I250" s="15"/>
      <c r="J250" s="15"/>
      <c r="K250" s="15" t="s">
        <v>16</v>
      </c>
      <c r="L250" s="15"/>
      <c r="M250" s="15"/>
      <c r="N250" s="16"/>
    </row>
    <row r="251" spans="1:14" x14ac:dyDescent="0.25">
      <c r="A251" s="13"/>
      <c r="B251" s="35" t="s">
        <v>1274</v>
      </c>
      <c r="C251" s="42" t="s">
        <v>12</v>
      </c>
      <c r="D251" s="15" t="s">
        <v>1614</v>
      </c>
      <c r="E251" s="15" t="s">
        <v>1615</v>
      </c>
      <c r="F251" s="15"/>
      <c r="G251" s="15"/>
      <c r="H251" s="15"/>
      <c r="I251" s="15"/>
      <c r="J251" s="15" t="s">
        <v>2950</v>
      </c>
      <c r="K251" s="15" t="s">
        <v>16</v>
      </c>
      <c r="L251" s="15" t="s">
        <v>2257</v>
      </c>
      <c r="M251" s="15"/>
      <c r="N251" s="16"/>
    </row>
    <row r="252" spans="1:14" x14ac:dyDescent="0.25">
      <c r="A252" s="13"/>
      <c r="B252" s="35" t="s">
        <v>1272</v>
      </c>
      <c r="C252" s="42" t="s">
        <v>12</v>
      </c>
      <c r="D252" s="15" t="s">
        <v>1617</v>
      </c>
      <c r="E252" s="15" t="s">
        <v>1618</v>
      </c>
      <c r="F252" s="15"/>
      <c r="G252" s="15"/>
      <c r="H252" s="15"/>
      <c r="I252" s="15"/>
      <c r="J252" s="15"/>
      <c r="K252" s="15" t="s">
        <v>16</v>
      </c>
      <c r="L252" s="15"/>
      <c r="M252" s="15"/>
      <c r="N252" s="16"/>
    </row>
    <row r="253" spans="1:14" x14ac:dyDescent="0.25">
      <c r="A253" s="13"/>
      <c r="B253" s="35" t="s">
        <v>1270</v>
      </c>
      <c r="C253" s="42" t="s">
        <v>1268</v>
      </c>
      <c r="D253" s="15" t="s">
        <v>1620</v>
      </c>
      <c r="E253" s="15" t="s">
        <v>1621</v>
      </c>
      <c r="F253" s="15"/>
      <c r="G253" s="15"/>
      <c r="H253" s="15"/>
      <c r="I253" s="15"/>
      <c r="J253" s="15"/>
      <c r="K253" s="15" t="s">
        <v>16</v>
      </c>
      <c r="L253" s="15"/>
      <c r="M253" s="15"/>
      <c r="N253" s="16"/>
    </row>
    <row r="254" spans="1:14" x14ac:dyDescent="0.25">
      <c r="A254" s="13"/>
      <c r="B254" s="35" t="s">
        <v>1265</v>
      </c>
      <c r="C254" s="42" t="s">
        <v>12</v>
      </c>
      <c r="D254" s="15" t="s">
        <v>1623</v>
      </c>
      <c r="E254" s="15" t="s">
        <v>1624</v>
      </c>
      <c r="F254" s="15"/>
      <c r="G254" s="15"/>
      <c r="H254" s="15"/>
      <c r="I254" s="15"/>
      <c r="J254" s="15" t="s">
        <v>2283</v>
      </c>
      <c r="K254" s="15" t="s">
        <v>16</v>
      </c>
      <c r="L254" s="15" t="s">
        <v>2393</v>
      </c>
      <c r="M254" s="15"/>
      <c r="N254" s="16"/>
    </row>
    <row r="255" spans="1:14" x14ac:dyDescent="0.25">
      <c r="A255" s="13"/>
      <c r="B255" s="35" t="s">
        <v>1263</v>
      </c>
      <c r="C255" s="42" t="s">
        <v>12</v>
      </c>
      <c r="D255" s="15" t="s">
        <v>1626</v>
      </c>
      <c r="E255" s="15" t="s">
        <v>1627</v>
      </c>
      <c r="F255" s="15"/>
      <c r="G255" s="15"/>
      <c r="H255" s="15"/>
      <c r="I255" s="15"/>
      <c r="J255" s="15" t="s">
        <v>2283</v>
      </c>
      <c r="K255" s="15" t="s">
        <v>16</v>
      </c>
      <c r="L255" s="15" t="s">
        <v>2263</v>
      </c>
      <c r="M255" s="15"/>
      <c r="N255" s="16"/>
    </row>
    <row r="256" spans="1:14" x14ac:dyDescent="0.25">
      <c r="A256" s="13"/>
      <c r="B256" s="35" t="s">
        <v>1261</v>
      </c>
      <c r="C256" s="42" t="s">
        <v>12</v>
      </c>
      <c r="D256" s="15" t="s">
        <v>1629</v>
      </c>
      <c r="E256" s="15" t="s">
        <v>1630</v>
      </c>
      <c r="F256" s="15"/>
      <c r="G256" s="15"/>
      <c r="H256" s="15"/>
      <c r="I256" s="15"/>
      <c r="J256" s="15" t="s">
        <v>2283</v>
      </c>
      <c r="K256" s="15" t="s">
        <v>16</v>
      </c>
      <c r="L256" s="15" t="s">
        <v>2263</v>
      </c>
      <c r="M256" s="15"/>
      <c r="N256" s="16"/>
    </row>
    <row r="257" spans="1:14" x14ac:dyDescent="0.25">
      <c r="A257" s="13"/>
      <c r="B257" s="35" t="s">
        <v>1259</v>
      </c>
      <c r="C257" s="42" t="s">
        <v>12</v>
      </c>
      <c r="D257" s="15" t="s">
        <v>1632</v>
      </c>
      <c r="E257" s="15" t="s">
        <v>1633</v>
      </c>
      <c r="F257" s="15"/>
      <c r="G257" s="15"/>
      <c r="H257" s="15"/>
      <c r="I257" s="15"/>
      <c r="J257" s="15" t="s">
        <v>2283</v>
      </c>
      <c r="K257" s="15" t="s">
        <v>16</v>
      </c>
      <c r="L257" s="15" t="s">
        <v>2265</v>
      </c>
      <c r="M257" s="15"/>
      <c r="N257" s="16"/>
    </row>
    <row r="258" spans="1:14" x14ac:dyDescent="0.25">
      <c r="A258" s="20"/>
      <c r="B258" s="35" t="s">
        <v>1532</v>
      </c>
      <c r="C258" s="42" t="s">
        <v>88</v>
      </c>
      <c r="D258" s="15" t="s">
        <v>1635</v>
      </c>
      <c r="E258" s="15" t="s">
        <v>1636</v>
      </c>
      <c r="F258" s="15"/>
      <c r="G258" s="15"/>
      <c r="H258" s="15"/>
      <c r="I258" s="15"/>
      <c r="J258" s="15"/>
      <c r="K258" s="15" t="s">
        <v>16</v>
      </c>
      <c r="L258" s="15"/>
      <c r="M258" s="15"/>
      <c r="N258" s="16"/>
    </row>
    <row r="259" spans="1:14" x14ac:dyDescent="0.25">
      <c r="A259" s="20"/>
      <c r="B259" s="35" t="s">
        <v>2914</v>
      </c>
      <c r="C259" s="42" t="s">
        <v>88</v>
      </c>
      <c r="D259" s="15" t="s">
        <v>1638</v>
      </c>
      <c r="E259" s="15" t="s">
        <v>1639</v>
      </c>
      <c r="F259" s="15"/>
      <c r="G259" s="15"/>
      <c r="H259" s="15"/>
      <c r="I259" s="15"/>
      <c r="J259" s="15" t="s">
        <v>2906</v>
      </c>
      <c r="K259" s="15" t="s">
        <v>16</v>
      </c>
      <c r="L259" s="15" t="s">
        <v>2405</v>
      </c>
      <c r="M259" s="15"/>
      <c r="N259" s="16"/>
    </row>
    <row r="260" spans="1:14" x14ac:dyDescent="0.25">
      <c r="A260" s="20"/>
      <c r="B260" s="35" t="s">
        <v>2916</v>
      </c>
      <c r="C260" s="42" t="s">
        <v>88</v>
      </c>
      <c r="D260" s="15" t="s">
        <v>1641</v>
      </c>
      <c r="E260" s="15" t="s">
        <v>1642</v>
      </c>
      <c r="F260" s="15"/>
      <c r="G260" s="15"/>
      <c r="H260" s="15"/>
      <c r="I260" s="15"/>
      <c r="J260" s="15" t="s">
        <v>2906</v>
      </c>
      <c r="K260" s="15" t="s">
        <v>16</v>
      </c>
      <c r="L260" s="15" t="s">
        <v>2284</v>
      </c>
      <c r="M260" s="15"/>
      <c r="N260" s="16"/>
    </row>
    <row r="261" spans="1:14" x14ac:dyDescent="0.25">
      <c r="A261" s="20"/>
      <c r="B261" s="35" t="s">
        <v>1526</v>
      </c>
      <c r="C261" s="42" t="s">
        <v>88</v>
      </c>
      <c r="D261" s="15" t="s">
        <v>1644</v>
      </c>
      <c r="E261" s="15" t="s">
        <v>1645</v>
      </c>
      <c r="F261" s="15"/>
      <c r="G261" s="15"/>
      <c r="H261" s="15"/>
      <c r="I261" s="15"/>
      <c r="J261" s="15"/>
      <c r="K261" s="15" t="s">
        <v>16</v>
      </c>
      <c r="L261" s="15"/>
      <c r="M261" s="15"/>
      <c r="N261" s="16"/>
    </row>
    <row r="262" spans="1:14" x14ac:dyDescent="0.25">
      <c r="A262" s="20"/>
      <c r="B262" s="35" t="s">
        <v>1529</v>
      </c>
      <c r="C262" s="42" t="s">
        <v>88</v>
      </c>
      <c r="D262" s="15" t="s">
        <v>1647</v>
      </c>
      <c r="E262" s="15" t="s">
        <v>1648</v>
      </c>
      <c r="F262" s="15"/>
      <c r="G262" s="15"/>
      <c r="H262" s="15"/>
      <c r="I262" s="15"/>
      <c r="J262" s="15"/>
      <c r="K262" s="15" t="s">
        <v>16</v>
      </c>
      <c r="L262" s="15"/>
      <c r="M262" s="15"/>
      <c r="N262" s="16"/>
    </row>
    <row r="263" spans="1:14" x14ac:dyDescent="0.25">
      <c r="A263" s="20"/>
      <c r="B263" s="35" t="s">
        <v>2915</v>
      </c>
      <c r="C263" s="42" t="s">
        <v>88</v>
      </c>
      <c r="D263" s="15" t="s">
        <v>1650</v>
      </c>
      <c r="E263" s="15" t="s">
        <v>1651</v>
      </c>
      <c r="F263" s="15"/>
      <c r="G263" s="15"/>
      <c r="H263" s="15"/>
      <c r="I263" s="15"/>
      <c r="J263" s="15" t="s">
        <v>2906</v>
      </c>
      <c r="K263" s="15" t="s">
        <v>16</v>
      </c>
      <c r="L263" s="15" t="s">
        <v>2405</v>
      </c>
      <c r="M263" s="15"/>
      <c r="N263" s="16"/>
    </row>
    <row r="264" spans="1:14" x14ac:dyDescent="0.25">
      <c r="A264" s="20"/>
      <c r="B264" s="35" t="s">
        <v>2922</v>
      </c>
      <c r="C264" s="42" t="s">
        <v>88</v>
      </c>
      <c r="D264" s="15" t="s">
        <v>1653</v>
      </c>
      <c r="E264" s="15" t="s">
        <v>1654</v>
      </c>
      <c r="F264" s="15"/>
      <c r="G264" s="15"/>
      <c r="H264" s="15"/>
      <c r="I264" s="15"/>
      <c r="J264" s="15" t="s">
        <v>2906</v>
      </c>
      <c r="K264" s="15" t="s">
        <v>16</v>
      </c>
      <c r="L264" s="15" t="s">
        <v>2284</v>
      </c>
      <c r="M264" s="15"/>
      <c r="N264" s="16"/>
    </row>
    <row r="265" spans="1:14" x14ac:dyDescent="0.25">
      <c r="A265" s="20"/>
      <c r="B265" s="35" t="s">
        <v>2920</v>
      </c>
      <c r="C265" s="42" t="s">
        <v>88</v>
      </c>
      <c r="D265" s="15" t="s">
        <v>1656</v>
      </c>
      <c r="E265" s="15" t="s">
        <v>1657</v>
      </c>
      <c r="F265" s="15"/>
      <c r="G265" s="15"/>
      <c r="H265" s="15"/>
      <c r="I265" s="15"/>
      <c r="J265" s="15" t="s">
        <v>2906</v>
      </c>
      <c r="K265" s="15" t="s">
        <v>16</v>
      </c>
      <c r="L265" s="15" t="s">
        <v>2405</v>
      </c>
      <c r="M265" s="15"/>
      <c r="N265" s="16"/>
    </row>
    <row r="266" spans="1:14" x14ac:dyDescent="0.25">
      <c r="A266" s="20"/>
      <c r="B266" s="35" t="s">
        <v>2923</v>
      </c>
      <c r="C266" s="42" t="s">
        <v>88</v>
      </c>
      <c r="D266" s="15" t="s">
        <v>1659</v>
      </c>
      <c r="E266" s="15" t="s">
        <v>1660</v>
      </c>
      <c r="F266" s="15"/>
      <c r="G266" s="15"/>
      <c r="H266" s="15"/>
      <c r="I266" s="15"/>
      <c r="J266" s="15" t="s">
        <v>2893</v>
      </c>
      <c r="K266" s="15" t="s">
        <v>16</v>
      </c>
      <c r="L266" s="15" t="s">
        <v>2284</v>
      </c>
      <c r="M266" s="15"/>
      <c r="N266" s="16"/>
    </row>
    <row r="267" spans="1:14" x14ac:dyDescent="0.25">
      <c r="A267" s="20"/>
      <c r="B267" s="35" t="s">
        <v>1523</v>
      </c>
      <c r="C267" s="42" t="s">
        <v>88</v>
      </c>
      <c r="D267" s="15" t="s">
        <v>1662</v>
      </c>
      <c r="E267" s="15" t="s">
        <v>1663</v>
      </c>
      <c r="F267" s="15"/>
      <c r="G267" s="15"/>
      <c r="H267" s="15"/>
      <c r="I267" s="15"/>
      <c r="J267" s="15"/>
      <c r="K267" s="15" t="s">
        <v>16</v>
      </c>
      <c r="L267" s="15"/>
      <c r="M267" s="15"/>
      <c r="N267" s="16"/>
    </row>
    <row r="268" spans="1:14" x14ac:dyDescent="0.25">
      <c r="A268" s="20"/>
      <c r="B268" s="35" t="s">
        <v>2425</v>
      </c>
      <c r="C268" s="42" t="s">
        <v>88</v>
      </c>
      <c r="D268" s="15" t="s">
        <v>1665</v>
      </c>
      <c r="E268" s="15" t="s">
        <v>1666</v>
      </c>
      <c r="F268" s="15"/>
      <c r="G268" s="15"/>
      <c r="H268" s="15"/>
      <c r="I268" s="15"/>
      <c r="J268" s="15" t="s">
        <v>2400</v>
      </c>
      <c r="K268" s="15" t="s">
        <v>16</v>
      </c>
      <c r="L268" s="15" t="s">
        <v>2259</v>
      </c>
      <c r="M268" s="15"/>
      <c r="N268" s="16"/>
    </row>
    <row r="269" spans="1:14" x14ac:dyDescent="0.25">
      <c r="A269" s="20"/>
      <c r="B269" s="35" t="s">
        <v>2919</v>
      </c>
      <c r="C269" s="42" t="s">
        <v>88</v>
      </c>
      <c r="D269" s="15" t="s">
        <v>1668</v>
      </c>
      <c r="E269" s="15" t="s">
        <v>1669</v>
      </c>
      <c r="F269" s="15"/>
      <c r="G269" s="15"/>
      <c r="H269" s="15"/>
      <c r="I269" s="15"/>
      <c r="J269" s="15" t="s">
        <v>2906</v>
      </c>
      <c r="K269" s="15" t="s">
        <v>16</v>
      </c>
      <c r="L269" s="15" t="s">
        <v>2419</v>
      </c>
      <c r="M269" s="15"/>
      <c r="N269" s="16"/>
    </row>
    <row r="270" spans="1:14" x14ac:dyDescent="0.25">
      <c r="A270" s="20"/>
      <c r="B270" s="35" t="s">
        <v>1586</v>
      </c>
      <c r="C270" s="42" t="s">
        <v>88</v>
      </c>
      <c r="D270" s="15" t="s">
        <v>1671</v>
      </c>
      <c r="E270" s="15" t="s">
        <v>1672</v>
      </c>
      <c r="F270" s="15"/>
      <c r="G270" s="15"/>
      <c r="H270" s="15"/>
      <c r="I270" s="15"/>
      <c r="J270" s="15"/>
      <c r="K270" s="15" t="s">
        <v>16</v>
      </c>
      <c r="L270" s="15"/>
      <c r="M270" s="15"/>
      <c r="N270" s="16"/>
    </row>
    <row r="271" spans="1:14" x14ac:dyDescent="0.25">
      <c r="A271" s="20"/>
      <c r="B271" s="35" t="s">
        <v>2424</v>
      </c>
      <c r="C271" s="42" t="s">
        <v>88</v>
      </c>
      <c r="D271" s="15" t="s">
        <v>1674</v>
      </c>
      <c r="E271" s="15" t="s">
        <v>1675</v>
      </c>
      <c r="F271" s="15"/>
      <c r="G271" s="15"/>
      <c r="H271" s="15"/>
      <c r="I271" s="15"/>
      <c r="J271" s="15" t="s">
        <v>2400</v>
      </c>
      <c r="K271" s="15" t="s">
        <v>16</v>
      </c>
      <c r="L271" s="15" t="s">
        <v>2402</v>
      </c>
      <c r="M271" s="15"/>
      <c r="N271" s="16"/>
    </row>
    <row r="272" spans="1:14" x14ac:dyDescent="0.25">
      <c r="A272" s="20"/>
      <c r="B272" s="35" t="s">
        <v>1583</v>
      </c>
      <c r="C272" s="42" t="s">
        <v>88</v>
      </c>
      <c r="D272" s="15" t="s">
        <v>1677</v>
      </c>
      <c r="E272" s="15" t="s">
        <v>1678</v>
      </c>
      <c r="F272" s="15"/>
      <c r="G272" s="15"/>
      <c r="H272" s="15"/>
      <c r="I272" s="15"/>
      <c r="J272" s="15"/>
      <c r="K272" s="15" t="s">
        <v>16</v>
      </c>
      <c r="L272" s="15"/>
      <c r="M272" s="15"/>
      <c r="N272" s="16"/>
    </row>
    <row r="273" spans="1:14" x14ac:dyDescent="0.25">
      <c r="A273" s="20"/>
      <c r="B273" s="35" t="s">
        <v>2632</v>
      </c>
      <c r="C273" s="42" t="s">
        <v>88</v>
      </c>
      <c r="D273" s="15" t="s">
        <v>1680</v>
      </c>
      <c r="E273" s="15" t="s">
        <v>1681</v>
      </c>
      <c r="F273" s="15"/>
      <c r="G273" s="15"/>
      <c r="H273" s="15"/>
      <c r="I273" s="15"/>
      <c r="J273" s="15" t="s">
        <v>2399</v>
      </c>
      <c r="K273" s="15" t="s">
        <v>16</v>
      </c>
      <c r="L273" s="15" t="s">
        <v>2633</v>
      </c>
      <c r="M273" s="15"/>
      <c r="N273" s="16"/>
    </row>
    <row r="274" spans="1:14" x14ac:dyDescent="0.25">
      <c r="A274" s="20"/>
      <c r="B274" s="35" t="s">
        <v>2632</v>
      </c>
      <c r="C274" s="42" t="s">
        <v>88</v>
      </c>
      <c r="D274" s="15" t="s">
        <v>1683</v>
      </c>
      <c r="E274" s="15" t="s">
        <v>1684</v>
      </c>
      <c r="F274" s="15"/>
      <c r="G274" s="15"/>
      <c r="H274" s="15"/>
      <c r="I274" s="15"/>
      <c r="J274" s="15" t="s">
        <v>2893</v>
      </c>
      <c r="K274" s="15" t="s">
        <v>16</v>
      </c>
      <c r="L274" s="15" t="s">
        <v>2284</v>
      </c>
      <c r="M274" s="15"/>
      <c r="N274" s="16"/>
    </row>
    <row r="275" spans="1:14" x14ac:dyDescent="0.25">
      <c r="A275" s="20"/>
      <c r="B275" s="35" t="s">
        <v>1580</v>
      </c>
      <c r="C275" s="42" t="s">
        <v>88</v>
      </c>
      <c r="D275" s="15" t="s">
        <v>1686</v>
      </c>
      <c r="E275" s="15" t="s">
        <v>1687</v>
      </c>
      <c r="F275" s="15"/>
      <c r="G275" s="15"/>
      <c r="H275" s="15"/>
      <c r="I275" s="15"/>
      <c r="J275" s="15" t="s">
        <v>2400</v>
      </c>
      <c r="K275" s="15" t="s">
        <v>16</v>
      </c>
      <c r="L275" s="15" t="s">
        <v>2233</v>
      </c>
      <c r="M275" s="15"/>
      <c r="N275" s="16"/>
    </row>
    <row r="276" spans="1:14" x14ac:dyDescent="0.25">
      <c r="A276" s="20"/>
      <c r="B276" s="35" t="s">
        <v>2421</v>
      </c>
      <c r="C276" s="42" t="s">
        <v>88</v>
      </c>
      <c r="D276" s="15" t="s">
        <v>1689</v>
      </c>
      <c r="E276" s="15" t="s">
        <v>1690</v>
      </c>
      <c r="F276" s="15"/>
      <c r="G276" s="15"/>
      <c r="H276" s="15"/>
      <c r="I276" s="15"/>
      <c r="J276" s="15" t="s">
        <v>2400</v>
      </c>
      <c r="K276" s="15" t="s">
        <v>16</v>
      </c>
      <c r="L276" s="15" t="s">
        <v>3287</v>
      </c>
      <c r="M276" s="15"/>
      <c r="N276" s="16"/>
    </row>
    <row r="277" spans="1:14" x14ac:dyDescent="0.25">
      <c r="A277" s="20"/>
      <c r="B277" s="35" t="s">
        <v>1577</v>
      </c>
      <c r="C277" s="42" t="s">
        <v>88</v>
      </c>
      <c r="D277" s="15" t="s">
        <v>1692</v>
      </c>
      <c r="E277" s="15" t="s">
        <v>1693</v>
      </c>
      <c r="F277" s="15"/>
      <c r="G277" s="15"/>
      <c r="H277" s="15"/>
      <c r="I277" s="15"/>
      <c r="J277" s="15" t="s">
        <v>2399</v>
      </c>
      <c r="K277" s="15" t="s">
        <v>16</v>
      </c>
      <c r="L277" s="15" t="s">
        <v>3314</v>
      </c>
      <c r="M277" s="15"/>
      <c r="N277" s="16"/>
    </row>
    <row r="278" spans="1:14" x14ac:dyDescent="0.25">
      <c r="A278" s="20"/>
      <c r="B278" s="35" t="s">
        <v>2634</v>
      </c>
      <c r="C278" s="42" t="s">
        <v>88</v>
      </c>
      <c r="D278" s="15" t="s">
        <v>3468</v>
      </c>
      <c r="E278" s="15" t="s">
        <v>3454</v>
      </c>
      <c r="F278" s="15"/>
      <c r="G278" s="15"/>
      <c r="H278" s="15"/>
      <c r="I278" s="15"/>
      <c r="J278" s="15" t="s">
        <v>2399</v>
      </c>
      <c r="K278" s="15" t="s">
        <v>16</v>
      </c>
      <c r="L278" s="15" t="s">
        <v>2267</v>
      </c>
      <c r="M278" s="15"/>
      <c r="N278" s="16"/>
    </row>
    <row r="279" spans="1:14" s="108" customFormat="1" x14ac:dyDescent="0.25">
      <c r="A279" s="20"/>
      <c r="B279" s="35" t="s">
        <v>2634</v>
      </c>
      <c r="C279" s="42" t="s">
        <v>88</v>
      </c>
      <c r="D279" s="15" t="s">
        <v>3469</v>
      </c>
      <c r="E279" s="15" t="s">
        <v>4123</v>
      </c>
      <c r="F279" s="15"/>
      <c r="G279" s="15"/>
      <c r="H279" s="15"/>
      <c r="I279" s="15"/>
      <c r="J279" s="15" t="s">
        <v>2893</v>
      </c>
      <c r="K279" s="15" t="s">
        <v>16</v>
      </c>
      <c r="L279" s="15" t="s">
        <v>2284</v>
      </c>
      <c r="M279" s="15"/>
      <c r="N279" s="16"/>
    </row>
    <row r="280" spans="1:14" s="108" customFormat="1" x14ac:dyDescent="0.25">
      <c r="A280" s="20"/>
      <c r="B280" s="35" t="s">
        <v>1574</v>
      </c>
      <c r="C280" s="42" t="s">
        <v>88</v>
      </c>
      <c r="D280" s="15" t="s">
        <v>3470</v>
      </c>
      <c r="E280" s="15" t="s">
        <v>4124</v>
      </c>
      <c r="F280" s="15"/>
      <c r="G280" s="15"/>
      <c r="H280" s="15"/>
      <c r="I280" s="15"/>
      <c r="J280" s="15" t="s">
        <v>2399</v>
      </c>
      <c r="K280" s="15" t="s">
        <v>16</v>
      </c>
      <c r="L280" s="15" t="s">
        <v>2426</v>
      </c>
      <c r="M280" s="15"/>
      <c r="N280" s="16"/>
    </row>
    <row r="281" spans="1:14" s="11" customFormat="1" x14ac:dyDescent="0.25">
      <c r="A281" s="20"/>
      <c r="B281" s="35" t="s">
        <v>1571</v>
      </c>
      <c r="C281" s="42" t="s">
        <v>88</v>
      </c>
      <c r="D281" s="15" t="s">
        <v>3471</v>
      </c>
      <c r="E281" s="15" t="s">
        <v>4125</v>
      </c>
      <c r="F281" s="15"/>
      <c r="G281" s="15"/>
      <c r="H281" s="15"/>
      <c r="I281" s="15"/>
      <c r="J281" s="15" t="s">
        <v>2399</v>
      </c>
      <c r="K281" s="15" t="s">
        <v>16</v>
      </c>
      <c r="L281" s="15" t="s">
        <v>2405</v>
      </c>
      <c r="M281" s="15"/>
      <c r="N281" s="16"/>
    </row>
    <row r="282" spans="1:14" x14ac:dyDescent="0.25">
      <c r="A282" s="20"/>
      <c r="B282" s="35" t="s">
        <v>2422</v>
      </c>
      <c r="C282" s="42" t="s">
        <v>88</v>
      </c>
      <c r="D282" s="15" t="s">
        <v>3472</v>
      </c>
      <c r="E282" s="15" t="s">
        <v>4126</v>
      </c>
      <c r="F282" s="15"/>
      <c r="G282" s="15"/>
      <c r="H282" s="15"/>
      <c r="I282" s="15"/>
      <c r="J282" s="15" t="s">
        <v>2400</v>
      </c>
      <c r="K282" s="15" t="s">
        <v>16</v>
      </c>
      <c r="L282" s="15" t="s">
        <v>2263</v>
      </c>
      <c r="M282" s="15"/>
      <c r="N282" s="16"/>
    </row>
    <row r="283" spans="1:14" x14ac:dyDescent="0.25">
      <c r="A283" s="20"/>
      <c r="B283" s="35" t="s">
        <v>2422</v>
      </c>
      <c r="C283" s="42" t="s">
        <v>88</v>
      </c>
      <c r="D283" s="15" t="s">
        <v>3473</v>
      </c>
      <c r="E283" s="15" t="s">
        <v>4127</v>
      </c>
      <c r="F283" s="15"/>
      <c r="G283" s="15"/>
      <c r="H283" s="15"/>
      <c r="I283" s="15"/>
      <c r="J283" s="15" t="s">
        <v>2893</v>
      </c>
      <c r="K283" s="15" t="s">
        <v>16</v>
      </c>
      <c r="L283" s="15" t="s">
        <v>2284</v>
      </c>
      <c r="M283" s="15"/>
      <c r="N283" s="16"/>
    </row>
    <row r="284" spans="1:14" x14ac:dyDescent="0.25">
      <c r="A284" s="20"/>
      <c r="B284" s="35" t="s">
        <v>1568</v>
      </c>
      <c r="C284" s="42" t="s">
        <v>88</v>
      </c>
      <c r="D284" s="15" t="s">
        <v>3474</v>
      </c>
      <c r="E284" s="15" t="s">
        <v>4128</v>
      </c>
      <c r="F284" s="15"/>
      <c r="G284" s="15"/>
      <c r="H284" s="15"/>
      <c r="I284" s="15"/>
      <c r="J284" s="15" t="s">
        <v>2399</v>
      </c>
      <c r="K284" s="15" t="s">
        <v>16</v>
      </c>
      <c r="L284" s="15" t="s">
        <v>2404</v>
      </c>
      <c r="M284" s="15"/>
      <c r="N284" s="16"/>
    </row>
    <row r="285" spans="1:14" s="108" customFormat="1" x14ac:dyDescent="0.25">
      <c r="A285" s="20"/>
      <c r="B285" s="35" t="s">
        <v>1565</v>
      </c>
      <c r="C285" s="42" t="s">
        <v>88</v>
      </c>
      <c r="D285" s="15" t="s">
        <v>3475</v>
      </c>
      <c r="E285" s="15" t="s">
        <v>4129</v>
      </c>
      <c r="F285" s="15"/>
      <c r="G285" s="15"/>
      <c r="H285" s="15"/>
      <c r="I285" s="15"/>
      <c r="J285" s="15" t="s">
        <v>2400</v>
      </c>
      <c r="K285" s="15" t="s">
        <v>16</v>
      </c>
      <c r="L285" s="15" t="s">
        <v>2284</v>
      </c>
      <c r="M285" s="15"/>
      <c r="N285" s="16"/>
    </row>
    <row r="286" spans="1:14" x14ac:dyDescent="0.25">
      <c r="A286" s="20"/>
      <c r="B286" s="35" t="s">
        <v>1562</v>
      </c>
      <c r="C286" s="42" t="s">
        <v>88</v>
      </c>
      <c r="D286" s="15" t="s">
        <v>3476</v>
      </c>
      <c r="E286" s="15" t="s">
        <v>4130</v>
      </c>
      <c r="F286" s="15"/>
      <c r="G286" s="15"/>
      <c r="H286" s="15"/>
      <c r="I286" s="15"/>
      <c r="J286" s="15" t="s">
        <v>2400</v>
      </c>
      <c r="K286" s="15" t="s">
        <v>16</v>
      </c>
      <c r="L286" s="15" t="s">
        <v>2420</v>
      </c>
      <c r="M286" s="15"/>
      <c r="N286" s="16"/>
    </row>
    <row r="287" spans="1:14" x14ac:dyDescent="0.25">
      <c r="A287" s="20"/>
      <c r="B287" s="35" t="s">
        <v>2926</v>
      </c>
      <c r="C287" s="42" t="s">
        <v>88</v>
      </c>
      <c r="D287" s="15" t="s">
        <v>3477</v>
      </c>
      <c r="E287" s="15" t="s">
        <v>4131</v>
      </c>
      <c r="F287" s="15"/>
      <c r="G287" s="15"/>
      <c r="H287" s="15"/>
      <c r="I287" s="15"/>
      <c r="J287" s="15" t="s">
        <v>2893</v>
      </c>
      <c r="K287" s="15" t="s">
        <v>16</v>
      </c>
      <c r="L287" s="15" t="s">
        <v>2284</v>
      </c>
      <c r="M287" s="15"/>
      <c r="N287" s="16"/>
    </row>
    <row r="288" spans="1:14" x14ac:dyDescent="0.25">
      <c r="A288" s="20"/>
      <c r="B288" s="35" t="s">
        <v>1559</v>
      </c>
      <c r="C288" s="42" t="s">
        <v>88</v>
      </c>
      <c r="D288" s="15" t="s">
        <v>3478</v>
      </c>
      <c r="E288" s="15" t="s">
        <v>4132</v>
      </c>
      <c r="F288" s="15"/>
      <c r="G288" s="15"/>
      <c r="H288" s="15"/>
      <c r="I288" s="15"/>
      <c r="J288" s="15" t="s">
        <v>2399</v>
      </c>
      <c r="K288" s="15" t="s">
        <v>16</v>
      </c>
      <c r="L288" s="15" t="s">
        <v>2263</v>
      </c>
      <c r="M288" s="15"/>
      <c r="N288" s="16"/>
    </row>
    <row r="289" spans="1:14" s="107" customFormat="1" x14ac:dyDescent="0.25">
      <c r="A289" s="20"/>
      <c r="B289" s="35" t="s">
        <v>2423</v>
      </c>
      <c r="C289" s="42" t="s">
        <v>88</v>
      </c>
      <c r="D289" s="15" t="s">
        <v>3479</v>
      </c>
      <c r="E289" s="15" t="s">
        <v>4133</v>
      </c>
      <c r="F289" s="15"/>
      <c r="G289" s="15"/>
      <c r="H289" s="15"/>
      <c r="I289" s="15"/>
      <c r="J289" s="15" t="s">
        <v>2400</v>
      </c>
      <c r="K289" s="15" t="s">
        <v>16</v>
      </c>
      <c r="L289" s="15" t="s">
        <v>2252</v>
      </c>
      <c r="M289" s="15"/>
      <c r="N289" s="16"/>
    </row>
    <row r="290" spans="1:14" s="107" customFormat="1" x14ac:dyDescent="0.25">
      <c r="A290" s="20"/>
      <c r="B290" s="35" t="s">
        <v>2415</v>
      </c>
      <c r="C290" s="42" t="s">
        <v>88</v>
      </c>
      <c r="D290" s="15" t="s">
        <v>3480</v>
      </c>
      <c r="E290" s="15" t="s">
        <v>4134</v>
      </c>
      <c r="F290" s="15"/>
      <c r="G290" s="15"/>
      <c r="H290" s="15"/>
      <c r="I290" s="15"/>
      <c r="J290" s="15" t="s">
        <v>2399</v>
      </c>
      <c r="K290" s="15" t="s">
        <v>16</v>
      </c>
      <c r="L290" s="15" t="s">
        <v>2419</v>
      </c>
      <c r="M290" s="15"/>
      <c r="N290" s="16"/>
    </row>
    <row r="291" spans="1:14" s="107" customFormat="1" x14ac:dyDescent="0.25">
      <c r="A291" s="20"/>
      <c r="B291" s="35" t="s">
        <v>2414</v>
      </c>
      <c r="C291" s="42" t="s">
        <v>88</v>
      </c>
      <c r="D291" s="15" t="s">
        <v>3481</v>
      </c>
      <c r="E291" s="15" t="s">
        <v>4135</v>
      </c>
      <c r="F291" s="15"/>
      <c r="G291" s="15"/>
      <c r="H291" s="15"/>
      <c r="I291" s="15"/>
      <c r="J291" s="15" t="s">
        <v>2399</v>
      </c>
      <c r="K291" s="15" t="s">
        <v>16</v>
      </c>
      <c r="L291" s="15" t="s">
        <v>2284</v>
      </c>
      <c r="M291" s="15"/>
      <c r="N291" s="16"/>
    </row>
    <row r="292" spans="1:14" s="107" customFormat="1" x14ac:dyDescent="0.25">
      <c r="A292" s="20"/>
      <c r="B292" s="35" t="s">
        <v>2407</v>
      </c>
      <c r="C292" s="42" t="s">
        <v>88</v>
      </c>
      <c r="D292" s="15" t="s">
        <v>3482</v>
      </c>
      <c r="E292" s="15" t="s">
        <v>4136</v>
      </c>
      <c r="F292" s="15"/>
      <c r="G292" s="15"/>
      <c r="H292" s="15"/>
      <c r="I292" s="15"/>
      <c r="J292" s="15" t="s">
        <v>2399</v>
      </c>
      <c r="K292" s="15" t="s">
        <v>16</v>
      </c>
      <c r="L292" s="15" t="s">
        <v>2408</v>
      </c>
      <c r="M292" s="15"/>
      <c r="N292" s="16"/>
    </row>
    <row r="293" spans="1:14" s="107" customFormat="1" x14ac:dyDescent="0.25">
      <c r="A293" s="20"/>
      <c r="B293" s="35" t="s">
        <v>2416</v>
      </c>
      <c r="C293" s="42" t="s">
        <v>88</v>
      </c>
      <c r="D293" s="15" t="s">
        <v>2778</v>
      </c>
      <c r="E293" s="15" t="s">
        <v>4137</v>
      </c>
      <c r="F293" s="15"/>
      <c r="G293" s="15"/>
      <c r="H293" s="15"/>
      <c r="I293" s="15"/>
      <c r="J293" s="15" t="s">
        <v>2399</v>
      </c>
      <c r="K293" s="15" t="s">
        <v>16</v>
      </c>
      <c r="L293" s="15" t="s">
        <v>2405</v>
      </c>
      <c r="M293" s="15"/>
      <c r="N293" s="16"/>
    </row>
    <row r="294" spans="1:14" x14ac:dyDescent="0.25">
      <c r="A294" s="20"/>
      <c r="B294" s="35" t="s">
        <v>1556</v>
      </c>
      <c r="C294" s="42" t="s">
        <v>88</v>
      </c>
      <c r="D294" s="15" t="s">
        <v>3483</v>
      </c>
      <c r="E294" s="15" t="s">
        <v>4138</v>
      </c>
      <c r="F294" s="15"/>
      <c r="G294" s="15"/>
      <c r="H294" s="15"/>
      <c r="I294" s="15"/>
      <c r="J294" s="15" t="s">
        <v>2399</v>
      </c>
      <c r="K294" s="15" t="s">
        <v>16</v>
      </c>
      <c r="L294" s="15" t="s">
        <v>2233</v>
      </c>
      <c r="M294" s="15"/>
      <c r="N294" s="16"/>
    </row>
    <row r="295" spans="1:14" x14ac:dyDescent="0.25">
      <c r="A295" s="20"/>
      <c r="B295" s="35" t="s">
        <v>2406</v>
      </c>
      <c r="C295" s="42" t="s">
        <v>88</v>
      </c>
      <c r="D295" s="15" t="s">
        <v>3484</v>
      </c>
      <c r="E295" s="15" t="s">
        <v>4139</v>
      </c>
      <c r="F295" s="15"/>
      <c r="G295" s="15"/>
      <c r="H295" s="15"/>
      <c r="I295" s="15"/>
      <c r="J295" s="15" t="s">
        <v>2399</v>
      </c>
      <c r="K295" s="15" t="s">
        <v>16</v>
      </c>
      <c r="L295" s="15" t="s">
        <v>2259</v>
      </c>
      <c r="M295" s="15"/>
      <c r="N295" s="16"/>
    </row>
    <row r="296" spans="1:14" x14ac:dyDescent="0.25">
      <c r="A296" s="20"/>
      <c r="B296" s="35" t="s">
        <v>2417</v>
      </c>
      <c r="C296" s="42" t="s">
        <v>88</v>
      </c>
      <c r="D296" s="15" t="s">
        <v>3485</v>
      </c>
      <c r="E296" s="15" t="s">
        <v>4140</v>
      </c>
      <c r="F296" s="15"/>
      <c r="G296" s="15"/>
      <c r="H296" s="15"/>
      <c r="I296" s="15"/>
      <c r="J296" s="15" t="s">
        <v>2399</v>
      </c>
      <c r="K296" s="15" t="s">
        <v>16</v>
      </c>
      <c r="L296" s="15" t="s">
        <v>2393</v>
      </c>
      <c r="M296" s="15"/>
      <c r="N296" s="16"/>
    </row>
    <row r="297" spans="1:14" x14ac:dyDescent="0.25">
      <c r="A297" s="20"/>
      <c r="B297" s="35" t="s">
        <v>1553</v>
      </c>
      <c r="C297" s="42" t="s">
        <v>88</v>
      </c>
      <c r="D297" s="15" t="s">
        <v>3486</v>
      </c>
      <c r="E297" s="15" t="s">
        <v>4141</v>
      </c>
      <c r="F297" s="15"/>
      <c r="G297" s="15"/>
      <c r="H297" s="15"/>
      <c r="I297" s="15"/>
      <c r="J297" s="15" t="s">
        <v>2399</v>
      </c>
      <c r="K297" s="15" t="s">
        <v>16</v>
      </c>
      <c r="L297" s="15" t="s">
        <v>2403</v>
      </c>
      <c r="M297" s="15"/>
      <c r="N297" s="16"/>
    </row>
    <row r="298" spans="1:14" x14ac:dyDescent="0.25">
      <c r="A298" s="20"/>
      <c r="B298" s="35" t="s">
        <v>1550</v>
      </c>
      <c r="C298" s="42" t="s">
        <v>88</v>
      </c>
      <c r="D298" s="15" t="s">
        <v>3487</v>
      </c>
      <c r="E298" s="15" t="s">
        <v>4142</v>
      </c>
      <c r="F298" s="15"/>
      <c r="G298" s="15"/>
      <c r="H298" s="15"/>
      <c r="I298" s="15"/>
      <c r="J298" s="15" t="s">
        <v>2399</v>
      </c>
      <c r="K298" s="15" t="s">
        <v>16</v>
      </c>
      <c r="L298" s="15" t="s">
        <v>2404</v>
      </c>
      <c r="M298" s="15"/>
      <c r="N298" s="16"/>
    </row>
    <row r="299" spans="1:14" x14ac:dyDescent="0.25">
      <c r="A299" s="20"/>
      <c r="B299" s="35" t="s">
        <v>1547</v>
      </c>
      <c r="C299" s="42" t="s">
        <v>88</v>
      </c>
      <c r="D299" s="15" t="s">
        <v>3488</v>
      </c>
      <c r="E299" s="15" t="s">
        <v>4143</v>
      </c>
      <c r="F299" s="15"/>
      <c r="G299" s="15"/>
      <c r="H299" s="15"/>
      <c r="I299" s="15"/>
      <c r="J299" s="15" t="s">
        <v>4583</v>
      </c>
      <c r="K299" s="15" t="s">
        <v>16</v>
      </c>
      <c r="L299" s="15" t="s">
        <v>2284</v>
      </c>
      <c r="M299" s="15"/>
      <c r="N299" s="16"/>
    </row>
    <row r="300" spans="1:14" x14ac:dyDescent="0.25">
      <c r="A300" s="20"/>
      <c r="B300" s="35" t="s">
        <v>1544</v>
      </c>
      <c r="C300" s="42" t="s">
        <v>88</v>
      </c>
      <c r="D300" s="15" t="s">
        <v>3489</v>
      </c>
      <c r="E300" s="15" t="s">
        <v>4144</v>
      </c>
      <c r="F300" s="15"/>
      <c r="G300" s="15"/>
      <c r="H300" s="15"/>
      <c r="I300" s="15"/>
      <c r="J300" s="15" t="s">
        <v>2399</v>
      </c>
      <c r="K300" s="15" t="s">
        <v>16</v>
      </c>
      <c r="L300" s="15" t="s">
        <v>2393</v>
      </c>
      <c r="M300" s="15"/>
      <c r="N300" s="16"/>
    </row>
    <row r="301" spans="1:14" x14ac:dyDescent="0.25">
      <c r="A301" s="20"/>
      <c r="B301" s="35" t="s">
        <v>1541</v>
      </c>
      <c r="C301" s="42" t="s">
        <v>88</v>
      </c>
      <c r="D301" s="15" t="s">
        <v>3490</v>
      </c>
      <c r="E301" s="15" t="s">
        <v>4145</v>
      </c>
      <c r="F301" s="15"/>
      <c r="G301" s="15"/>
      <c r="H301" s="15"/>
      <c r="I301" s="15"/>
      <c r="J301" s="15" t="s">
        <v>4583</v>
      </c>
      <c r="K301" s="15" t="s">
        <v>16</v>
      </c>
      <c r="L301" s="15" t="s">
        <v>2402</v>
      </c>
      <c r="M301" s="15"/>
      <c r="N301" s="16"/>
    </row>
    <row r="302" spans="1:14" x14ac:dyDescent="0.25">
      <c r="A302" s="20"/>
      <c r="B302" s="35" t="s">
        <v>1538</v>
      </c>
      <c r="C302" s="42" t="s">
        <v>88</v>
      </c>
      <c r="D302" s="15" t="s">
        <v>3491</v>
      </c>
      <c r="E302" s="15" t="s">
        <v>4146</v>
      </c>
      <c r="F302" s="15"/>
      <c r="G302" s="15"/>
      <c r="H302" s="15"/>
      <c r="I302" s="15"/>
      <c r="J302" s="15"/>
      <c r="K302" s="15" t="s">
        <v>16</v>
      </c>
      <c r="L302" s="15"/>
      <c r="M302" s="15"/>
      <c r="N302" s="16"/>
    </row>
    <row r="303" spans="1:14" x14ac:dyDescent="0.25">
      <c r="A303" s="20"/>
      <c r="B303" s="35" t="s">
        <v>2917</v>
      </c>
      <c r="C303" s="42" t="s">
        <v>88</v>
      </c>
      <c r="D303" s="15" t="s">
        <v>3492</v>
      </c>
      <c r="E303" s="15" t="s">
        <v>4147</v>
      </c>
      <c r="F303" s="15"/>
      <c r="G303" s="15"/>
      <c r="H303" s="15"/>
      <c r="I303" s="15"/>
      <c r="J303" s="15" t="s">
        <v>2906</v>
      </c>
      <c r="K303" s="15" t="s">
        <v>16</v>
      </c>
      <c r="L303" s="15" t="s">
        <v>1501</v>
      </c>
      <c r="M303" s="15"/>
      <c r="N303" s="16"/>
    </row>
    <row r="304" spans="1:14" x14ac:dyDescent="0.25">
      <c r="A304" s="20"/>
      <c r="B304" s="35" t="s">
        <v>2921</v>
      </c>
      <c r="C304" s="42" t="s">
        <v>88</v>
      </c>
      <c r="D304" s="15" t="s">
        <v>3493</v>
      </c>
      <c r="E304" s="15" t="s">
        <v>4148</v>
      </c>
      <c r="F304" s="15"/>
      <c r="G304" s="15"/>
      <c r="H304" s="15"/>
      <c r="I304" s="15"/>
      <c r="J304" s="15" t="s">
        <v>2906</v>
      </c>
      <c r="K304" s="15" t="s">
        <v>16</v>
      </c>
      <c r="L304" s="15" t="s">
        <v>2284</v>
      </c>
      <c r="M304" s="15"/>
      <c r="N304" s="16"/>
    </row>
    <row r="305" spans="1:14" x14ac:dyDescent="0.25">
      <c r="A305" s="20"/>
      <c r="B305" s="35" t="s">
        <v>1535</v>
      </c>
      <c r="C305" s="42" t="s">
        <v>88</v>
      </c>
      <c r="D305" s="15" t="s">
        <v>3494</v>
      </c>
      <c r="E305" s="15" t="s">
        <v>4149</v>
      </c>
      <c r="F305" s="15"/>
      <c r="G305" s="15"/>
      <c r="H305" s="15"/>
      <c r="I305" s="15"/>
      <c r="J305" s="15"/>
      <c r="K305" s="15" t="s">
        <v>16</v>
      </c>
      <c r="L305" s="15"/>
      <c r="M305" s="15"/>
      <c r="N305" s="16"/>
    </row>
    <row r="306" spans="1:14" x14ac:dyDescent="0.25">
      <c r="A306" s="13"/>
      <c r="B306" s="35" t="s">
        <v>2927</v>
      </c>
      <c r="C306" s="42" t="s">
        <v>88</v>
      </c>
      <c r="D306" s="15" t="s">
        <v>3495</v>
      </c>
      <c r="E306" s="15" t="s">
        <v>4150</v>
      </c>
      <c r="F306" s="15"/>
      <c r="G306" s="15"/>
      <c r="H306" s="15"/>
      <c r="I306" s="15"/>
      <c r="J306" s="15" t="s">
        <v>2925</v>
      </c>
      <c r="K306" s="15" t="s">
        <v>16</v>
      </c>
      <c r="L306" s="15" t="s">
        <v>2284</v>
      </c>
      <c r="M306" s="15"/>
      <c r="N306" s="16"/>
    </row>
    <row r="307" spans="1:14" x14ac:dyDescent="0.25">
      <c r="A307" s="13"/>
      <c r="B307" s="35" t="s">
        <v>2924</v>
      </c>
      <c r="C307" s="42" t="s">
        <v>88</v>
      </c>
      <c r="D307" s="15" t="s">
        <v>3496</v>
      </c>
      <c r="E307" s="15" t="s">
        <v>4151</v>
      </c>
      <c r="F307" s="15"/>
      <c r="G307" s="15"/>
      <c r="H307" s="15"/>
      <c r="I307" s="15"/>
      <c r="J307" s="15" t="s">
        <v>2925</v>
      </c>
      <c r="K307" s="15" t="s">
        <v>16</v>
      </c>
      <c r="L307" s="15" t="s">
        <v>2284</v>
      </c>
      <c r="M307" s="15"/>
      <c r="N307" s="16"/>
    </row>
    <row r="308" spans="1:14" x14ac:dyDescent="0.25">
      <c r="A308" s="13"/>
      <c r="B308" s="35" t="s">
        <v>1257</v>
      </c>
      <c r="C308" s="42" t="s">
        <v>88</v>
      </c>
      <c r="D308" s="15" t="s">
        <v>3497</v>
      </c>
      <c r="E308" s="15" t="s">
        <v>4152</v>
      </c>
      <c r="F308" s="15"/>
      <c r="G308" s="15"/>
      <c r="H308" s="15"/>
      <c r="I308" s="15"/>
      <c r="J308" s="15"/>
      <c r="K308" s="15" t="s">
        <v>16</v>
      </c>
      <c r="L308" s="15"/>
      <c r="M308" s="15"/>
      <c r="N308" s="16"/>
    </row>
    <row r="309" spans="1:14" x14ac:dyDescent="0.25">
      <c r="A309" s="13"/>
      <c r="B309" s="35" t="s">
        <v>1255</v>
      </c>
      <c r="C309" s="42" t="s">
        <v>12</v>
      </c>
      <c r="D309" s="15" t="s">
        <v>3498</v>
      </c>
      <c r="E309" s="15" t="s">
        <v>4153</v>
      </c>
      <c r="F309" s="15"/>
      <c r="G309" s="15"/>
      <c r="H309" s="15"/>
      <c r="I309" s="15"/>
      <c r="J309" s="15" t="s">
        <v>3236</v>
      </c>
      <c r="K309" s="15" t="s">
        <v>16</v>
      </c>
      <c r="L309" s="15" t="s">
        <v>2284</v>
      </c>
      <c r="M309" s="15"/>
      <c r="N309" s="16"/>
    </row>
    <row r="310" spans="1:14" x14ac:dyDescent="0.25">
      <c r="A310" s="13"/>
      <c r="B310" s="35" t="s">
        <v>1253</v>
      </c>
      <c r="C310" s="42" t="s">
        <v>88</v>
      </c>
      <c r="D310" s="15" t="s">
        <v>3499</v>
      </c>
      <c r="E310" s="15" t="s">
        <v>4154</v>
      </c>
      <c r="F310" s="15"/>
      <c r="G310" s="15"/>
      <c r="H310" s="15"/>
      <c r="I310" s="15"/>
      <c r="J310" s="15"/>
      <c r="K310" s="15" t="s">
        <v>16</v>
      </c>
      <c r="L310" s="15"/>
      <c r="M310" s="15"/>
      <c r="N310" s="16"/>
    </row>
    <row r="311" spans="1:14" x14ac:dyDescent="0.25">
      <c r="A311" s="13"/>
      <c r="B311" s="35" t="s">
        <v>1251</v>
      </c>
      <c r="C311" s="42" t="s">
        <v>88</v>
      </c>
      <c r="D311" s="15" t="s">
        <v>3151</v>
      </c>
      <c r="E311" s="15" t="s">
        <v>4155</v>
      </c>
      <c r="F311" s="15"/>
      <c r="G311" s="15"/>
      <c r="H311" s="15"/>
      <c r="I311" s="15"/>
      <c r="J311" s="15"/>
      <c r="K311" s="15" t="s">
        <v>16</v>
      </c>
      <c r="L311" s="15"/>
      <c r="M311" s="15"/>
      <c r="N311" s="16"/>
    </row>
    <row r="312" spans="1:14" x14ac:dyDescent="0.25">
      <c r="A312" s="13"/>
      <c r="B312" s="35" t="s">
        <v>1249</v>
      </c>
      <c r="C312" s="42" t="s">
        <v>12</v>
      </c>
      <c r="D312" s="15" t="s">
        <v>3500</v>
      </c>
      <c r="E312" s="15" t="s">
        <v>4156</v>
      </c>
      <c r="F312" s="15"/>
      <c r="G312" s="15"/>
      <c r="H312" s="15"/>
      <c r="I312" s="15"/>
      <c r="J312" s="15"/>
      <c r="K312" s="15" t="s">
        <v>16</v>
      </c>
      <c r="L312" s="15"/>
      <c r="M312" s="15"/>
      <c r="N312" s="16"/>
    </row>
    <row r="313" spans="1:14" x14ac:dyDescent="0.25">
      <c r="A313" s="13"/>
      <c r="B313" s="35" t="s">
        <v>1247</v>
      </c>
      <c r="C313" s="42" t="s">
        <v>12</v>
      </c>
      <c r="D313" s="15" t="s">
        <v>2391</v>
      </c>
      <c r="E313" s="15" t="s">
        <v>4157</v>
      </c>
      <c r="F313" s="15"/>
      <c r="G313" s="15"/>
      <c r="H313" s="15"/>
      <c r="I313" s="15"/>
      <c r="J313" s="15"/>
      <c r="K313" s="15" t="s">
        <v>16</v>
      </c>
      <c r="L313" s="15"/>
      <c r="M313" s="15"/>
      <c r="N313" s="16"/>
    </row>
    <row r="314" spans="1:14" x14ac:dyDescent="0.25">
      <c r="A314" s="13"/>
      <c r="B314" s="35" t="s">
        <v>1245</v>
      </c>
      <c r="C314" s="42" t="s">
        <v>12</v>
      </c>
      <c r="D314" s="15" t="s">
        <v>3501</v>
      </c>
      <c r="E314" s="15" t="s">
        <v>4158</v>
      </c>
      <c r="F314" s="15"/>
      <c r="G314" s="15"/>
      <c r="H314" s="15"/>
      <c r="I314" s="15"/>
      <c r="J314" s="15"/>
      <c r="K314" s="15" t="s">
        <v>16</v>
      </c>
      <c r="L314" s="15"/>
      <c r="M314" s="15"/>
      <c r="N314" s="16"/>
    </row>
    <row r="315" spans="1:14" ht="30" x14ac:dyDescent="0.25">
      <c r="A315" s="20"/>
      <c r="B315" s="35" t="s">
        <v>2636</v>
      </c>
      <c r="C315" s="42" t="s">
        <v>12</v>
      </c>
      <c r="D315" s="15" t="s">
        <v>3502</v>
      </c>
      <c r="E315" s="15" t="s">
        <v>4159</v>
      </c>
      <c r="F315" s="15"/>
      <c r="G315" s="15"/>
      <c r="H315" s="15"/>
      <c r="I315" s="90" t="s">
        <v>2637</v>
      </c>
      <c r="J315" s="15" t="s">
        <v>2399</v>
      </c>
      <c r="K315" s="15" t="s">
        <v>16</v>
      </c>
      <c r="L315" s="15" t="s">
        <v>2405</v>
      </c>
      <c r="M315" s="15"/>
      <c r="N315" s="16"/>
    </row>
    <row r="316" spans="1:14" x14ac:dyDescent="0.25">
      <c r="A316" s="20"/>
      <c r="B316" s="35" t="s">
        <v>3264</v>
      </c>
      <c r="C316" s="42" t="s">
        <v>12</v>
      </c>
      <c r="D316" s="15" t="s">
        <v>3503</v>
      </c>
      <c r="E316" s="15" t="s">
        <v>4160</v>
      </c>
      <c r="F316" s="15"/>
      <c r="G316" s="15" t="s">
        <v>3265</v>
      </c>
      <c r="H316" s="15"/>
      <c r="I316" s="15" t="s">
        <v>3266</v>
      </c>
      <c r="J316" s="15" t="s">
        <v>2950</v>
      </c>
      <c r="K316" s="15" t="s">
        <v>16</v>
      </c>
      <c r="L316" s="15" t="s">
        <v>2284</v>
      </c>
      <c r="M316" s="15"/>
      <c r="N316" s="16"/>
    </row>
    <row r="317" spans="1:14" x14ac:dyDescent="0.25">
      <c r="A317" s="20"/>
      <c r="B317" s="35" t="s">
        <v>3267</v>
      </c>
      <c r="C317" s="42" t="s">
        <v>12</v>
      </c>
      <c r="D317" s="15" t="s">
        <v>3504</v>
      </c>
      <c r="E317" s="15" t="s">
        <v>4161</v>
      </c>
      <c r="F317" s="15"/>
      <c r="G317" s="15" t="s">
        <v>3265</v>
      </c>
      <c r="H317" s="15"/>
      <c r="I317" s="15" t="s">
        <v>3266</v>
      </c>
      <c r="J317" s="15" t="s">
        <v>2950</v>
      </c>
      <c r="K317" s="15" t="s">
        <v>16</v>
      </c>
      <c r="L317" s="15" t="s">
        <v>2284</v>
      </c>
      <c r="M317" s="15"/>
      <c r="N317" s="16"/>
    </row>
    <row r="318" spans="1:14" x14ac:dyDescent="0.25">
      <c r="A318" s="20"/>
      <c r="B318" s="35" t="s">
        <v>3269</v>
      </c>
      <c r="C318" s="42" t="s">
        <v>12</v>
      </c>
      <c r="D318" s="15" t="s">
        <v>3505</v>
      </c>
      <c r="E318" s="15" t="s">
        <v>4162</v>
      </c>
      <c r="F318" s="15"/>
      <c r="G318" s="15" t="s">
        <v>3265</v>
      </c>
      <c r="H318" s="15"/>
      <c r="I318" s="15" t="s">
        <v>3266</v>
      </c>
      <c r="J318" s="15" t="s">
        <v>2950</v>
      </c>
      <c r="K318" s="15" t="s">
        <v>16</v>
      </c>
      <c r="L318" s="15" t="s">
        <v>2284</v>
      </c>
      <c r="M318" s="15"/>
      <c r="N318" s="16"/>
    </row>
    <row r="319" spans="1:14" x14ac:dyDescent="0.25">
      <c r="A319" s="20"/>
      <c r="B319" s="35" t="s">
        <v>3270</v>
      </c>
      <c r="C319" s="42" t="s">
        <v>12</v>
      </c>
      <c r="D319" s="15" t="s">
        <v>3506</v>
      </c>
      <c r="E319" s="15" t="s">
        <v>4163</v>
      </c>
      <c r="F319" s="15"/>
      <c r="G319" s="15" t="s">
        <v>3271</v>
      </c>
      <c r="H319" s="15"/>
      <c r="I319" s="15" t="s">
        <v>3265</v>
      </c>
      <c r="J319" s="15" t="s">
        <v>2950</v>
      </c>
      <c r="K319" s="15" t="s">
        <v>16</v>
      </c>
      <c r="L319" s="15" t="s">
        <v>2402</v>
      </c>
      <c r="M319" s="15"/>
      <c r="N319" s="16"/>
    </row>
    <row r="320" spans="1:14" x14ac:dyDescent="0.25">
      <c r="A320" s="20"/>
      <c r="B320" s="35" t="s">
        <v>3272</v>
      </c>
      <c r="C320" s="42" t="s">
        <v>12</v>
      </c>
      <c r="D320" s="15" t="s">
        <v>3507</v>
      </c>
      <c r="E320" s="15" t="s">
        <v>4164</v>
      </c>
      <c r="F320" s="15"/>
      <c r="G320" s="15"/>
      <c r="H320" s="15"/>
      <c r="I320" s="15" t="s">
        <v>3273</v>
      </c>
      <c r="J320" s="15" t="s">
        <v>2950</v>
      </c>
      <c r="K320" s="15" t="s">
        <v>16</v>
      </c>
      <c r="L320" s="15" t="s">
        <v>2405</v>
      </c>
      <c r="M320" s="15"/>
      <c r="N320" s="16"/>
    </row>
    <row r="321" spans="1:14" x14ac:dyDescent="0.25">
      <c r="A321" s="20"/>
      <c r="B321" s="35" t="s">
        <v>3268</v>
      </c>
      <c r="C321" s="42" t="s">
        <v>12</v>
      </c>
      <c r="D321" s="15" t="s">
        <v>3508</v>
      </c>
      <c r="E321" s="15" t="s">
        <v>4165</v>
      </c>
      <c r="F321" s="15"/>
      <c r="G321" s="15" t="s">
        <v>3265</v>
      </c>
      <c r="H321" s="15"/>
      <c r="I321" s="15" t="s">
        <v>3266</v>
      </c>
      <c r="J321" s="15" t="s">
        <v>2950</v>
      </c>
      <c r="K321" s="15" t="s">
        <v>16</v>
      </c>
      <c r="L321" s="15" t="s">
        <v>2284</v>
      </c>
      <c r="M321" s="15"/>
      <c r="N321" s="16"/>
    </row>
    <row r="322" spans="1:14" x14ac:dyDescent="0.25">
      <c r="A322" s="13"/>
      <c r="B322" s="35" t="s">
        <v>2939</v>
      </c>
      <c r="C322" s="42" t="s">
        <v>12</v>
      </c>
      <c r="D322" s="15" t="s">
        <v>3509</v>
      </c>
      <c r="E322" s="15" t="s">
        <v>4166</v>
      </c>
      <c r="F322" s="15"/>
      <c r="G322" s="15"/>
      <c r="H322" s="15"/>
      <c r="I322" s="15"/>
      <c r="J322" s="15" t="s">
        <v>2833</v>
      </c>
      <c r="K322" s="15" t="s">
        <v>16</v>
      </c>
      <c r="L322" s="15" t="s">
        <v>2284</v>
      </c>
      <c r="M322" s="15"/>
      <c r="N322" s="16"/>
    </row>
    <row r="323" spans="1:14" x14ac:dyDescent="0.25">
      <c r="A323" s="13"/>
      <c r="B323" s="35" t="s">
        <v>1292</v>
      </c>
      <c r="C323" s="42" t="s">
        <v>12</v>
      </c>
      <c r="D323" s="15" t="s">
        <v>3510</v>
      </c>
      <c r="E323" s="15" t="s">
        <v>4167</v>
      </c>
      <c r="F323" s="15"/>
      <c r="G323" s="15"/>
      <c r="H323" s="15"/>
      <c r="I323" s="15"/>
      <c r="J323" s="15"/>
      <c r="K323" s="15" t="s">
        <v>16</v>
      </c>
      <c r="L323" s="15"/>
      <c r="M323" s="15"/>
      <c r="N323" s="16"/>
    </row>
    <row r="324" spans="1:14" x14ac:dyDescent="0.25">
      <c r="A324" s="13"/>
      <c r="B324" s="35" t="s">
        <v>3335</v>
      </c>
      <c r="C324" s="42" t="s">
        <v>12</v>
      </c>
      <c r="D324" s="15" t="s">
        <v>3511</v>
      </c>
      <c r="E324" s="15" t="s">
        <v>4168</v>
      </c>
      <c r="F324" s="15"/>
      <c r="G324" s="15"/>
      <c r="H324" s="15"/>
      <c r="I324" s="15"/>
      <c r="J324" s="15" t="s">
        <v>2950</v>
      </c>
      <c r="K324" s="15" t="s">
        <v>16</v>
      </c>
      <c r="L324" s="15" t="s">
        <v>2419</v>
      </c>
      <c r="M324" s="15"/>
      <c r="N324" s="16"/>
    </row>
    <row r="325" spans="1:14" x14ac:dyDescent="0.25">
      <c r="A325" s="20"/>
      <c r="B325" s="35" t="s">
        <v>1443</v>
      </c>
      <c r="C325" s="42" t="s">
        <v>88</v>
      </c>
      <c r="D325" s="15" t="s">
        <v>3512</v>
      </c>
      <c r="E325" s="15" t="s">
        <v>4169</v>
      </c>
      <c r="F325" s="15"/>
      <c r="G325" s="15"/>
      <c r="H325" s="15"/>
      <c r="I325" s="15"/>
      <c r="J325" s="15"/>
      <c r="K325" s="15" t="s">
        <v>16</v>
      </c>
      <c r="L325" s="15"/>
      <c r="M325" s="15"/>
      <c r="N325" s="16"/>
    </row>
    <row r="326" spans="1:14" x14ac:dyDescent="0.25">
      <c r="A326" s="20"/>
      <c r="B326" s="35" t="s">
        <v>1437</v>
      </c>
      <c r="C326" s="42" t="s">
        <v>88</v>
      </c>
      <c r="D326" s="15" t="s">
        <v>3513</v>
      </c>
      <c r="E326" s="15" t="s">
        <v>4170</v>
      </c>
      <c r="F326" s="15"/>
      <c r="G326" s="15"/>
      <c r="H326" s="15"/>
      <c r="I326" s="15"/>
      <c r="J326" s="15"/>
      <c r="K326" s="15" t="s">
        <v>16</v>
      </c>
      <c r="L326" s="15"/>
      <c r="M326" s="15"/>
      <c r="N326" s="16"/>
    </row>
    <row r="327" spans="1:14" x14ac:dyDescent="0.25">
      <c r="A327" s="20"/>
      <c r="B327" s="35" t="s">
        <v>1446</v>
      </c>
      <c r="C327" s="42" t="s">
        <v>88</v>
      </c>
      <c r="D327" s="15" t="s">
        <v>3514</v>
      </c>
      <c r="E327" s="15" t="s">
        <v>4171</v>
      </c>
      <c r="F327" s="15"/>
      <c r="G327" s="15"/>
      <c r="H327" s="15"/>
      <c r="I327" s="15"/>
      <c r="J327" s="15"/>
      <c r="K327" s="15" t="s">
        <v>16</v>
      </c>
      <c r="L327" s="15"/>
      <c r="M327" s="15"/>
      <c r="N327" s="16"/>
    </row>
    <row r="328" spans="1:14" x14ac:dyDescent="0.25">
      <c r="A328" s="20"/>
      <c r="B328" s="35" t="s">
        <v>1440</v>
      </c>
      <c r="C328" s="42" t="s">
        <v>88</v>
      </c>
      <c r="D328" s="15" t="s">
        <v>3515</v>
      </c>
      <c r="E328" s="15" t="s">
        <v>4172</v>
      </c>
      <c r="F328" s="15"/>
      <c r="G328" s="15"/>
      <c r="H328" s="15"/>
      <c r="I328" s="15"/>
      <c r="J328" s="15"/>
      <c r="K328" s="15" t="s">
        <v>16</v>
      </c>
      <c r="L328" s="15"/>
      <c r="M328" s="15"/>
      <c r="N328" s="16"/>
    </row>
    <row r="329" spans="1:14" x14ac:dyDescent="0.25">
      <c r="A329" s="20"/>
      <c r="B329" s="35" t="s">
        <v>1434</v>
      </c>
      <c r="C329" s="42" t="s">
        <v>88</v>
      </c>
      <c r="D329" s="15" t="s">
        <v>3516</v>
      </c>
      <c r="E329" s="15" t="s">
        <v>4173</v>
      </c>
      <c r="F329" s="15"/>
      <c r="G329" s="15"/>
      <c r="H329" s="15"/>
      <c r="I329" s="15"/>
      <c r="J329" s="15"/>
      <c r="K329" s="15" t="s">
        <v>16</v>
      </c>
      <c r="L329" s="15"/>
      <c r="M329" s="15"/>
      <c r="N329" s="16"/>
    </row>
    <row r="330" spans="1:14" x14ac:dyDescent="0.25">
      <c r="A330" s="20"/>
      <c r="B330" s="35" t="s">
        <v>1431</v>
      </c>
      <c r="C330" s="42" t="s">
        <v>88</v>
      </c>
      <c r="D330" s="15" t="s">
        <v>3517</v>
      </c>
      <c r="E330" s="15" t="s">
        <v>4174</v>
      </c>
      <c r="F330" s="15"/>
      <c r="G330" s="15"/>
      <c r="H330" s="15"/>
      <c r="I330" s="15"/>
      <c r="J330" s="15"/>
      <c r="K330" s="15" t="s">
        <v>16</v>
      </c>
      <c r="L330" s="15"/>
      <c r="M330" s="15"/>
      <c r="N330" s="16"/>
    </row>
    <row r="331" spans="1:14" s="108" customFormat="1" x14ac:dyDescent="0.25">
      <c r="A331" s="20"/>
      <c r="B331" s="35" t="s">
        <v>1410</v>
      </c>
      <c r="C331" s="42" t="s">
        <v>88</v>
      </c>
      <c r="D331" s="15" t="s">
        <v>3518</v>
      </c>
      <c r="E331" s="15" t="s">
        <v>4175</v>
      </c>
      <c r="F331" s="15"/>
      <c r="G331" s="15"/>
      <c r="H331" s="15"/>
      <c r="I331" s="15"/>
      <c r="J331" s="15"/>
      <c r="K331" s="15" t="s">
        <v>16</v>
      </c>
      <c r="L331" s="15"/>
      <c r="M331" s="15"/>
      <c r="N331" s="16"/>
    </row>
    <row r="332" spans="1:14" x14ac:dyDescent="0.25">
      <c r="A332" s="20"/>
      <c r="B332" s="35" t="s">
        <v>1413</v>
      </c>
      <c r="C332" s="42" t="s">
        <v>88</v>
      </c>
      <c r="D332" s="15" t="s">
        <v>3519</v>
      </c>
      <c r="E332" s="15" t="s">
        <v>4176</v>
      </c>
      <c r="F332" s="15"/>
      <c r="G332" s="15"/>
      <c r="H332" s="15"/>
      <c r="I332" s="15"/>
      <c r="J332" s="15"/>
      <c r="K332" s="15" t="s">
        <v>16</v>
      </c>
      <c r="L332" s="15"/>
      <c r="M332" s="15"/>
      <c r="N332" s="16"/>
    </row>
    <row r="333" spans="1:14" x14ac:dyDescent="0.25">
      <c r="A333" s="20"/>
      <c r="B333" s="35" t="s">
        <v>1428</v>
      </c>
      <c r="C333" s="42" t="s">
        <v>88</v>
      </c>
      <c r="D333" s="15" t="s">
        <v>3520</v>
      </c>
      <c r="E333" s="15" t="s">
        <v>4177</v>
      </c>
      <c r="F333" s="15"/>
      <c r="G333" s="15"/>
      <c r="H333" s="15"/>
      <c r="I333" s="15"/>
      <c r="J333" s="15"/>
      <c r="K333" s="15" t="s">
        <v>16</v>
      </c>
      <c r="L333" s="15"/>
      <c r="M333" s="15"/>
      <c r="N333" s="16"/>
    </row>
    <row r="334" spans="1:14" x14ac:dyDescent="0.25">
      <c r="A334" s="20"/>
      <c r="B334" s="35" t="s">
        <v>1416</v>
      </c>
      <c r="C334" s="42" t="s">
        <v>88</v>
      </c>
      <c r="D334" s="15" t="s">
        <v>3521</v>
      </c>
      <c r="E334" s="15" t="s">
        <v>4178</v>
      </c>
      <c r="F334" s="15"/>
      <c r="G334" s="15"/>
      <c r="H334" s="15"/>
      <c r="I334" s="15"/>
      <c r="J334" s="15"/>
      <c r="K334" s="15" t="s">
        <v>16</v>
      </c>
      <c r="L334" s="15"/>
      <c r="M334" s="15"/>
      <c r="N334" s="16"/>
    </row>
    <row r="335" spans="1:14" x14ac:dyDescent="0.25">
      <c r="A335" s="20"/>
      <c r="B335" s="35" t="s">
        <v>1425</v>
      </c>
      <c r="C335" s="42" t="s">
        <v>88</v>
      </c>
      <c r="D335" s="15" t="s">
        <v>3522</v>
      </c>
      <c r="E335" s="15" t="s">
        <v>4179</v>
      </c>
      <c r="F335" s="15"/>
      <c r="G335" s="15"/>
      <c r="H335" s="15"/>
      <c r="I335" s="15"/>
      <c r="J335" s="15"/>
      <c r="K335" s="15" t="s">
        <v>16</v>
      </c>
      <c r="L335" s="15"/>
      <c r="M335" s="15"/>
      <c r="N335" s="16"/>
    </row>
    <row r="336" spans="1:14" x14ac:dyDescent="0.25">
      <c r="A336" s="20"/>
      <c r="B336" s="35" t="s">
        <v>1422</v>
      </c>
      <c r="C336" s="42" t="s">
        <v>88</v>
      </c>
      <c r="D336" s="15" t="s">
        <v>3523</v>
      </c>
      <c r="E336" s="15" t="s">
        <v>4180</v>
      </c>
      <c r="F336" s="15"/>
      <c r="G336" s="15"/>
      <c r="H336" s="15"/>
      <c r="I336" s="15"/>
      <c r="J336" s="15"/>
      <c r="K336" s="15" t="s">
        <v>16</v>
      </c>
      <c r="L336" s="15"/>
      <c r="M336" s="15"/>
      <c r="N336" s="16"/>
    </row>
    <row r="337" spans="1:14" x14ac:dyDescent="0.25">
      <c r="A337" s="20"/>
      <c r="B337" s="35" t="s">
        <v>1419</v>
      </c>
      <c r="C337" s="42" t="s">
        <v>88</v>
      </c>
      <c r="D337" s="15" t="s">
        <v>3524</v>
      </c>
      <c r="E337" s="15" t="s">
        <v>4181</v>
      </c>
      <c r="F337" s="15"/>
      <c r="G337" s="15"/>
      <c r="H337" s="15"/>
      <c r="I337" s="15"/>
      <c r="J337" s="15"/>
      <c r="K337" s="15" t="s">
        <v>16</v>
      </c>
      <c r="L337" s="15"/>
      <c r="M337" s="15"/>
      <c r="N337" s="16"/>
    </row>
    <row r="338" spans="1:14" s="46" customFormat="1" ht="15.75" x14ac:dyDescent="0.25">
      <c r="A338" s="109"/>
      <c r="B338" s="35" t="s">
        <v>1243</v>
      </c>
      <c r="C338" s="42" t="s">
        <v>88</v>
      </c>
      <c r="D338" s="15" t="s">
        <v>3525</v>
      </c>
      <c r="E338" s="15" t="s">
        <v>4182</v>
      </c>
      <c r="F338" s="15"/>
      <c r="G338" s="15"/>
      <c r="H338" s="15"/>
      <c r="I338" s="15"/>
      <c r="J338" s="15"/>
      <c r="K338" s="15" t="s">
        <v>16</v>
      </c>
      <c r="L338" s="15"/>
      <c r="M338" s="15"/>
      <c r="N338" s="16"/>
    </row>
    <row r="339" spans="1:14" x14ac:dyDescent="0.25">
      <c r="A339" s="20"/>
      <c r="B339" s="35" t="s">
        <v>1452</v>
      </c>
      <c r="C339" s="42" t="s">
        <v>88</v>
      </c>
      <c r="D339" s="15" t="s">
        <v>3526</v>
      </c>
      <c r="E339" s="15" t="s">
        <v>4183</v>
      </c>
      <c r="F339" s="15"/>
      <c r="G339" s="15"/>
      <c r="H339" s="15"/>
      <c r="I339" s="15"/>
      <c r="J339" s="15"/>
      <c r="K339" s="15" t="s">
        <v>16</v>
      </c>
      <c r="L339" s="15"/>
      <c r="M339" s="15"/>
      <c r="N339" s="16"/>
    </row>
    <row r="340" spans="1:14" x14ac:dyDescent="0.25">
      <c r="A340" s="20"/>
      <c r="B340" s="35" t="s">
        <v>1449</v>
      </c>
      <c r="C340" s="42" t="s">
        <v>88</v>
      </c>
      <c r="D340" s="15" t="s">
        <v>3527</v>
      </c>
      <c r="E340" s="15" t="s">
        <v>4184</v>
      </c>
      <c r="F340" s="15"/>
      <c r="G340" s="15"/>
      <c r="H340" s="15"/>
      <c r="I340" s="15"/>
      <c r="J340" s="15"/>
      <c r="K340" s="15" t="s">
        <v>16</v>
      </c>
      <c r="L340" s="15"/>
      <c r="M340" s="15"/>
      <c r="N340" s="16"/>
    </row>
    <row r="341" spans="1:14" x14ac:dyDescent="0.25">
      <c r="A341" s="20"/>
      <c r="B341" s="35" t="s">
        <v>1458</v>
      </c>
      <c r="C341" s="42" t="s">
        <v>88</v>
      </c>
      <c r="D341" s="15" t="s">
        <v>3528</v>
      </c>
      <c r="E341" s="15" t="s">
        <v>4185</v>
      </c>
      <c r="F341" s="15"/>
      <c r="G341" s="15"/>
      <c r="H341" s="15"/>
      <c r="I341" s="15"/>
      <c r="J341" s="15"/>
      <c r="K341" s="15" t="s">
        <v>16</v>
      </c>
      <c r="L341" s="15"/>
      <c r="M341" s="15"/>
      <c r="N341" s="16"/>
    </row>
    <row r="342" spans="1:14" x14ac:dyDescent="0.25">
      <c r="A342" s="20"/>
      <c r="B342" s="35" t="s">
        <v>1455</v>
      </c>
      <c r="C342" s="42" t="s">
        <v>88</v>
      </c>
      <c r="D342" s="15" t="s">
        <v>3529</v>
      </c>
      <c r="E342" s="15" t="s">
        <v>4186</v>
      </c>
      <c r="F342" s="15"/>
      <c r="G342" s="15"/>
      <c r="H342" s="15"/>
      <c r="I342" s="15"/>
      <c r="J342" s="15"/>
      <c r="K342" s="15" t="s">
        <v>16</v>
      </c>
      <c r="L342" s="15"/>
      <c r="M342" s="15"/>
      <c r="N342" s="16"/>
    </row>
    <row r="343" spans="1:14" x14ac:dyDescent="0.25">
      <c r="A343" s="20"/>
      <c r="B343" s="35" t="s">
        <v>1461</v>
      </c>
      <c r="C343" s="42" t="s">
        <v>88</v>
      </c>
      <c r="D343" s="15" t="s">
        <v>2900</v>
      </c>
      <c r="E343" s="15" t="s">
        <v>4187</v>
      </c>
      <c r="F343" s="15"/>
      <c r="G343" s="15"/>
      <c r="H343" s="15"/>
      <c r="I343" s="15"/>
      <c r="J343" s="15"/>
      <c r="K343" s="15" t="s">
        <v>16</v>
      </c>
      <c r="L343" s="15"/>
      <c r="M343" s="15"/>
      <c r="N343" s="16"/>
    </row>
    <row r="344" spans="1:14" x14ac:dyDescent="0.25">
      <c r="A344" s="13"/>
      <c r="B344" s="35" t="s">
        <v>1241</v>
      </c>
      <c r="C344" s="42" t="s">
        <v>88</v>
      </c>
      <c r="D344" s="15" t="s">
        <v>3530</v>
      </c>
      <c r="E344" s="15" t="s">
        <v>4188</v>
      </c>
      <c r="F344" s="15"/>
      <c r="G344" s="15"/>
      <c r="H344" s="15"/>
      <c r="I344" s="15"/>
      <c r="J344" s="15"/>
      <c r="K344" s="15" t="s">
        <v>16</v>
      </c>
      <c r="L344" s="15"/>
      <c r="M344" s="15"/>
      <c r="N344" s="16"/>
    </row>
    <row r="345" spans="1:14" x14ac:dyDescent="0.25">
      <c r="A345" s="13"/>
      <c r="B345" s="35" t="s">
        <v>1239</v>
      </c>
      <c r="C345" s="42" t="s">
        <v>88</v>
      </c>
      <c r="D345" s="15" t="s">
        <v>3531</v>
      </c>
      <c r="E345" s="15" t="s">
        <v>4189</v>
      </c>
      <c r="F345" s="15"/>
      <c r="G345" s="15"/>
      <c r="H345" s="15"/>
      <c r="I345" s="15"/>
      <c r="J345" s="15"/>
      <c r="K345" s="15" t="s">
        <v>16</v>
      </c>
      <c r="L345" s="15"/>
      <c r="M345" s="15"/>
      <c r="N345" s="16"/>
    </row>
    <row r="346" spans="1:14" x14ac:dyDescent="0.25">
      <c r="A346" s="13"/>
      <c r="B346" s="35" t="s">
        <v>1237</v>
      </c>
      <c r="C346" s="42" t="s">
        <v>88</v>
      </c>
      <c r="D346" s="15" t="s">
        <v>3532</v>
      </c>
      <c r="E346" s="15" t="s">
        <v>4190</v>
      </c>
      <c r="F346" s="15"/>
      <c r="G346" s="15"/>
      <c r="H346" s="15"/>
      <c r="I346" s="15"/>
      <c r="J346" s="15"/>
      <c r="K346" s="15" t="s">
        <v>16</v>
      </c>
      <c r="L346" s="15"/>
      <c r="M346" s="15"/>
      <c r="N346" s="16"/>
    </row>
    <row r="347" spans="1:14" x14ac:dyDescent="0.25">
      <c r="A347" s="13"/>
      <c r="B347" s="35" t="s">
        <v>3274</v>
      </c>
      <c r="C347" s="42" t="s">
        <v>88</v>
      </c>
      <c r="D347" s="15" t="s">
        <v>3533</v>
      </c>
      <c r="E347" s="15" t="s">
        <v>4191</v>
      </c>
      <c r="F347" s="15"/>
      <c r="G347" s="15"/>
      <c r="H347" s="15"/>
      <c r="I347" s="15"/>
      <c r="J347" s="15" t="s">
        <v>2950</v>
      </c>
      <c r="K347" s="15" t="s">
        <v>16</v>
      </c>
      <c r="L347" s="15" t="s">
        <v>2401</v>
      </c>
      <c r="M347" s="15"/>
      <c r="N347" s="16"/>
    </row>
    <row r="348" spans="1:14" x14ac:dyDescent="0.25">
      <c r="A348" s="13"/>
      <c r="B348" s="35" t="s">
        <v>3275</v>
      </c>
      <c r="C348" s="42" t="s">
        <v>88</v>
      </c>
      <c r="D348" s="15" t="s">
        <v>3534</v>
      </c>
      <c r="E348" s="15" t="s">
        <v>4192</v>
      </c>
      <c r="F348" s="15"/>
      <c r="G348" s="15"/>
      <c r="H348" s="15"/>
      <c r="I348" s="15"/>
      <c r="J348" s="15" t="s">
        <v>2950</v>
      </c>
      <c r="K348" s="15" t="s">
        <v>16</v>
      </c>
      <c r="L348" s="15" t="s">
        <v>2284</v>
      </c>
      <c r="M348" s="15"/>
      <c r="N348" s="16"/>
    </row>
    <row r="349" spans="1:14" x14ac:dyDescent="0.25">
      <c r="A349" s="13"/>
      <c r="B349" s="35" t="s">
        <v>3276</v>
      </c>
      <c r="C349" s="42" t="s">
        <v>88</v>
      </c>
      <c r="D349" s="15" t="s">
        <v>3535</v>
      </c>
      <c r="E349" s="15" t="s">
        <v>4193</v>
      </c>
      <c r="F349" s="15"/>
      <c r="G349" s="15"/>
      <c r="H349" s="15"/>
      <c r="I349" s="15"/>
      <c r="J349" s="15" t="s">
        <v>2950</v>
      </c>
      <c r="K349" s="15" t="s">
        <v>16</v>
      </c>
      <c r="L349" s="15" t="s">
        <v>2402</v>
      </c>
      <c r="M349" s="15"/>
      <c r="N349" s="16"/>
    </row>
    <row r="350" spans="1:14" x14ac:dyDescent="0.25">
      <c r="A350" s="13"/>
      <c r="B350" s="35" t="s">
        <v>3277</v>
      </c>
      <c r="C350" s="42" t="s">
        <v>88</v>
      </c>
      <c r="D350" s="15" t="s">
        <v>3536</v>
      </c>
      <c r="E350" s="15" t="s">
        <v>4194</v>
      </c>
      <c r="F350" s="15"/>
      <c r="G350" s="15"/>
      <c r="H350" s="15"/>
      <c r="I350" s="15"/>
      <c r="J350" s="15" t="s">
        <v>2950</v>
      </c>
      <c r="K350" s="15" t="s">
        <v>16</v>
      </c>
      <c r="L350" s="15" t="s">
        <v>2405</v>
      </c>
      <c r="M350" s="15"/>
      <c r="N350" s="16"/>
    </row>
    <row r="351" spans="1:14" x14ac:dyDescent="0.25">
      <c r="A351" s="13"/>
      <c r="B351" s="35" t="s">
        <v>3278</v>
      </c>
      <c r="C351" s="42" t="s">
        <v>88</v>
      </c>
      <c r="D351" s="15" t="s">
        <v>3537</v>
      </c>
      <c r="E351" s="15" t="s">
        <v>4195</v>
      </c>
      <c r="F351" s="15"/>
      <c r="G351" s="15"/>
      <c r="H351" s="15"/>
      <c r="I351" s="15"/>
      <c r="J351" s="15" t="s">
        <v>2950</v>
      </c>
      <c r="K351" s="15" t="s">
        <v>16</v>
      </c>
      <c r="L351" s="15" t="s">
        <v>2284</v>
      </c>
      <c r="M351" s="15"/>
      <c r="N351" s="16"/>
    </row>
    <row r="352" spans="1:14" x14ac:dyDescent="0.25">
      <c r="A352" s="13"/>
      <c r="B352" s="35" t="s">
        <v>3279</v>
      </c>
      <c r="C352" s="42" t="s">
        <v>88</v>
      </c>
      <c r="D352" s="15" t="s">
        <v>3538</v>
      </c>
      <c r="E352" s="15" t="s">
        <v>4196</v>
      </c>
      <c r="F352" s="15"/>
      <c r="G352" s="15"/>
      <c r="H352" s="15"/>
      <c r="I352" s="15"/>
      <c r="J352" s="15" t="s">
        <v>2950</v>
      </c>
      <c r="K352" s="15" t="s">
        <v>16</v>
      </c>
      <c r="L352" s="15" t="s">
        <v>2404</v>
      </c>
      <c r="M352" s="15"/>
      <c r="N352" s="16"/>
    </row>
    <row r="353" spans="1:14" x14ac:dyDescent="0.25">
      <c r="A353" s="13"/>
      <c r="B353" s="35" t="s">
        <v>3280</v>
      </c>
      <c r="C353" s="42" t="s">
        <v>88</v>
      </c>
      <c r="D353" s="15" t="s">
        <v>2390</v>
      </c>
      <c r="E353" s="15" t="s">
        <v>4197</v>
      </c>
      <c r="F353" s="15"/>
      <c r="G353" s="15"/>
      <c r="H353" s="15"/>
      <c r="I353" s="15"/>
      <c r="J353" s="15" t="s">
        <v>2950</v>
      </c>
      <c r="K353" s="15" t="s">
        <v>16</v>
      </c>
      <c r="L353" s="15" t="s">
        <v>2284</v>
      </c>
      <c r="M353" s="15"/>
      <c r="N353" s="16"/>
    </row>
    <row r="354" spans="1:14" x14ac:dyDescent="0.25">
      <c r="A354" s="13"/>
      <c r="B354" s="35" t="s">
        <v>3281</v>
      </c>
      <c r="C354" s="42" t="s">
        <v>88</v>
      </c>
      <c r="D354" s="15" t="s">
        <v>3539</v>
      </c>
      <c r="E354" s="15" t="s">
        <v>4198</v>
      </c>
      <c r="F354" s="15"/>
      <c r="G354" s="15"/>
      <c r="H354" s="15"/>
      <c r="I354" s="15"/>
      <c r="J354" s="15" t="s">
        <v>2950</v>
      </c>
      <c r="K354" s="15" t="s">
        <v>16</v>
      </c>
      <c r="L354" s="15" t="s">
        <v>2393</v>
      </c>
      <c r="M354" s="15"/>
      <c r="N354" s="16"/>
    </row>
    <row r="355" spans="1:14" x14ac:dyDescent="0.25">
      <c r="A355" s="13"/>
      <c r="B355" s="35" t="s">
        <v>3282</v>
      </c>
      <c r="C355" s="42" t="s">
        <v>88</v>
      </c>
      <c r="D355" s="15" t="s">
        <v>3540</v>
      </c>
      <c r="E355" s="15" t="s">
        <v>4199</v>
      </c>
      <c r="F355" s="15"/>
      <c r="G355" s="15"/>
      <c r="H355" s="15"/>
      <c r="I355" s="15"/>
      <c r="J355" s="15" t="s">
        <v>2950</v>
      </c>
      <c r="K355" s="15" t="s">
        <v>16</v>
      </c>
      <c r="L355" s="15" t="s">
        <v>2284</v>
      </c>
      <c r="M355" s="15"/>
      <c r="N355" s="16"/>
    </row>
    <row r="356" spans="1:14" x14ac:dyDescent="0.25">
      <c r="A356" s="13"/>
      <c r="B356" s="35" t="s">
        <v>3283</v>
      </c>
      <c r="C356" s="42" t="s">
        <v>88</v>
      </c>
      <c r="D356" s="15" t="s">
        <v>3541</v>
      </c>
      <c r="E356" s="15" t="s">
        <v>4200</v>
      </c>
      <c r="F356" s="15"/>
      <c r="G356" s="15"/>
      <c r="H356" s="15"/>
      <c r="I356" s="15"/>
      <c r="J356" s="15" t="s">
        <v>2950</v>
      </c>
      <c r="K356" s="15" t="s">
        <v>16</v>
      </c>
      <c r="L356" s="15" t="s">
        <v>2405</v>
      </c>
      <c r="M356" s="15"/>
      <c r="N356" s="16"/>
    </row>
    <row r="357" spans="1:14" x14ac:dyDescent="0.25">
      <c r="A357" s="13"/>
      <c r="B357" s="35" t="s">
        <v>3284</v>
      </c>
      <c r="C357" s="42" t="s">
        <v>88</v>
      </c>
      <c r="D357" s="15" t="s">
        <v>3542</v>
      </c>
      <c r="E357" s="15" t="s">
        <v>4201</v>
      </c>
      <c r="F357" s="15"/>
      <c r="G357" s="15"/>
      <c r="H357" s="15"/>
      <c r="I357" s="15"/>
      <c r="J357" s="15" t="s">
        <v>2950</v>
      </c>
      <c r="K357" s="15" t="s">
        <v>16</v>
      </c>
      <c r="L357" s="15" t="s">
        <v>2284</v>
      </c>
      <c r="M357" s="15"/>
      <c r="N357" s="16"/>
    </row>
    <row r="358" spans="1:14" x14ac:dyDescent="0.25">
      <c r="A358" s="13"/>
      <c r="B358" s="35" t="s">
        <v>3285</v>
      </c>
      <c r="C358" s="42" t="s">
        <v>88</v>
      </c>
      <c r="D358" s="15" t="s">
        <v>3543</v>
      </c>
      <c r="E358" s="15" t="s">
        <v>4202</v>
      </c>
      <c r="F358" s="15"/>
      <c r="G358" s="15"/>
      <c r="H358" s="15"/>
      <c r="I358" s="15"/>
      <c r="J358" s="15" t="s">
        <v>2950</v>
      </c>
      <c r="K358" s="15" t="s">
        <v>16</v>
      </c>
      <c r="L358" s="15" t="s">
        <v>2284</v>
      </c>
      <c r="M358" s="15"/>
      <c r="N358" s="16"/>
    </row>
    <row r="359" spans="1:14" x14ac:dyDescent="0.25">
      <c r="A359" s="13"/>
      <c r="B359" s="35" t="s">
        <v>3286</v>
      </c>
      <c r="C359" s="42" t="s">
        <v>88</v>
      </c>
      <c r="D359" s="15" t="s">
        <v>3544</v>
      </c>
      <c r="E359" s="15" t="s">
        <v>4203</v>
      </c>
      <c r="F359" s="15"/>
      <c r="G359" s="15"/>
      <c r="H359" s="15"/>
      <c r="I359" s="15"/>
      <c r="J359" s="15" t="s">
        <v>2950</v>
      </c>
      <c r="K359" s="15" t="s">
        <v>16</v>
      </c>
      <c r="L359" s="15" t="s">
        <v>3287</v>
      </c>
      <c r="M359" s="15"/>
      <c r="N359" s="16"/>
    </row>
    <row r="360" spans="1:14" x14ac:dyDescent="0.25">
      <c r="A360" s="13"/>
      <c r="B360" s="35" t="s">
        <v>3288</v>
      </c>
      <c r="C360" s="42" t="s">
        <v>88</v>
      </c>
      <c r="D360" s="15" t="s">
        <v>3545</v>
      </c>
      <c r="E360" s="15" t="s">
        <v>4204</v>
      </c>
      <c r="F360" s="15"/>
      <c r="G360" s="15"/>
      <c r="H360" s="15"/>
      <c r="I360" s="15"/>
      <c r="J360" s="15" t="s">
        <v>2950</v>
      </c>
      <c r="K360" s="15" t="s">
        <v>16</v>
      </c>
      <c r="L360" s="15" t="s">
        <v>2401</v>
      </c>
      <c r="M360" s="15"/>
      <c r="N360" s="16"/>
    </row>
    <row r="361" spans="1:14" x14ac:dyDescent="0.25">
      <c r="A361" s="13"/>
      <c r="B361" s="35" t="s">
        <v>3289</v>
      </c>
      <c r="C361" s="42" t="s">
        <v>88</v>
      </c>
      <c r="D361" s="15" t="s">
        <v>3546</v>
      </c>
      <c r="E361" s="15" t="s">
        <v>4205</v>
      </c>
      <c r="F361" s="15"/>
      <c r="G361" s="15"/>
      <c r="H361" s="15"/>
      <c r="I361" s="15"/>
      <c r="J361" s="15" t="s">
        <v>2950</v>
      </c>
      <c r="K361" s="15" t="s">
        <v>16</v>
      </c>
      <c r="L361" s="15" t="s">
        <v>2524</v>
      </c>
      <c r="M361" s="15"/>
      <c r="N361" s="16"/>
    </row>
    <row r="362" spans="1:14" x14ac:dyDescent="0.25">
      <c r="A362" s="13"/>
      <c r="B362" s="35" t="s">
        <v>3290</v>
      </c>
      <c r="C362" s="42" t="s">
        <v>88</v>
      </c>
      <c r="D362" s="15" t="s">
        <v>3547</v>
      </c>
      <c r="E362" s="15" t="s">
        <v>4206</v>
      </c>
      <c r="F362" s="15"/>
      <c r="G362" s="15"/>
      <c r="H362" s="15"/>
      <c r="I362" s="15"/>
      <c r="J362" s="15" t="s">
        <v>2950</v>
      </c>
      <c r="K362" s="15" t="s">
        <v>16</v>
      </c>
      <c r="L362" s="15" t="s">
        <v>2233</v>
      </c>
      <c r="M362" s="15"/>
      <c r="N362" s="16"/>
    </row>
    <row r="363" spans="1:14" x14ac:dyDescent="0.25">
      <c r="A363" s="13"/>
      <c r="B363" s="35" t="s">
        <v>3291</v>
      </c>
      <c r="C363" s="42" t="s">
        <v>88</v>
      </c>
      <c r="D363" s="15" t="s">
        <v>3548</v>
      </c>
      <c r="E363" s="15" t="s">
        <v>4207</v>
      </c>
      <c r="F363" s="15"/>
      <c r="G363" s="15"/>
      <c r="H363" s="15"/>
      <c r="I363" s="15"/>
      <c r="J363" s="15" t="s">
        <v>2950</v>
      </c>
      <c r="K363" s="15" t="s">
        <v>16</v>
      </c>
      <c r="L363" s="15" t="s">
        <v>3292</v>
      </c>
      <c r="M363" s="15"/>
      <c r="N363" s="16"/>
    </row>
    <row r="364" spans="1:14" x14ac:dyDescent="0.25">
      <c r="A364" s="13"/>
      <c r="B364" s="35" t="s">
        <v>1237</v>
      </c>
      <c r="C364" s="42" t="s">
        <v>88</v>
      </c>
      <c r="D364" s="15" t="s">
        <v>3549</v>
      </c>
      <c r="E364" s="15" t="s">
        <v>4208</v>
      </c>
      <c r="F364" s="15"/>
      <c r="G364" s="15"/>
      <c r="H364" s="15"/>
      <c r="I364" s="15"/>
      <c r="J364" s="15" t="s">
        <v>2950</v>
      </c>
      <c r="K364" s="15" t="s">
        <v>16</v>
      </c>
      <c r="L364" s="15" t="s">
        <v>2426</v>
      </c>
      <c r="M364" s="15"/>
      <c r="N364" s="16"/>
    </row>
    <row r="365" spans="1:14" x14ac:dyDescent="0.25">
      <c r="A365" s="13"/>
      <c r="B365" s="35" t="s">
        <v>3293</v>
      </c>
      <c r="C365" s="42" t="s">
        <v>88</v>
      </c>
      <c r="D365" s="15" t="s">
        <v>3550</v>
      </c>
      <c r="E365" s="15" t="s">
        <v>4209</v>
      </c>
      <c r="F365" s="15"/>
      <c r="G365" s="15"/>
      <c r="H365" s="15"/>
      <c r="I365" s="15"/>
      <c r="J365" s="15" t="s">
        <v>2950</v>
      </c>
      <c r="K365" s="15" t="s">
        <v>16</v>
      </c>
      <c r="L365" s="15" t="s">
        <v>2263</v>
      </c>
      <c r="M365" s="15"/>
      <c r="N365" s="16"/>
    </row>
    <row r="366" spans="1:14" x14ac:dyDescent="0.25">
      <c r="A366" s="13"/>
      <c r="B366" s="35" t="s">
        <v>3294</v>
      </c>
      <c r="C366" s="42" t="s">
        <v>88</v>
      </c>
      <c r="D366" s="15" t="s">
        <v>3551</v>
      </c>
      <c r="E366" s="15" t="s">
        <v>4210</v>
      </c>
      <c r="F366" s="15"/>
      <c r="G366" s="15"/>
      <c r="H366" s="15"/>
      <c r="I366" s="15"/>
      <c r="J366" s="15" t="s">
        <v>2950</v>
      </c>
      <c r="K366" s="15" t="s">
        <v>16</v>
      </c>
      <c r="L366" s="15" t="s">
        <v>2405</v>
      </c>
      <c r="M366" s="15"/>
      <c r="N366" s="16"/>
    </row>
    <row r="367" spans="1:14" ht="25.5" x14ac:dyDescent="0.25">
      <c r="A367" s="13"/>
      <c r="B367" s="35" t="s">
        <v>1235</v>
      </c>
      <c r="C367" s="42" t="s">
        <v>88</v>
      </c>
      <c r="D367" s="15" t="s">
        <v>3552</v>
      </c>
      <c r="E367" s="15" t="s">
        <v>4211</v>
      </c>
      <c r="F367" s="15"/>
      <c r="G367" s="15"/>
      <c r="H367" s="15"/>
      <c r="I367" s="15"/>
      <c r="J367" s="15"/>
      <c r="K367" s="15" t="s">
        <v>16</v>
      </c>
      <c r="L367" s="15"/>
      <c r="M367" s="15"/>
      <c r="N367" s="16"/>
    </row>
    <row r="368" spans="1:14" x14ac:dyDescent="0.25">
      <c r="A368" s="13"/>
      <c r="B368" s="35" t="s">
        <v>1233</v>
      </c>
      <c r="C368" s="42" t="s">
        <v>88</v>
      </c>
      <c r="D368" s="15" t="s">
        <v>3553</v>
      </c>
      <c r="E368" s="15" t="s">
        <v>4212</v>
      </c>
      <c r="F368" s="15"/>
      <c r="G368" s="15"/>
      <c r="H368" s="15"/>
      <c r="I368" s="15"/>
      <c r="J368" s="15" t="s">
        <v>3311</v>
      </c>
      <c r="K368" s="15" t="s">
        <v>16</v>
      </c>
      <c r="L368" s="15" t="s">
        <v>2257</v>
      </c>
      <c r="M368" s="15"/>
      <c r="N368" s="16"/>
    </row>
    <row r="369" spans="1:14" x14ac:dyDescent="0.25">
      <c r="A369" s="13"/>
      <c r="B369" s="35" t="s">
        <v>4511</v>
      </c>
      <c r="C369" s="42" t="s">
        <v>88</v>
      </c>
      <c r="D369" s="15" t="s">
        <v>3554</v>
      </c>
      <c r="E369" s="15" t="s">
        <v>4512</v>
      </c>
      <c r="F369" s="15"/>
      <c r="G369" s="15"/>
      <c r="H369" s="15"/>
      <c r="I369" s="15"/>
      <c r="J369" s="15" t="s">
        <v>3055</v>
      </c>
      <c r="K369" s="15" t="s">
        <v>2878</v>
      </c>
      <c r="L369" s="15" t="s">
        <v>2405</v>
      </c>
      <c r="M369" s="15"/>
      <c r="N369" s="16"/>
    </row>
    <row r="370" spans="1:14" x14ac:dyDescent="0.25">
      <c r="A370" s="13"/>
      <c r="B370" s="35" t="s">
        <v>4513</v>
      </c>
      <c r="C370" s="42" t="s">
        <v>88</v>
      </c>
      <c r="D370" s="15" t="s">
        <v>3555</v>
      </c>
      <c r="E370" s="15" t="s">
        <v>4514</v>
      </c>
      <c r="F370" s="15"/>
      <c r="G370" s="15"/>
      <c r="H370" s="15"/>
      <c r="I370" s="15"/>
      <c r="J370" s="15" t="s">
        <v>2833</v>
      </c>
      <c r="K370" s="15" t="s">
        <v>16</v>
      </c>
      <c r="L370" s="15" t="s">
        <v>2284</v>
      </c>
      <c r="M370" s="15"/>
      <c r="N370" s="16"/>
    </row>
    <row r="371" spans="1:14" x14ac:dyDescent="0.25">
      <c r="A371" s="13"/>
      <c r="B371" s="35" t="s">
        <v>4515</v>
      </c>
      <c r="C371" s="42" t="s">
        <v>88</v>
      </c>
      <c r="D371" s="15" t="s">
        <v>3556</v>
      </c>
      <c r="E371" s="15" t="s">
        <v>4516</v>
      </c>
      <c r="F371" s="15"/>
      <c r="G371" s="15"/>
      <c r="H371" s="15"/>
      <c r="I371" s="15"/>
      <c r="J371" s="15" t="s">
        <v>2833</v>
      </c>
      <c r="K371" s="15" t="s">
        <v>16</v>
      </c>
      <c r="L371" s="15" t="s">
        <v>2402</v>
      </c>
      <c r="M371" s="15"/>
      <c r="N371" s="16"/>
    </row>
    <row r="372" spans="1:14" x14ac:dyDescent="0.25">
      <c r="A372" s="13"/>
      <c r="B372" s="35" t="s">
        <v>4517</v>
      </c>
      <c r="C372" s="42" t="s">
        <v>88</v>
      </c>
      <c r="D372" s="15" t="s">
        <v>3557</v>
      </c>
      <c r="E372" s="15" t="s">
        <v>4518</v>
      </c>
      <c r="F372" s="15"/>
      <c r="G372" s="15"/>
      <c r="H372" s="15"/>
      <c r="I372" s="15"/>
      <c r="J372" s="15" t="s">
        <v>2833</v>
      </c>
      <c r="K372" s="15" t="s">
        <v>16</v>
      </c>
      <c r="L372" s="15" t="s">
        <v>2284</v>
      </c>
      <c r="M372" s="15"/>
      <c r="N372" s="16"/>
    </row>
    <row r="373" spans="1:14" x14ac:dyDescent="0.25">
      <c r="A373" s="13"/>
      <c r="B373" s="35" t="s">
        <v>4519</v>
      </c>
      <c r="C373" s="42" t="s">
        <v>88</v>
      </c>
      <c r="D373" s="15" t="s">
        <v>3558</v>
      </c>
      <c r="E373" s="15" t="s">
        <v>4520</v>
      </c>
      <c r="F373" s="15"/>
      <c r="G373" s="15"/>
      <c r="H373" s="15"/>
      <c r="I373" s="15"/>
      <c r="J373" s="15" t="s">
        <v>2833</v>
      </c>
      <c r="K373" s="15" t="s">
        <v>16</v>
      </c>
      <c r="L373" s="15" t="s">
        <v>2404</v>
      </c>
      <c r="M373" s="15"/>
      <c r="N373" s="16"/>
    </row>
    <row r="374" spans="1:14" x14ac:dyDescent="0.25">
      <c r="A374" s="13"/>
      <c r="B374" s="35" t="s">
        <v>4521</v>
      </c>
      <c r="C374" s="42" t="s">
        <v>88</v>
      </c>
      <c r="D374" s="15" t="s">
        <v>3559</v>
      </c>
      <c r="E374" s="15" t="s">
        <v>4522</v>
      </c>
      <c r="F374" s="15"/>
      <c r="G374" s="15"/>
      <c r="H374" s="15"/>
      <c r="I374" s="15"/>
      <c r="J374" s="15" t="s">
        <v>2833</v>
      </c>
      <c r="K374" s="15" t="s">
        <v>16</v>
      </c>
      <c r="L374" s="15" t="s">
        <v>2284</v>
      </c>
      <c r="M374" s="15"/>
      <c r="N374" s="16"/>
    </row>
    <row r="375" spans="1:14" x14ac:dyDescent="0.25">
      <c r="A375" s="13"/>
      <c r="B375" s="35" t="s">
        <v>4523</v>
      </c>
      <c r="C375" s="42" t="s">
        <v>88</v>
      </c>
      <c r="D375" s="15" t="s">
        <v>3560</v>
      </c>
      <c r="E375" s="15" t="s">
        <v>4524</v>
      </c>
      <c r="F375" s="15"/>
      <c r="G375" s="15"/>
      <c r="H375" s="15"/>
      <c r="I375" s="15"/>
      <c r="J375" s="15" t="s">
        <v>2833</v>
      </c>
      <c r="K375" s="15" t="s">
        <v>16</v>
      </c>
      <c r="L375" s="15" t="s">
        <v>2284</v>
      </c>
      <c r="M375" s="15"/>
      <c r="N375" s="16"/>
    </row>
    <row r="376" spans="1:14" x14ac:dyDescent="0.25">
      <c r="A376" s="13"/>
      <c r="B376" s="35" t="s">
        <v>4525</v>
      </c>
      <c r="C376" s="42" t="s">
        <v>88</v>
      </c>
      <c r="D376" s="15" t="s">
        <v>3561</v>
      </c>
      <c r="E376" s="15" t="s">
        <v>4526</v>
      </c>
      <c r="F376" s="15"/>
      <c r="G376" s="15"/>
      <c r="H376" s="15"/>
      <c r="I376" s="15"/>
      <c r="J376" s="15" t="s">
        <v>3236</v>
      </c>
      <c r="K376" s="15" t="s">
        <v>16</v>
      </c>
      <c r="L376" s="15" t="s">
        <v>2252</v>
      </c>
      <c r="M376" s="15"/>
      <c r="N376" s="16"/>
    </row>
    <row r="377" spans="1:14" x14ac:dyDescent="0.25">
      <c r="A377" s="13"/>
      <c r="B377" s="35" t="s">
        <v>4527</v>
      </c>
      <c r="C377" s="42" t="s">
        <v>88</v>
      </c>
      <c r="D377" s="15" t="s">
        <v>3562</v>
      </c>
      <c r="E377" s="15" t="s">
        <v>4528</v>
      </c>
      <c r="F377" s="15"/>
      <c r="G377" s="15"/>
      <c r="H377" s="15"/>
      <c r="I377" s="15"/>
      <c r="J377" s="15" t="s">
        <v>3236</v>
      </c>
      <c r="K377" s="15" t="s">
        <v>16</v>
      </c>
      <c r="L377" s="15" t="s">
        <v>2402</v>
      </c>
      <c r="M377" s="15"/>
      <c r="N377" s="16"/>
    </row>
    <row r="378" spans="1:14" x14ac:dyDescent="0.25">
      <c r="A378" s="13"/>
      <c r="B378" s="35" t="s">
        <v>4529</v>
      </c>
      <c r="C378" s="42" t="s">
        <v>88</v>
      </c>
      <c r="D378" s="15" t="s">
        <v>3563</v>
      </c>
      <c r="E378" s="15" t="s">
        <v>4530</v>
      </c>
      <c r="F378" s="15"/>
      <c r="G378" s="15"/>
      <c r="H378" s="15"/>
      <c r="I378" s="15"/>
      <c r="J378" s="15" t="s">
        <v>3236</v>
      </c>
      <c r="K378" s="15" t="s">
        <v>16</v>
      </c>
      <c r="L378" s="15" t="s">
        <v>2405</v>
      </c>
      <c r="M378" s="15"/>
      <c r="N378" s="16"/>
    </row>
    <row r="379" spans="1:14" x14ac:dyDescent="0.25">
      <c r="A379" s="13"/>
      <c r="B379" s="35" t="s">
        <v>4531</v>
      </c>
      <c r="C379" s="42" t="s">
        <v>88</v>
      </c>
      <c r="D379" s="15" t="s">
        <v>3564</v>
      </c>
      <c r="E379" s="15" t="s">
        <v>4532</v>
      </c>
      <c r="F379" s="15"/>
      <c r="G379" s="15"/>
      <c r="H379" s="15"/>
      <c r="I379" s="15"/>
      <c r="J379" s="15" t="s">
        <v>3236</v>
      </c>
      <c r="K379" s="15" t="s">
        <v>16</v>
      </c>
      <c r="L379" s="15" t="s">
        <v>2419</v>
      </c>
      <c r="M379" s="15"/>
      <c r="N379" s="16"/>
    </row>
    <row r="380" spans="1:14" x14ac:dyDescent="0.25">
      <c r="A380" s="13"/>
      <c r="B380" s="35" t="s">
        <v>4533</v>
      </c>
      <c r="C380" s="42" t="s">
        <v>88</v>
      </c>
      <c r="D380" s="15" t="s">
        <v>3565</v>
      </c>
      <c r="E380" s="15" t="s">
        <v>4534</v>
      </c>
      <c r="F380" s="15"/>
      <c r="G380" s="15"/>
      <c r="H380" s="15"/>
      <c r="I380" s="15"/>
      <c r="J380" s="15" t="s">
        <v>3236</v>
      </c>
      <c r="K380" s="15" t="s">
        <v>16</v>
      </c>
      <c r="L380" s="15" t="s">
        <v>2284</v>
      </c>
      <c r="M380" s="15"/>
      <c r="N380" s="16"/>
    </row>
    <row r="381" spans="1:14" x14ac:dyDescent="0.25">
      <c r="A381" s="13"/>
      <c r="B381" s="35" t="s">
        <v>4535</v>
      </c>
      <c r="C381" s="42" t="s">
        <v>88</v>
      </c>
      <c r="D381" s="15" t="s">
        <v>3566</v>
      </c>
      <c r="E381" s="15" t="s">
        <v>4536</v>
      </c>
      <c r="F381" s="15"/>
      <c r="G381" s="15"/>
      <c r="H381" s="15"/>
      <c r="I381" s="15"/>
      <c r="J381" s="15" t="s">
        <v>3236</v>
      </c>
      <c r="K381" s="15" t="s">
        <v>16</v>
      </c>
      <c r="L381" s="15" t="s">
        <v>2284</v>
      </c>
      <c r="M381" s="15"/>
      <c r="N381" s="16"/>
    </row>
    <row r="382" spans="1:14" x14ac:dyDescent="0.25">
      <c r="A382" s="13"/>
      <c r="B382" s="35" t="s">
        <v>4537</v>
      </c>
      <c r="C382" s="42" t="s">
        <v>88</v>
      </c>
      <c r="D382" s="15" t="s">
        <v>3567</v>
      </c>
      <c r="E382" s="15" t="s">
        <v>4538</v>
      </c>
      <c r="F382" s="15"/>
      <c r="G382" s="15"/>
      <c r="H382" s="15"/>
      <c r="I382" s="15"/>
      <c r="J382" s="15" t="s">
        <v>3236</v>
      </c>
      <c r="K382" s="15" t="s">
        <v>16</v>
      </c>
      <c r="L382" s="15" t="s">
        <v>2284</v>
      </c>
      <c r="M382" s="15"/>
      <c r="N382" s="16"/>
    </row>
    <row r="383" spans="1:14" x14ac:dyDescent="0.25">
      <c r="A383" s="13"/>
      <c r="B383" s="35" t="s">
        <v>4539</v>
      </c>
      <c r="C383" s="42" t="s">
        <v>88</v>
      </c>
      <c r="D383" s="15" t="s">
        <v>3568</v>
      </c>
      <c r="E383" s="15" t="s">
        <v>4540</v>
      </c>
      <c r="F383" s="15"/>
      <c r="G383" s="15"/>
      <c r="H383" s="15"/>
      <c r="I383" s="15"/>
      <c r="J383" s="15" t="s">
        <v>3236</v>
      </c>
      <c r="K383" s="15" t="s">
        <v>16</v>
      </c>
      <c r="L383" s="15" t="s">
        <v>2284</v>
      </c>
      <c r="M383" s="15"/>
      <c r="N383" s="16"/>
    </row>
    <row r="384" spans="1:14" x14ac:dyDescent="0.25">
      <c r="A384" s="13"/>
      <c r="B384" s="35" t="s">
        <v>4541</v>
      </c>
      <c r="C384" s="42" t="s">
        <v>88</v>
      </c>
      <c r="D384" s="15" t="s">
        <v>3569</v>
      </c>
      <c r="E384" s="15" t="s">
        <v>4542</v>
      </c>
      <c r="F384" s="15"/>
      <c r="G384" s="15"/>
      <c r="H384" s="15"/>
      <c r="I384" s="15"/>
      <c r="J384" s="15" t="s">
        <v>3236</v>
      </c>
      <c r="K384" s="15" t="s">
        <v>16</v>
      </c>
      <c r="L384" s="15" t="s">
        <v>2284</v>
      </c>
      <c r="M384" s="15"/>
      <c r="N384" s="16"/>
    </row>
    <row r="385" spans="1:14" x14ac:dyDescent="0.25">
      <c r="A385" s="13"/>
      <c r="B385" s="35" t="s">
        <v>4543</v>
      </c>
      <c r="C385" s="42" t="s">
        <v>88</v>
      </c>
      <c r="D385" s="15" t="s">
        <v>3570</v>
      </c>
      <c r="E385" s="15" t="s">
        <v>4544</v>
      </c>
      <c r="F385" s="15"/>
      <c r="G385" s="15"/>
      <c r="H385" s="15"/>
      <c r="I385" s="15"/>
      <c r="J385" s="15" t="s">
        <v>3236</v>
      </c>
      <c r="K385" s="15" t="s">
        <v>16</v>
      </c>
      <c r="L385" s="15" t="s">
        <v>2284</v>
      </c>
      <c r="M385" s="15"/>
      <c r="N385" s="16"/>
    </row>
    <row r="386" spans="1:14" x14ac:dyDescent="0.25">
      <c r="A386" s="13"/>
      <c r="B386" s="35" t="s">
        <v>4545</v>
      </c>
      <c r="C386" s="42" t="s">
        <v>88</v>
      </c>
      <c r="D386" s="15" t="s">
        <v>3571</v>
      </c>
      <c r="E386" s="15" t="s">
        <v>4546</v>
      </c>
      <c r="F386" s="15"/>
      <c r="G386" s="15"/>
      <c r="H386" s="15"/>
      <c r="I386" s="15"/>
      <c r="J386" s="15" t="s">
        <v>3236</v>
      </c>
      <c r="K386" s="15" t="s">
        <v>16</v>
      </c>
      <c r="L386" s="15" t="s">
        <v>2284</v>
      </c>
      <c r="M386" s="15"/>
      <c r="N386" s="16"/>
    </row>
    <row r="387" spans="1:14" x14ac:dyDescent="0.25">
      <c r="A387" s="13"/>
      <c r="B387" s="35" t="s">
        <v>4547</v>
      </c>
      <c r="C387" s="42" t="s">
        <v>88</v>
      </c>
      <c r="D387" s="15" t="s">
        <v>3572</v>
      </c>
      <c r="E387" s="15" t="s">
        <v>4548</v>
      </c>
      <c r="F387" s="15"/>
      <c r="G387" s="15"/>
      <c r="H387" s="15"/>
      <c r="I387" s="15"/>
      <c r="J387" s="15" t="s">
        <v>3236</v>
      </c>
      <c r="K387" s="15" t="s">
        <v>16</v>
      </c>
      <c r="L387" s="15" t="s">
        <v>2405</v>
      </c>
      <c r="M387" s="15"/>
      <c r="N387" s="16"/>
    </row>
    <row r="388" spans="1:14" x14ac:dyDescent="0.25">
      <c r="A388" s="13"/>
      <c r="B388" s="35" t="s">
        <v>4549</v>
      </c>
      <c r="C388" s="42" t="s">
        <v>88</v>
      </c>
      <c r="D388" s="15" t="s">
        <v>3573</v>
      </c>
      <c r="E388" s="15" t="s">
        <v>4550</v>
      </c>
      <c r="F388" s="15"/>
      <c r="G388" s="15"/>
      <c r="H388" s="15"/>
      <c r="I388" s="15"/>
      <c r="J388" s="15" t="s">
        <v>3236</v>
      </c>
      <c r="K388" s="15" t="s">
        <v>16</v>
      </c>
      <c r="L388" s="15" t="s">
        <v>2284</v>
      </c>
      <c r="M388" s="15"/>
      <c r="N388" s="16"/>
    </row>
    <row r="389" spans="1:14" x14ac:dyDescent="0.25">
      <c r="A389" s="13"/>
      <c r="B389" s="35" t="s">
        <v>4553</v>
      </c>
      <c r="C389" s="42" t="s">
        <v>88</v>
      </c>
      <c r="D389" s="15" t="s">
        <v>3574</v>
      </c>
      <c r="E389" s="15" t="s">
        <v>4554</v>
      </c>
      <c r="F389" s="15"/>
      <c r="G389" s="15"/>
      <c r="H389" s="15"/>
      <c r="I389" s="15"/>
      <c r="J389" s="15" t="s">
        <v>2932</v>
      </c>
      <c r="K389" s="15" t="s">
        <v>16</v>
      </c>
      <c r="L389" s="15" t="s">
        <v>2261</v>
      </c>
      <c r="M389" s="15"/>
      <c r="N389" s="16"/>
    </row>
    <row r="390" spans="1:14" x14ac:dyDescent="0.25">
      <c r="A390" s="13"/>
      <c r="B390" s="35" t="s">
        <v>4555</v>
      </c>
      <c r="C390" s="42" t="s">
        <v>88</v>
      </c>
      <c r="D390" s="15" t="s">
        <v>3575</v>
      </c>
      <c r="E390" s="15" t="s">
        <v>4556</v>
      </c>
      <c r="F390" s="15"/>
      <c r="G390" s="15"/>
      <c r="H390" s="15"/>
      <c r="I390" s="15"/>
      <c r="J390" s="15" t="s">
        <v>2932</v>
      </c>
      <c r="K390" s="15" t="s">
        <v>16</v>
      </c>
      <c r="L390" s="15" t="s">
        <v>2401</v>
      </c>
      <c r="M390" s="15"/>
      <c r="N390" s="16"/>
    </row>
    <row r="391" spans="1:14" x14ac:dyDescent="0.25">
      <c r="A391" s="13"/>
      <c r="B391" s="35" t="s">
        <v>4573</v>
      </c>
      <c r="C391" s="42" t="s">
        <v>88</v>
      </c>
      <c r="D391" s="15" t="s">
        <v>3576</v>
      </c>
      <c r="E391" s="15" t="s">
        <v>4574</v>
      </c>
      <c r="F391" s="15"/>
      <c r="G391" s="15"/>
      <c r="H391" s="15"/>
      <c r="I391" s="15"/>
      <c r="J391" s="15" t="s">
        <v>2932</v>
      </c>
      <c r="K391" s="15" t="s">
        <v>16</v>
      </c>
      <c r="L391" s="15" t="s">
        <v>2405</v>
      </c>
      <c r="M391" s="15"/>
      <c r="N391" s="16"/>
    </row>
    <row r="392" spans="1:14" x14ac:dyDescent="0.25">
      <c r="A392" s="13"/>
      <c r="B392" s="35" t="s">
        <v>4577</v>
      </c>
      <c r="C392" s="42" t="s">
        <v>88</v>
      </c>
      <c r="D392" s="15" t="s">
        <v>3577</v>
      </c>
      <c r="E392" s="15" t="s">
        <v>4578</v>
      </c>
      <c r="F392" s="15"/>
      <c r="G392" s="15"/>
      <c r="H392" s="15"/>
      <c r="I392" s="15"/>
      <c r="J392" s="15" t="s">
        <v>2950</v>
      </c>
      <c r="K392" s="15" t="s">
        <v>16</v>
      </c>
      <c r="L392" s="15" t="s">
        <v>2394</v>
      </c>
      <c r="M392" s="15"/>
      <c r="N392" s="16"/>
    </row>
    <row r="393" spans="1:14" x14ac:dyDescent="0.25">
      <c r="A393" s="13"/>
      <c r="B393" s="35" t="s">
        <v>4579</v>
      </c>
      <c r="C393" s="42" t="s">
        <v>88</v>
      </c>
      <c r="D393" s="15" t="s">
        <v>2780</v>
      </c>
      <c r="E393" s="15" t="s">
        <v>4580</v>
      </c>
      <c r="F393" s="15"/>
      <c r="G393" s="15"/>
      <c r="H393" s="15"/>
      <c r="I393" s="15"/>
      <c r="J393" s="15" t="s">
        <v>2950</v>
      </c>
      <c r="K393" s="15" t="s">
        <v>16</v>
      </c>
      <c r="L393" s="15" t="s">
        <v>2401</v>
      </c>
      <c r="M393" s="15"/>
      <c r="N393" s="16"/>
    </row>
    <row r="394" spans="1:14" x14ac:dyDescent="0.25">
      <c r="A394" s="13"/>
      <c r="B394" s="35" t="s">
        <v>4598</v>
      </c>
      <c r="C394" s="42" t="s">
        <v>88</v>
      </c>
      <c r="D394" s="15" t="s">
        <v>3578</v>
      </c>
      <c r="E394" s="15" t="s">
        <v>4599</v>
      </c>
      <c r="F394" s="15"/>
      <c r="G394" s="15"/>
      <c r="H394" s="15"/>
      <c r="I394" s="15"/>
      <c r="J394" s="15" t="s">
        <v>4583</v>
      </c>
      <c r="K394" s="15" t="s">
        <v>16</v>
      </c>
      <c r="L394" s="15" t="s">
        <v>2284</v>
      </c>
      <c r="M394" s="15"/>
      <c r="N394" s="16"/>
    </row>
    <row r="395" spans="1:14" x14ac:dyDescent="0.25">
      <c r="A395" s="13"/>
      <c r="B395" s="35" t="s">
        <v>4604</v>
      </c>
      <c r="C395" s="42" t="s">
        <v>88</v>
      </c>
      <c r="D395" s="15" t="s">
        <v>3579</v>
      </c>
      <c r="E395" s="15" t="s">
        <v>4605</v>
      </c>
      <c r="F395" s="15"/>
      <c r="G395" s="15"/>
      <c r="H395" s="15"/>
      <c r="I395" s="15"/>
      <c r="J395" s="15" t="s">
        <v>4583</v>
      </c>
      <c r="K395" s="15" t="s">
        <v>16</v>
      </c>
      <c r="L395" s="15" t="s">
        <v>2402</v>
      </c>
      <c r="M395" s="15"/>
      <c r="N395" s="16"/>
    </row>
    <row r="396" spans="1:14" x14ac:dyDescent="0.25">
      <c r="A396" s="13"/>
      <c r="B396" s="35" t="s">
        <v>4612</v>
      </c>
      <c r="C396" s="42" t="s">
        <v>88</v>
      </c>
      <c r="D396" s="15" t="s">
        <v>3580</v>
      </c>
      <c r="E396" s="15" t="s">
        <v>4613</v>
      </c>
      <c r="F396" s="15"/>
      <c r="G396" s="15"/>
      <c r="H396" s="15"/>
      <c r="I396" s="15"/>
      <c r="J396" s="15" t="s">
        <v>4583</v>
      </c>
      <c r="K396" s="15" t="s">
        <v>16</v>
      </c>
      <c r="L396" s="15" t="s">
        <v>2402</v>
      </c>
      <c r="M396" s="15"/>
      <c r="N396" s="16"/>
    </row>
    <row r="397" spans="1:14" x14ac:dyDescent="0.25">
      <c r="A397" s="13"/>
      <c r="B397" s="35" t="s">
        <v>4634</v>
      </c>
      <c r="C397" s="42" t="s">
        <v>88</v>
      </c>
      <c r="D397" s="15" t="s">
        <v>3581</v>
      </c>
      <c r="E397" s="15" t="s">
        <v>4635</v>
      </c>
      <c r="F397" s="15"/>
      <c r="G397" s="15"/>
      <c r="H397" s="15"/>
      <c r="I397" s="15"/>
      <c r="J397" s="15" t="s">
        <v>4583</v>
      </c>
      <c r="K397" s="15" t="s">
        <v>16</v>
      </c>
      <c r="L397" s="15" t="s">
        <v>2405</v>
      </c>
      <c r="M397" s="15"/>
      <c r="N397" s="16"/>
    </row>
    <row r="398" spans="1:14" x14ac:dyDescent="0.25">
      <c r="A398" s="13"/>
      <c r="B398" s="35" t="s">
        <v>4636</v>
      </c>
      <c r="C398" s="42" t="s">
        <v>88</v>
      </c>
      <c r="D398" s="15" t="s">
        <v>4619</v>
      </c>
      <c r="E398" s="15" t="s">
        <v>4637</v>
      </c>
      <c r="F398" s="15"/>
      <c r="G398" s="15"/>
      <c r="H398" s="15"/>
      <c r="I398" s="15"/>
      <c r="J398" s="15" t="s">
        <v>4583</v>
      </c>
      <c r="K398" s="15" t="s">
        <v>16</v>
      </c>
      <c r="L398" s="15" t="s">
        <v>2284</v>
      </c>
      <c r="M398" s="15"/>
      <c r="N398" s="16"/>
    </row>
    <row r="399" spans="1:14" x14ac:dyDescent="0.25">
      <c r="A399" s="13"/>
      <c r="B399" s="35" t="s">
        <v>4638</v>
      </c>
      <c r="C399" s="42" t="s">
        <v>88</v>
      </c>
      <c r="D399" s="15" t="s">
        <v>4623</v>
      </c>
      <c r="E399" s="15" t="s">
        <v>4639</v>
      </c>
      <c r="F399" s="15"/>
      <c r="G399" s="15"/>
      <c r="H399" s="15"/>
      <c r="I399" s="15"/>
      <c r="J399" s="15" t="s">
        <v>4583</v>
      </c>
      <c r="K399" s="15" t="s">
        <v>16</v>
      </c>
      <c r="L399" s="15" t="s">
        <v>2284</v>
      </c>
      <c r="M399" s="15"/>
      <c r="N399" s="16"/>
    </row>
    <row r="400" spans="1:14" ht="15.75" x14ac:dyDescent="0.25">
      <c r="A400" s="3">
        <v>4</v>
      </c>
      <c r="B400" s="3" t="s">
        <v>3464</v>
      </c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"/>
    </row>
    <row r="401" spans="1:14" s="11" customFormat="1" x14ac:dyDescent="0.25">
      <c r="A401" s="16"/>
      <c r="B401" s="102" t="s">
        <v>2945</v>
      </c>
      <c r="C401" s="42" t="s">
        <v>88</v>
      </c>
      <c r="D401" s="15" t="s">
        <v>14</v>
      </c>
      <c r="E401" s="15" t="s">
        <v>1695</v>
      </c>
      <c r="F401" s="15"/>
      <c r="G401" s="15"/>
      <c r="H401" s="15"/>
      <c r="I401" s="15"/>
      <c r="J401" s="15" t="s">
        <v>2833</v>
      </c>
      <c r="K401" s="15" t="s">
        <v>16</v>
      </c>
      <c r="L401" s="15" t="s">
        <v>2284</v>
      </c>
      <c r="M401" s="15"/>
      <c r="N401" s="16"/>
    </row>
    <row r="402" spans="1:14" x14ac:dyDescent="0.25">
      <c r="A402" s="20"/>
      <c r="B402" s="35" t="s">
        <v>1837</v>
      </c>
      <c r="C402" s="42" t="s">
        <v>88</v>
      </c>
      <c r="D402" s="15" t="s">
        <v>19</v>
      </c>
      <c r="E402" s="15" t="s">
        <v>1697</v>
      </c>
      <c r="F402" s="15"/>
      <c r="G402" s="15"/>
      <c r="H402" s="15"/>
      <c r="I402" s="15"/>
      <c r="J402" s="15"/>
      <c r="K402" s="15" t="s">
        <v>246</v>
      </c>
      <c r="L402" s="15"/>
      <c r="M402" s="15"/>
      <c r="N402" s="16"/>
    </row>
    <row r="403" spans="1:14" x14ac:dyDescent="0.25">
      <c r="A403" s="20"/>
      <c r="B403" s="35" t="s">
        <v>1835</v>
      </c>
      <c r="C403" s="42" t="s">
        <v>12</v>
      </c>
      <c r="D403" s="15" t="s">
        <v>22</v>
      </c>
      <c r="E403" s="15" t="s">
        <v>1699</v>
      </c>
      <c r="F403" s="15"/>
      <c r="G403" s="15"/>
      <c r="H403" s="15"/>
      <c r="I403" s="15"/>
      <c r="J403" s="15"/>
      <c r="K403" s="15" t="s">
        <v>16</v>
      </c>
      <c r="L403" s="15"/>
      <c r="M403" s="15"/>
      <c r="N403" s="16"/>
    </row>
    <row r="404" spans="1:14" x14ac:dyDescent="0.25">
      <c r="A404" s="13"/>
      <c r="B404" s="35" t="s">
        <v>3302</v>
      </c>
      <c r="C404" s="42" t="s">
        <v>12</v>
      </c>
      <c r="D404" s="15" t="s">
        <v>25</v>
      </c>
      <c r="E404" s="15" t="s">
        <v>1701</v>
      </c>
      <c r="F404" s="15"/>
      <c r="G404" s="15"/>
      <c r="H404" s="15"/>
      <c r="I404" s="15"/>
      <c r="J404" s="15" t="s">
        <v>3236</v>
      </c>
      <c r="K404" s="15" t="s">
        <v>16</v>
      </c>
      <c r="L404" s="15" t="s">
        <v>2284</v>
      </c>
      <c r="M404" s="15"/>
      <c r="N404" s="16"/>
    </row>
    <row r="405" spans="1:14" x14ac:dyDescent="0.25">
      <c r="A405" s="20"/>
      <c r="B405" s="35" t="s">
        <v>1833</v>
      </c>
      <c r="C405" s="42" t="s">
        <v>12</v>
      </c>
      <c r="D405" s="15" t="s">
        <v>28</v>
      </c>
      <c r="E405" s="15" t="s">
        <v>1703</v>
      </c>
      <c r="F405" s="15"/>
      <c r="G405" s="15"/>
      <c r="H405" s="15"/>
      <c r="I405" s="15"/>
      <c r="J405" s="15"/>
      <c r="K405" s="15" t="s">
        <v>16</v>
      </c>
      <c r="L405" s="15"/>
      <c r="M405" s="15"/>
      <c r="N405" s="16"/>
    </row>
    <row r="406" spans="1:14" x14ac:dyDescent="0.25">
      <c r="A406" s="20"/>
      <c r="B406" s="35" t="s">
        <v>1831</v>
      </c>
      <c r="C406" s="42" t="s">
        <v>88</v>
      </c>
      <c r="D406" s="15" t="s">
        <v>31</v>
      </c>
      <c r="E406" s="15" t="s">
        <v>1705</v>
      </c>
      <c r="F406" s="15"/>
      <c r="G406" s="15"/>
      <c r="H406" s="15"/>
      <c r="I406" s="15"/>
      <c r="J406" s="15"/>
      <c r="K406" s="15" t="s">
        <v>16</v>
      </c>
      <c r="L406" s="15"/>
      <c r="M406" s="15"/>
      <c r="N406" s="16"/>
    </row>
    <row r="407" spans="1:14" x14ac:dyDescent="0.25">
      <c r="A407" s="20"/>
      <c r="B407" s="35" t="s">
        <v>1829</v>
      </c>
      <c r="C407" s="42" t="s">
        <v>88</v>
      </c>
      <c r="D407" s="15" t="s">
        <v>34</v>
      </c>
      <c r="E407" s="15" t="s">
        <v>1707</v>
      </c>
      <c r="F407" s="52"/>
      <c r="G407" s="52"/>
      <c r="H407" s="52"/>
      <c r="I407" s="52"/>
      <c r="J407" s="52"/>
      <c r="K407" s="15" t="s">
        <v>246</v>
      </c>
      <c r="L407" s="15"/>
      <c r="M407" s="15"/>
      <c r="N407" s="16"/>
    </row>
    <row r="408" spans="1:14" x14ac:dyDescent="0.25">
      <c r="A408" s="20"/>
      <c r="B408" s="35" t="s">
        <v>1827</v>
      </c>
      <c r="C408" s="42" t="s">
        <v>88</v>
      </c>
      <c r="D408" s="15" t="s">
        <v>37</v>
      </c>
      <c r="E408" s="15" t="s">
        <v>1709</v>
      </c>
      <c r="F408" s="52"/>
      <c r="G408" s="52"/>
      <c r="H408" s="52"/>
      <c r="I408" s="52"/>
      <c r="J408" s="52"/>
      <c r="K408" s="15" t="s">
        <v>246</v>
      </c>
      <c r="L408" s="15"/>
      <c r="M408" s="15"/>
      <c r="N408" s="16"/>
    </row>
    <row r="409" spans="1:14" x14ac:dyDescent="0.25">
      <c r="A409" s="20"/>
      <c r="B409" s="35" t="s">
        <v>1825</v>
      </c>
      <c r="C409" s="42" t="s">
        <v>88</v>
      </c>
      <c r="D409" s="15" t="s">
        <v>40</v>
      </c>
      <c r="E409" s="15" t="s">
        <v>1711</v>
      </c>
      <c r="F409" s="52"/>
      <c r="G409" s="52"/>
      <c r="H409" s="52"/>
      <c r="I409" s="52"/>
      <c r="J409" s="52"/>
      <c r="K409" s="15" t="s">
        <v>246</v>
      </c>
      <c r="L409" s="15"/>
      <c r="M409" s="15"/>
      <c r="N409" s="16"/>
    </row>
    <row r="410" spans="1:14" x14ac:dyDescent="0.25">
      <c r="A410" s="20"/>
      <c r="B410" s="35" t="s">
        <v>1823</v>
      </c>
      <c r="C410" s="42" t="s">
        <v>88</v>
      </c>
      <c r="D410" s="15" t="s">
        <v>43</v>
      </c>
      <c r="E410" s="15" t="s">
        <v>1713</v>
      </c>
      <c r="F410" s="52"/>
      <c r="G410" s="52"/>
      <c r="H410" s="52"/>
      <c r="I410" s="52"/>
      <c r="J410" s="52"/>
      <c r="K410" s="15" t="s">
        <v>246</v>
      </c>
      <c r="L410" s="15"/>
      <c r="M410" s="15"/>
      <c r="N410" s="16"/>
    </row>
    <row r="411" spans="1:14" x14ac:dyDescent="0.25">
      <c r="A411" s="20"/>
      <c r="B411" s="35" t="s">
        <v>1821</v>
      </c>
      <c r="C411" s="42" t="s">
        <v>88</v>
      </c>
      <c r="D411" s="15" t="s">
        <v>46</v>
      </c>
      <c r="E411" s="15" t="s">
        <v>1715</v>
      </c>
      <c r="F411" s="52"/>
      <c r="G411" s="52"/>
      <c r="H411" s="52"/>
      <c r="I411" s="52"/>
      <c r="J411" s="52"/>
      <c r="K411" s="15" t="s">
        <v>246</v>
      </c>
      <c r="L411" s="15"/>
      <c r="M411" s="15"/>
      <c r="N411" s="16"/>
    </row>
    <row r="412" spans="1:14" x14ac:dyDescent="0.25">
      <c r="A412" s="20"/>
      <c r="B412" s="35" t="s">
        <v>2897</v>
      </c>
      <c r="C412" s="42" t="s">
        <v>88</v>
      </c>
      <c r="D412" s="15" t="s">
        <v>72</v>
      </c>
      <c r="E412" s="15" t="s">
        <v>1717</v>
      </c>
      <c r="F412" s="52"/>
      <c r="G412" s="52"/>
      <c r="H412" s="52"/>
      <c r="I412" s="52"/>
      <c r="J412" s="52" t="s">
        <v>2891</v>
      </c>
      <c r="K412" s="15" t="s">
        <v>246</v>
      </c>
      <c r="L412" s="15" t="s">
        <v>2780</v>
      </c>
      <c r="M412" s="15"/>
      <c r="N412" s="16"/>
    </row>
    <row r="413" spans="1:14" x14ac:dyDescent="0.25">
      <c r="A413" s="20"/>
      <c r="B413" s="35" t="s">
        <v>1819</v>
      </c>
      <c r="C413" s="42" t="s">
        <v>88</v>
      </c>
      <c r="D413" s="15" t="s">
        <v>75</v>
      </c>
      <c r="E413" s="15" t="s">
        <v>1719</v>
      </c>
      <c r="F413" s="52"/>
      <c r="G413" s="52"/>
      <c r="H413" s="52"/>
      <c r="I413" s="52"/>
      <c r="J413" s="52"/>
      <c r="K413" s="15" t="s">
        <v>246</v>
      </c>
      <c r="L413" s="15"/>
      <c r="M413" s="15"/>
      <c r="N413" s="16"/>
    </row>
    <row r="414" spans="1:14" x14ac:dyDescent="0.25">
      <c r="A414" s="20"/>
      <c r="B414" s="35" t="s">
        <v>2898</v>
      </c>
      <c r="C414" s="42" t="s">
        <v>88</v>
      </c>
      <c r="D414" s="15" t="s">
        <v>77</v>
      </c>
      <c r="E414" s="15" t="s">
        <v>1721</v>
      </c>
      <c r="F414" s="52"/>
      <c r="G414" s="52"/>
      <c r="H414" s="52"/>
      <c r="I414" s="52"/>
      <c r="J414" s="52" t="s">
        <v>2891</v>
      </c>
      <c r="K414" s="15" t="s">
        <v>246</v>
      </c>
      <c r="L414" s="15" t="s">
        <v>1441</v>
      </c>
      <c r="M414" s="15"/>
      <c r="N414" s="16"/>
    </row>
    <row r="415" spans="1:14" x14ac:dyDescent="0.25">
      <c r="A415" s="20"/>
      <c r="B415" s="35" t="s">
        <v>2896</v>
      </c>
      <c r="C415" s="42" t="s">
        <v>88</v>
      </c>
      <c r="D415" s="15" t="s">
        <v>80</v>
      </c>
      <c r="E415" s="15" t="s">
        <v>1723</v>
      </c>
      <c r="F415" s="52"/>
      <c r="G415" s="52"/>
      <c r="H415" s="52"/>
      <c r="I415" s="52"/>
      <c r="J415" s="52" t="s">
        <v>2891</v>
      </c>
      <c r="K415" s="15" t="s">
        <v>246</v>
      </c>
      <c r="L415" s="15" t="s">
        <v>1441</v>
      </c>
      <c r="M415" s="15"/>
      <c r="N415" s="16"/>
    </row>
    <row r="416" spans="1:14" x14ac:dyDescent="0.25">
      <c r="A416" s="20"/>
      <c r="B416" s="35" t="s">
        <v>2895</v>
      </c>
      <c r="C416" s="42" t="s">
        <v>88</v>
      </c>
      <c r="D416" s="15" t="s">
        <v>84</v>
      </c>
      <c r="E416" s="15" t="s">
        <v>1725</v>
      </c>
      <c r="F416" s="52"/>
      <c r="G416" s="52"/>
      <c r="H416" s="52"/>
      <c r="I416" s="52"/>
      <c r="J416" s="52" t="s">
        <v>2891</v>
      </c>
      <c r="K416" s="15" t="s">
        <v>246</v>
      </c>
      <c r="L416" s="15" t="s">
        <v>1441</v>
      </c>
      <c r="M416" s="15"/>
      <c r="N416" s="16"/>
    </row>
    <row r="417" spans="1:14" s="108" customFormat="1" x14ac:dyDescent="0.25">
      <c r="A417" s="20"/>
      <c r="B417" s="35" t="s">
        <v>3104</v>
      </c>
      <c r="C417" s="42" t="s">
        <v>88</v>
      </c>
      <c r="D417" s="15" t="s">
        <v>123</v>
      </c>
      <c r="E417" s="15" t="s">
        <v>1727</v>
      </c>
      <c r="F417" s="52"/>
      <c r="G417" s="52"/>
      <c r="H417" s="52"/>
      <c r="I417" s="52"/>
      <c r="J417" s="52" t="s">
        <v>2954</v>
      </c>
      <c r="K417" s="15" t="s">
        <v>16</v>
      </c>
      <c r="L417" s="15" t="s">
        <v>2284</v>
      </c>
      <c r="M417" s="15"/>
      <c r="N417" s="16"/>
    </row>
    <row r="418" spans="1:14" x14ac:dyDescent="0.25">
      <c r="A418" s="20"/>
      <c r="B418" s="35" t="s">
        <v>1818</v>
      </c>
      <c r="C418" s="42" t="s">
        <v>88</v>
      </c>
      <c r="D418" s="15" t="s">
        <v>212</v>
      </c>
      <c r="E418" s="15" t="s">
        <v>1729</v>
      </c>
      <c r="F418" s="52"/>
      <c r="G418" s="52"/>
      <c r="H418" s="52"/>
      <c r="I418" s="52"/>
      <c r="J418" s="52"/>
      <c r="K418" s="15" t="s">
        <v>16</v>
      </c>
      <c r="L418" s="15"/>
      <c r="M418" s="15"/>
      <c r="N418" s="16"/>
    </row>
    <row r="419" spans="1:14" x14ac:dyDescent="0.25">
      <c r="A419" s="20"/>
      <c r="B419" s="35" t="s">
        <v>1816</v>
      </c>
      <c r="C419" s="42" t="s">
        <v>88</v>
      </c>
      <c r="D419" s="15" t="s">
        <v>214</v>
      </c>
      <c r="E419" s="15" t="s">
        <v>1731</v>
      </c>
      <c r="F419" s="52"/>
      <c r="G419" s="52"/>
      <c r="H419" s="52"/>
      <c r="I419" s="52"/>
      <c r="J419" s="52"/>
      <c r="K419" s="15" t="s">
        <v>16</v>
      </c>
      <c r="L419" s="15"/>
      <c r="M419" s="15"/>
      <c r="N419" s="16"/>
    </row>
    <row r="420" spans="1:14" x14ac:dyDescent="0.25">
      <c r="A420" s="20"/>
      <c r="B420" s="35" t="s">
        <v>1814</v>
      </c>
      <c r="C420" s="42" t="s">
        <v>12</v>
      </c>
      <c r="D420" s="15" t="s">
        <v>216</v>
      </c>
      <c r="E420" s="15" t="s">
        <v>1733</v>
      </c>
      <c r="F420" s="52"/>
      <c r="G420" s="52"/>
      <c r="H420" s="52"/>
      <c r="I420" s="52"/>
      <c r="J420" s="52"/>
      <c r="K420" s="15" t="s">
        <v>16</v>
      </c>
      <c r="L420" s="15"/>
      <c r="M420" s="15"/>
      <c r="N420" s="16"/>
    </row>
    <row r="421" spans="1:14" x14ac:dyDescent="0.25">
      <c r="A421" s="20"/>
      <c r="B421" s="35" t="s">
        <v>1812</v>
      </c>
      <c r="C421" s="42" t="s">
        <v>12</v>
      </c>
      <c r="D421" s="15" t="s">
        <v>218</v>
      </c>
      <c r="E421" s="15" t="s">
        <v>1735</v>
      </c>
      <c r="F421" s="52"/>
      <c r="G421" s="52"/>
      <c r="H421" s="52"/>
      <c r="I421" s="52"/>
      <c r="J421" s="52"/>
      <c r="K421" s="15" t="s">
        <v>16</v>
      </c>
      <c r="L421" s="15"/>
      <c r="M421" s="15"/>
      <c r="N421" s="16"/>
    </row>
    <row r="422" spans="1:14" x14ac:dyDescent="0.25">
      <c r="A422" s="20"/>
      <c r="B422" s="35" t="s">
        <v>1810</v>
      </c>
      <c r="C422" s="42" t="s">
        <v>12</v>
      </c>
      <c r="D422" s="15" t="s">
        <v>220</v>
      </c>
      <c r="E422" s="15" t="s">
        <v>1737</v>
      </c>
      <c r="F422" s="52"/>
      <c r="G422" s="52"/>
      <c r="H422" s="52"/>
      <c r="I422" s="52"/>
      <c r="J422" s="52"/>
      <c r="K422" s="15" t="s">
        <v>16</v>
      </c>
      <c r="L422" s="15"/>
      <c r="M422" s="15"/>
      <c r="N422" s="16"/>
    </row>
    <row r="423" spans="1:14" x14ac:dyDescent="0.25">
      <c r="A423" s="20"/>
      <c r="B423" s="35" t="s">
        <v>1808</v>
      </c>
      <c r="C423" s="42" t="s">
        <v>12</v>
      </c>
      <c r="D423" s="15" t="s">
        <v>222</v>
      </c>
      <c r="E423" s="15" t="s">
        <v>1739</v>
      </c>
      <c r="F423" s="52"/>
      <c r="G423" s="52"/>
      <c r="H423" s="52"/>
      <c r="I423" s="52"/>
      <c r="J423" s="52"/>
      <c r="K423" s="15" t="s">
        <v>16</v>
      </c>
      <c r="L423" s="15"/>
      <c r="M423" s="15"/>
      <c r="N423" s="16"/>
    </row>
    <row r="424" spans="1:14" x14ac:dyDescent="0.25">
      <c r="A424" s="20"/>
      <c r="B424" s="35" t="s">
        <v>1806</v>
      </c>
      <c r="C424" s="42" t="s">
        <v>12</v>
      </c>
      <c r="D424" s="15" t="s">
        <v>224</v>
      </c>
      <c r="E424" s="15" t="s">
        <v>1741</v>
      </c>
      <c r="F424" s="52"/>
      <c r="G424" s="52"/>
      <c r="H424" s="52"/>
      <c r="I424" s="52"/>
      <c r="J424" s="52"/>
      <c r="K424" s="15" t="s">
        <v>16</v>
      </c>
      <c r="L424" s="15"/>
      <c r="M424" s="15"/>
      <c r="N424" s="16"/>
    </row>
    <row r="425" spans="1:14" x14ac:dyDescent="0.25">
      <c r="A425" s="20"/>
      <c r="B425" s="35" t="s">
        <v>1804</v>
      </c>
      <c r="C425" s="42" t="s">
        <v>12</v>
      </c>
      <c r="D425" s="15" t="s">
        <v>226</v>
      </c>
      <c r="E425" s="15" t="s">
        <v>1743</v>
      </c>
      <c r="F425" s="52"/>
      <c r="G425" s="52"/>
      <c r="H425" s="52"/>
      <c r="I425" s="52"/>
      <c r="J425" s="52"/>
      <c r="K425" s="15" t="s">
        <v>16</v>
      </c>
      <c r="L425" s="15"/>
      <c r="M425" s="15"/>
      <c r="N425" s="16"/>
    </row>
    <row r="426" spans="1:14" x14ac:dyDescent="0.25">
      <c r="A426" s="20"/>
      <c r="B426" s="35" t="s">
        <v>1802</v>
      </c>
      <c r="C426" s="42" t="s">
        <v>12</v>
      </c>
      <c r="D426" s="15" t="s">
        <v>228</v>
      </c>
      <c r="E426" s="15" t="s">
        <v>1745</v>
      </c>
      <c r="F426" s="52"/>
      <c r="G426" s="52"/>
      <c r="H426" s="52"/>
      <c r="I426" s="52"/>
      <c r="J426" s="52"/>
      <c r="K426" s="15" t="s">
        <v>16</v>
      </c>
      <c r="L426" s="15"/>
      <c r="M426" s="15"/>
      <c r="N426" s="16"/>
    </row>
    <row r="427" spans="1:14" x14ac:dyDescent="0.25">
      <c r="A427" s="20"/>
      <c r="B427" s="35" t="s">
        <v>1800</v>
      </c>
      <c r="C427" s="42" t="s">
        <v>12</v>
      </c>
      <c r="D427" s="15" t="s">
        <v>230</v>
      </c>
      <c r="E427" s="15" t="s">
        <v>1747</v>
      </c>
      <c r="F427" s="52"/>
      <c r="G427" s="52"/>
      <c r="H427" s="52"/>
      <c r="I427" s="52"/>
      <c r="J427" s="52"/>
      <c r="K427" s="15" t="s">
        <v>16</v>
      </c>
      <c r="L427" s="15"/>
      <c r="M427" s="15"/>
      <c r="N427" s="16"/>
    </row>
    <row r="428" spans="1:14" x14ac:dyDescent="0.25">
      <c r="A428" s="20"/>
      <c r="B428" s="35" t="s">
        <v>1798</v>
      </c>
      <c r="C428" s="42" t="s">
        <v>12</v>
      </c>
      <c r="D428" s="15" t="s">
        <v>232</v>
      </c>
      <c r="E428" s="15" t="s">
        <v>1749</v>
      </c>
      <c r="F428" s="52"/>
      <c r="G428" s="52"/>
      <c r="H428" s="52"/>
      <c r="I428" s="52"/>
      <c r="J428" s="52"/>
      <c r="K428" s="15" t="s">
        <v>16</v>
      </c>
      <c r="L428" s="15"/>
      <c r="M428" s="15"/>
      <c r="N428" s="16"/>
    </row>
    <row r="429" spans="1:14" x14ac:dyDescent="0.25">
      <c r="A429" s="20"/>
      <c r="B429" s="35" t="s">
        <v>3022</v>
      </c>
      <c r="C429" s="42" t="s">
        <v>12</v>
      </c>
      <c r="D429" s="15" t="s">
        <v>234</v>
      </c>
      <c r="E429" s="15" t="s">
        <v>1751</v>
      </c>
      <c r="F429" s="52"/>
      <c r="G429" s="52"/>
      <c r="H429" s="52"/>
      <c r="I429" s="52"/>
      <c r="J429" s="52" t="s">
        <v>2873</v>
      </c>
      <c r="K429" s="15" t="s">
        <v>16</v>
      </c>
      <c r="L429" s="15" t="s">
        <v>2284</v>
      </c>
      <c r="M429" s="15"/>
      <c r="N429" s="16"/>
    </row>
    <row r="430" spans="1:14" x14ac:dyDescent="0.25">
      <c r="A430" s="20"/>
      <c r="B430" s="35" t="s">
        <v>1796</v>
      </c>
      <c r="C430" s="42" t="s">
        <v>12</v>
      </c>
      <c r="D430" s="15" t="s">
        <v>236</v>
      </c>
      <c r="E430" s="15" t="s">
        <v>1753</v>
      </c>
      <c r="F430" s="52"/>
      <c r="G430" s="52"/>
      <c r="H430" s="52"/>
      <c r="I430" s="52"/>
      <c r="J430" s="52"/>
      <c r="K430" s="15" t="s">
        <v>16</v>
      </c>
      <c r="L430" s="15"/>
      <c r="M430" s="15"/>
      <c r="N430" s="16"/>
    </row>
    <row r="431" spans="1:14" x14ac:dyDescent="0.25">
      <c r="A431" s="20"/>
      <c r="B431" s="35" t="s">
        <v>1794</v>
      </c>
      <c r="C431" s="42" t="s">
        <v>12</v>
      </c>
      <c r="D431" s="15" t="s">
        <v>238</v>
      </c>
      <c r="E431" s="15" t="s">
        <v>1755</v>
      </c>
      <c r="F431" s="52"/>
      <c r="G431" s="52"/>
      <c r="H431" s="52"/>
      <c r="I431" s="52"/>
      <c r="J431" s="52"/>
      <c r="K431" s="15" t="s">
        <v>16</v>
      </c>
      <c r="L431" s="15"/>
      <c r="M431" s="15"/>
      <c r="N431" s="16"/>
    </row>
    <row r="432" spans="1:14" x14ac:dyDescent="0.25">
      <c r="A432" s="20"/>
      <c r="B432" s="35" t="s">
        <v>1792</v>
      </c>
      <c r="C432" s="42" t="s">
        <v>88</v>
      </c>
      <c r="D432" s="15" t="s">
        <v>240</v>
      </c>
      <c r="E432" s="15" t="s">
        <v>1757</v>
      </c>
      <c r="F432" s="52"/>
      <c r="G432" s="52"/>
      <c r="H432" s="52"/>
      <c r="I432" s="52"/>
      <c r="J432" s="52"/>
      <c r="K432" s="15" t="s">
        <v>16</v>
      </c>
      <c r="L432" s="15"/>
      <c r="M432" s="15"/>
      <c r="N432" s="16"/>
    </row>
    <row r="433" spans="1:14" x14ac:dyDescent="0.25">
      <c r="A433" s="20"/>
      <c r="B433" s="35" t="s">
        <v>1790</v>
      </c>
      <c r="C433" s="42" t="s">
        <v>88</v>
      </c>
      <c r="D433" s="15" t="s">
        <v>334</v>
      </c>
      <c r="E433" s="15" t="s">
        <v>1759</v>
      </c>
      <c r="F433" s="52"/>
      <c r="G433" s="52"/>
      <c r="H433" s="52"/>
      <c r="I433" s="52"/>
      <c r="J433" s="52"/>
      <c r="K433" s="15" t="s">
        <v>16</v>
      </c>
      <c r="L433" s="15"/>
      <c r="M433" s="15"/>
      <c r="N433" s="16"/>
    </row>
    <row r="434" spans="1:14" x14ac:dyDescent="0.25">
      <c r="A434" s="20"/>
      <c r="B434" s="35" t="s">
        <v>1788</v>
      </c>
      <c r="C434" s="42" t="s">
        <v>88</v>
      </c>
      <c r="D434" s="15" t="s">
        <v>337</v>
      </c>
      <c r="E434" s="15" t="s">
        <v>1761</v>
      </c>
      <c r="F434" s="52"/>
      <c r="G434" s="52"/>
      <c r="H434" s="52"/>
      <c r="I434" s="52"/>
      <c r="J434" s="52"/>
      <c r="K434" s="15" t="s">
        <v>16</v>
      </c>
      <c r="L434" s="15"/>
      <c r="M434" s="15"/>
      <c r="N434" s="16"/>
    </row>
    <row r="435" spans="1:14" x14ac:dyDescent="0.25">
      <c r="A435" s="20"/>
      <c r="B435" s="35" t="s">
        <v>1786</v>
      </c>
      <c r="C435" s="42" t="s">
        <v>88</v>
      </c>
      <c r="D435" s="15" t="s">
        <v>340</v>
      </c>
      <c r="E435" s="15" t="s">
        <v>1763</v>
      </c>
      <c r="F435" s="52"/>
      <c r="G435" s="52"/>
      <c r="H435" s="52"/>
      <c r="I435" s="52"/>
      <c r="J435" s="52" t="s">
        <v>2873</v>
      </c>
      <c r="K435" s="15" t="s">
        <v>16</v>
      </c>
      <c r="L435" s="15" t="s">
        <v>2404</v>
      </c>
      <c r="M435" s="15"/>
      <c r="N435" s="16"/>
    </row>
    <row r="436" spans="1:14" x14ac:dyDescent="0.25">
      <c r="A436" s="20"/>
      <c r="B436" s="35" t="s">
        <v>1784</v>
      </c>
      <c r="C436" s="42" t="s">
        <v>88</v>
      </c>
      <c r="D436" s="15" t="s">
        <v>343</v>
      </c>
      <c r="E436" s="15" t="s">
        <v>1765</v>
      </c>
      <c r="F436" s="52"/>
      <c r="G436" s="52"/>
      <c r="H436" s="52"/>
      <c r="I436" s="52"/>
      <c r="J436" s="52"/>
      <c r="K436" s="15" t="s">
        <v>16</v>
      </c>
      <c r="L436" s="15"/>
      <c r="M436" s="15"/>
      <c r="N436" s="16"/>
    </row>
    <row r="437" spans="1:14" x14ac:dyDescent="0.25">
      <c r="A437" s="20"/>
      <c r="B437" s="35" t="s">
        <v>1782</v>
      </c>
      <c r="C437" s="42" t="s">
        <v>88</v>
      </c>
      <c r="D437" s="15" t="s">
        <v>345</v>
      </c>
      <c r="E437" s="15" t="s">
        <v>1767</v>
      </c>
      <c r="F437" s="52"/>
      <c r="G437" s="52"/>
      <c r="H437" s="52"/>
      <c r="I437" s="52"/>
      <c r="J437" s="52"/>
      <c r="K437" s="15" t="s">
        <v>16</v>
      </c>
      <c r="L437" s="15"/>
      <c r="M437" s="15"/>
      <c r="N437" s="16"/>
    </row>
    <row r="438" spans="1:14" x14ac:dyDescent="0.25">
      <c r="A438" s="20"/>
      <c r="B438" s="35" t="s">
        <v>3100</v>
      </c>
      <c r="C438" s="42" t="s">
        <v>88</v>
      </c>
      <c r="D438" s="15" t="s">
        <v>348</v>
      </c>
      <c r="E438" s="15" t="s">
        <v>1769</v>
      </c>
      <c r="F438" s="52"/>
      <c r="G438" s="52"/>
      <c r="H438" s="52"/>
      <c r="I438" s="52"/>
      <c r="J438" s="52" t="s">
        <v>2873</v>
      </c>
      <c r="K438" s="15" t="s">
        <v>16</v>
      </c>
      <c r="L438" s="15" t="s">
        <v>3101</v>
      </c>
      <c r="M438" s="15"/>
      <c r="N438" s="16"/>
    </row>
    <row r="439" spans="1:14" x14ac:dyDescent="0.25">
      <c r="A439" s="20"/>
      <c r="B439" s="35" t="s">
        <v>1780</v>
      </c>
      <c r="C439" s="42" t="s">
        <v>88</v>
      </c>
      <c r="D439" s="15" t="s">
        <v>351</v>
      </c>
      <c r="E439" s="15" t="s">
        <v>1771</v>
      </c>
      <c r="F439" s="52"/>
      <c r="G439" s="52"/>
      <c r="H439" s="52"/>
      <c r="I439" s="52"/>
      <c r="J439" s="52"/>
      <c r="K439" s="15" t="s">
        <v>16</v>
      </c>
      <c r="L439" s="15"/>
      <c r="M439" s="15"/>
      <c r="N439" s="16"/>
    </row>
    <row r="440" spans="1:14" x14ac:dyDescent="0.25">
      <c r="A440" s="20"/>
      <c r="B440" s="35" t="s">
        <v>3105</v>
      </c>
      <c r="C440" s="42" t="s">
        <v>88</v>
      </c>
      <c r="D440" s="15" t="s">
        <v>431</v>
      </c>
      <c r="E440" s="15" t="s">
        <v>1773</v>
      </c>
      <c r="F440" s="52"/>
      <c r="G440" s="52"/>
      <c r="H440" s="52"/>
      <c r="I440" s="52"/>
      <c r="J440" s="52" t="s">
        <v>2954</v>
      </c>
      <c r="K440" s="15" t="s">
        <v>16</v>
      </c>
      <c r="L440" s="15" t="s">
        <v>2405</v>
      </c>
      <c r="M440" s="15"/>
      <c r="N440" s="16"/>
    </row>
    <row r="441" spans="1:14" x14ac:dyDescent="0.25">
      <c r="A441" s="20"/>
      <c r="B441" s="35" t="s">
        <v>1778</v>
      </c>
      <c r="C441" s="42" t="s">
        <v>12</v>
      </c>
      <c r="D441" s="15" t="s">
        <v>434</v>
      </c>
      <c r="E441" s="15" t="s">
        <v>1775</v>
      </c>
      <c r="F441" s="52"/>
      <c r="G441" s="52"/>
      <c r="H441" s="52"/>
      <c r="I441" s="52"/>
      <c r="J441" s="52"/>
      <c r="K441" s="15" t="s">
        <v>16</v>
      </c>
      <c r="L441" s="15"/>
      <c r="M441" s="15"/>
      <c r="N441" s="16"/>
    </row>
    <row r="442" spans="1:14" x14ac:dyDescent="0.25">
      <c r="A442" s="20"/>
      <c r="B442" s="35" t="s">
        <v>1776</v>
      </c>
      <c r="C442" s="42" t="s">
        <v>12</v>
      </c>
      <c r="D442" s="15" t="s">
        <v>437</v>
      </c>
      <c r="E442" s="15" t="s">
        <v>1777</v>
      </c>
      <c r="F442" s="52"/>
      <c r="G442" s="52"/>
      <c r="H442" s="52"/>
      <c r="I442" s="52"/>
      <c r="J442" s="52"/>
      <c r="K442" s="15" t="s">
        <v>16</v>
      </c>
      <c r="L442" s="15"/>
      <c r="M442" s="15"/>
      <c r="N442" s="16"/>
    </row>
    <row r="443" spans="1:14" x14ac:dyDescent="0.25">
      <c r="A443" s="20"/>
      <c r="B443" s="35" t="s">
        <v>1774</v>
      </c>
      <c r="C443" s="42" t="s">
        <v>12</v>
      </c>
      <c r="D443" s="15" t="s">
        <v>440</v>
      </c>
      <c r="E443" s="15" t="s">
        <v>1779</v>
      </c>
      <c r="F443" s="52"/>
      <c r="G443" s="52"/>
      <c r="H443" s="52"/>
      <c r="I443" s="52"/>
      <c r="J443" s="52"/>
      <c r="K443" s="15" t="s">
        <v>16</v>
      </c>
      <c r="L443" s="15"/>
      <c r="M443" s="15"/>
      <c r="N443" s="16"/>
    </row>
    <row r="444" spans="1:14" x14ac:dyDescent="0.25">
      <c r="A444" s="20"/>
      <c r="B444" s="35" t="s">
        <v>1772</v>
      </c>
      <c r="C444" s="42" t="s">
        <v>12</v>
      </c>
      <c r="D444" s="15" t="s">
        <v>443</v>
      </c>
      <c r="E444" s="15" t="s">
        <v>1781</v>
      </c>
      <c r="F444" s="52"/>
      <c r="G444" s="52"/>
      <c r="H444" s="52"/>
      <c r="I444" s="52"/>
      <c r="J444" s="52"/>
      <c r="K444" s="15" t="s">
        <v>16</v>
      </c>
      <c r="L444" s="15"/>
      <c r="M444" s="15"/>
      <c r="N444" s="16"/>
    </row>
    <row r="445" spans="1:14" x14ac:dyDescent="0.25">
      <c r="A445" s="20"/>
      <c r="B445" s="35" t="s">
        <v>1770</v>
      </c>
      <c r="C445" s="42" t="s">
        <v>12</v>
      </c>
      <c r="D445" s="15" t="s">
        <v>446</v>
      </c>
      <c r="E445" s="15" t="s">
        <v>1783</v>
      </c>
      <c r="F445" s="52"/>
      <c r="G445" s="52"/>
      <c r="H445" s="52"/>
      <c r="I445" s="52"/>
      <c r="J445" s="52"/>
      <c r="K445" s="15" t="s">
        <v>16</v>
      </c>
      <c r="L445" s="15"/>
      <c r="M445" s="15"/>
      <c r="N445" s="16"/>
    </row>
    <row r="446" spans="1:14" x14ac:dyDescent="0.25">
      <c r="A446" s="20"/>
      <c r="B446" s="35" t="s">
        <v>1768</v>
      </c>
      <c r="C446" s="42" t="s">
        <v>12</v>
      </c>
      <c r="D446" s="15" t="s">
        <v>449</v>
      </c>
      <c r="E446" s="15" t="s">
        <v>1785</v>
      </c>
      <c r="F446" s="52"/>
      <c r="G446" s="52"/>
      <c r="H446" s="52"/>
      <c r="I446" s="52"/>
      <c r="J446" s="52" t="s">
        <v>2932</v>
      </c>
      <c r="K446" s="15" t="s">
        <v>16</v>
      </c>
      <c r="L446" s="15" t="s">
        <v>2233</v>
      </c>
      <c r="M446" s="15"/>
      <c r="N446" s="16"/>
    </row>
    <row r="447" spans="1:14" x14ac:dyDescent="0.25">
      <c r="A447" s="20"/>
      <c r="B447" s="35" t="s">
        <v>1766</v>
      </c>
      <c r="C447" s="42" t="s">
        <v>12</v>
      </c>
      <c r="D447" s="15" t="s">
        <v>452</v>
      </c>
      <c r="E447" s="15" t="s">
        <v>1787</v>
      </c>
      <c r="F447" s="15"/>
      <c r="G447" s="15"/>
      <c r="H447" s="15"/>
      <c r="I447" s="15"/>
      <c r="J447" s="15"/>
      <c r="K447" s="15" t="s">
        <v>16</v>
      </c>
      <c r="L447" s="15"/>
      <c r="M447" s="15"/>
      <c r="N447" s="16"/>
    </row>
    <row r="448" spans="1:14" x14ac:dyDescent="0.25">
      <c r="A448" s="20"/>
      <c r="B448" s="35" t="s">
        <v>1764</v>
      </c>
      <c r="C448" s="42" t="s">
        <v>12</v>
      </c>
      <c r="D448" s="15" t="s">
        <v>455</v>
      </c>
      <c r="E448" s="15" t="s">
        <v>1789</v>
      </c>
      <c r="F448" s="15"/>
      <c r="G448" s="15"/>
      <c r="H448" s="15"/>
      <c r="I448" s="15"/>
      <c r="J448" s="15"/>
      <c r="K448" s="15" t="s">
        <v>16</v>
      </c>
      <c r="L448" s="15"/>
      <c r="M448" s="15"/>
      <c r="N448" s="16"/>
    </row>
    <row r="449" spans="1:14" x14ac:dyDescent="0.25">
      <c r="A449" s="20"/>
      <c r="B449" s="35" t="s">
        <v>1762</v>
      </c>
      <c r="C449" s="42" t="s">
        <v>12</v>
      </c>
      <c r="D449" s="15" t="s">
        <v>458</v>
      </c>
      <c r="E449" s="15" t="s">
        <v>1791</v>
      </c>
      <c r="F449" s="15"/>
      <c r="G449" s="15"/>
      <c r="H449" s="15"/>
      <c r="I449" s="15"/>
      <c r="J449" s="15"/>
      <c r="K449" s="15" t="s">
        <v>16</v>
      </c>
      <c r="L449" s="15"/>
      <c r="M449" s="15"/>
      <c r="N449" s="16"/>
    </row>
    <row r="450" spans="1:14" x14ac:dyDescent="0.25">
      <c r="A450" s="20"/>
      <c r="B450" s="35" t="s">
        <v>1760</v>
      </c>
      <c r="C450" s="42" t="s">
        <v>12</v>
      </c>
      <c r="D450" s="15" t="s">
        <v>461</v>
      </c>
      <c r="E450" s="15" t="s">
        <v>1793</v>
      </c>
      <c r="F450" s="15"/>
      <c r="G450" s="15"/>
      <c r="H450" s="15"/>
      <c r="I450" s="15"/>
      <c r="J450" s="15"/>
      <c r="K450" s="15" t="s">
        <v>16</v>
      </c>
      <c r="L450" s="15"/>
      <c r="M450" s="15"/>
      <c r="N450" s="16"/>
    </row>
    <row r="451" spans="1:14" x14ac:dyDescent="0.25">
      <c r="A451" s="20"/>
      <c r="B451" s="35" t="s">
        <v>1758</v>
      </c>
      <c r="C451" s="42" t="s">
        <v>88</v>
      </c>
      <c r="D451" s="15" t="s">
        <v>464</v>
      </c>
      <c r="E451" s="15" t="s">
        <v>1795</v>
      </c>
      <c r="F451" s="15"/>
      <c r="G451" s="15"/>
      <c r="H451" s="15"/>
      <c r="I451" s="15"/>
      <c r="J451" s="15"/>
      <c r="K451" s="15" t="s">
        <v>16</v>
      </c>
      <c r="L451" s="15"/>
      <c r="M451" s="15"/>
      <c r="N451" s="16"/>
    </row>
    <row r="452" spans="1:14" x14ac:dyDescent="0.25">
      <c r="A452" s="20"/>
      <c r="B452" s="35" t="s">
        <v>1756</v>
      </c>
      <c r="C452" s="42" t="s">
        <v>88</v>
      </c>
      <c r="D452" s="15" t="s">
        <v>467</v>
      </c>
      <c r="E452" s="15" t="s">
        <v>1797</v>
      </c>
      <c r="F452" s="15"/>
      <c r="G452" s="15"/>
      <c r="H452" s="15"/>
      <c r="I452" s="15"/>
      <c r="J452" s="15"/>
      <c r="K452" s="15" t="s">
        <v>246</v>
      </c>
      <c r="L452" s="15"/>
      <c r="M452" s="15"/>
      <c r="N452" s="16"/>
    </row>
    <row r="453" spans="1:14" s="11" customFormat="1" x14ac:dyDescent="0.25">
      <c r="A453" s="20"/>
      <c r="B453" s="35" t="s">
        <v>1754</v>
      </c>
      <c r="C453" s="42" t="s">
        <v>88</v>
      </c>
      <c r="D453" s="15" t="s">
        <v>470</v>
      </c>
      <c r="E453" s="15" t="s">
        <v>1799</v>
      </c>
      <c r="F453" s="15"/>
      <c r="G453" s="15"/>
      <c r="H453" s="15"/>
      <c r="I453" s="15"/>
      <c r="J453" s="15"/>
      <c r="K453" s="15" t="s">
        <v>246</v>
      </c>
      <c r="L453" s="15"/>
      <c r="M453" s="15"/>
      <c r="N453" s="16"/>
    </row>
    <row r="454" spans="1:14" x14ac:dyDescent="0.25">
      <c r="A454" s="20"/>
      <c r="B454" s="35" t="s">
        <v>1750</v>
      </c>
      <c r="C454" s="42" t="s">
        <v>88</v>
      </c>
      <c r="D454" s="15" t="s">
        <v>473</v>
      </c>
      <c r="E454" s="15" t="s">
        <v>1801</v>
      </c>
      <c r="F454" s="15"/>
      <c r="G454" s="15"/>
      <c r="H454" s="15"/>
      <c r="I454" s="15"/>
      <c r="J454" s="15"/>
      <c r="K454" s="15" t="s">
        <v>246</v>
      </c>
      <c r="L454" s="15"/>
      <c r="M454" s="15"/>
      <c r="N454" s="16"/>
    </row>
    <row r="455" spans="1:14" x14ac:dyDescent="0.25">
      <c r="A455" s="20"/>
      <c r="B455" s="35" t="s">
        <v>1752</v>
      </c>
      <c r="C455" s="42" t="s">
        <v>88</v>
      </c>
      <c r="D455" s="15" t="s">
        <v>476</v>
      </c>
      <c r="E455" s="15" t="s">
        <v>1803</v>
      </c>
      <c r="F455" s="15"/>
      <c r="G455" s="15"/>
      <c r="H455" s="15"/>
      <c r="I455" s="15"/>
      <c r="J455" s="15"/>
      <c r="K455" s="15" t="s">
        <v>246</v>
      </c>
      <c r="L455" s="15"/>
      <c r="M455" s="15"/>
      <c r="N455" s="16"/>
    </row>
    <row r="456" spans="1:14" x14ac:dyDescent="0.25">
      <c r="A456" s="20"/>
      <c r="B456" s="35" t="s">
        <v>1748</v>
      </c>
      <c r="C456" s="42" t="s">
        <v>88</v>
      </c>
      <c r="D456" s="15" t="s">
        <v>479</v>
      </c>
      <c r="E456" s="15" t="s">
        <v>1805</v>
      </c>
      <c r="F456" s="52"/>
      <c r="G456" s="52"/>
      <c r="H456" s="52"/>
      <c r="I456" s="52"/>
      <c r="J456" s="52"/>
      <c r="K456" s="15" t="s">
        <v>246</v>
      </c>
      <c r="L456" s="15"/>
      <c r="M456" s="15"/>
      <c r="N456" s="16"/>
    </row>
    <row r="457" spans="1:14" x14ac:dyDescent="0.25">
      <c r="A457" s="20"/>
      <c r="B457" s="35" t="s">
        <v>1746</v>
      </c>
      <c r="C457" s="42" t="s">
        <v>88</v>
      </c>
      <c r="D457" s="15" t="s">
        <v>482</v>
      </c>
      <c r="E457" s="15" t="s">
        <v>1807</v>
      </c>
      <c r="F457" s="52"/>
      <c r="G457" s="52"/>
      <c r="H457" s="52"/>
      <c r="I457" s="52"/>
      <c r="J457" s="52"/>
      <c r="K457" s="15" t="s">
        <v>246</v>
      </c>
      <c r="L457" s="15"/>
      <c r="M457" s="15"/>
      <c r="N457" s="16"/>
    </row>
    <row r="458" spans="1:14" x14ac:dyDescent="0.25">
      <c r="A458" s="20"/>
      <c r="B458" s="35" t="s">
        <v>1744</v>
      </c>
      <c r="C458" s="42" t="s">
        <v>88</v>
      </c>
      <c r="D458" s="15" t="s">
        <v>485</v>
      </c>
      <c r="E458" s="15" t="s">
        <v>1809</v>
      </c>
      <c r="F458" s="52"/>
      <c r="G458" s="52"/>
      <c r="H458" s="52"/>
      <c r="I458" s="52"/>
      <c r="J458" s="52"/>
      <c r="K458" s="15" t="s">
        <v>246</v>
      </c>
      <c r="L458" s="15"/>
      <c r="M458" s="15"/>
      <c r="N458" s="16"/>
    </row>
    <row r="459" spans="1:14" x14ac:dyDescent="0.25">
      <c r="A459" s="20"/>
      <c r="B459" s="35" t="s">
        <v>1742</v>
      </c>
      <c r="C459" s="42" t="s">
        <v>88</v>
      </c>
      <c r="D459" s="15" t="s">
        <v>488</v>
      </c>
      <c r="E459" s="15" t="s">
        <v>1811</v>
      </c>
      <c r="F459" s="52"/>
      <c r="G459" s="52"/>
      <c r="H459" s="52"/>
      <c r="I459" s="52"/>
      <c r="J459" s="52"/>
      <c r="K459" s="15" t="s">
        <v>246</v>
      </c>
      <c r="L459" s="15"/>
      <c r="M459" s="15"/>
      <c r="N459" s="16"/>
    </row>
    <row r="460" spans="1:14" x14ac:dyDescent="0.25">
      <c r="A460" s="20"/>
      <c r="B460" s="35" t="s">
        <v>1740</v>
      </c>
      <c r="C460" s="42" t="s">
        <v>88</v>
      </c>
      <c r="D460" s="15" t="s">
        <v>491</v>
      </c>
      <c r="E460" s="15" t="s">
        <v>1813</v>
      </c>
      <c r="F460" s="52"/>
      <c r="G460" s="52"/>
      <c r="H460" s="52"/>
      <c r="I460" s="52"/>
      <c r="J460" s="52"/>
      <c r="K460" s="15" t="s">
        <v>246</v>
      </c>
      <c r="L460" s="15"/>
      <c r="M460" s="15"/>
      <c r="N460" s="16"/>
    </row>
    <row r="461" spans="1:14" x14ac:dyDescent="0.25">
      <c r="A461" s="20"/>
      <c r="B461" s="35" t="s">
        <v>1738</v>
      </c>
      <c r="C461" s="42" t="s">
        <v>88</v>
      </c>
      <c r="D461" s="15" t="s">
        <v>494</v>
      </c>
      <c r="E461" s="15" t="s">
        <v>1815</v>
      </c>
      <c r="F461" s="15"/>
      <c r="G461" s="15"/>
      <c r="H461" s="15"/>
      <c r="I461" s="15"/>
      <c r="J461" s="15"/>
      <c r="K461" s="15" t="s">
        <v>16</v>
      </c>
      <c r="L461" s="15"/>
      <c r="M461" s="15"/>
      <c r="N461" s="16"/>
    </row>
    <row r="462" spans="1:14" x14ac:dyDescent="0.25">
      <c r="A462" s="20"/>
      <c r="B462" s="35" t="s">
        <v>1736</v>
      </c>
      <c r="C462" s="42" t="s">
        <v>88</v>
      </c>
      <c r="D462" s="15" t="s">
        <v>497</v>
      </c>
      <c r="E462" s="15" t="s">
        <v>1817</v>
      </c>
      <c r="F462" s="15"/>
      <c r="G462" s="15"/>
      <c r="H462" s="15"/>
      <c r="I462" s="15"/>
      <c r="J462" s="15" t="s">
        <v>2893</v>
      </c>
      <c r="K462" s="15" t="s">
        <v>16</v>
      </c>
      <c r="L462" s="15" t="s">
        <v>2405</v>
      </c>
      <c r="M462" s="15"/>
      <c r="N462" s="16"/>
    </row>
    <row r="463" spans="1:14" x14ac:dyDescent="0.25">
      <c r="A463" s="20"/>
      <c r="B463" s="35" t="s">
        <v>1734</v>
      </c>
      <c r="C463" s="42" t="s">
        <v>12</v>
      </c>
      <c r="D463" s="15" t="s">
        <v>500</v>
      </c>
      <c r="E463" s="15" t="s">
        <v>4213</v>
      </c>
      <c r="F463" s="15"/>
      <c r="G463" s="15"/>
      <c r="H463" s="15"/>
      <c r="I463" s="15"/>
      <c r="J463" s="15"/>
      <c r="K463" s="15" t="s">
        <v>16</v>
      </c>
      <c r="L463" s="15"/>
      <c r="M463" s="15"/>
      <c r="N463" s="16"/>
    </row>
    <row r="464" spans="1:14" x14ac:dyDescent="0.25">
      <c r="A464" s="20"/>
      <c r="B464" s="35" t="s">
        <v>1732</v>
      </c>
      <c r="C464" s="42" t="s">
        <v>12</v>
      </c>
      <c r="D464" s="15" t="s">
        <v>503</v>
      </c>
      <c r="E464" s="15" t="s">
        <v>1820</v>
      </c>
      <c r="F464" s="15"/>
      <c r="G464" s="15"/>
      <c r="H464" s="15"/>
      <c r="I464" s="15"/>
      <c r="J464" s="15"/>
      <c r="K464" s="15" t="s">
        <v>16</v>
      </c>
      <c r="L464" s="15"/>
      <c r="M464" s="15"/>
      <c r="N464" s="16"/>
    </row>
    <row r="465" spans="1:14" x14ac:dyDescent="0.25">
      <c r="A465" s="20"/>
      <c r="B465" s="35" t="s">
        <v>1730</v>
      </c>
      <c r="C465" s="42" t="s">
        <v>88</v>
      </c>
      <c r="D465" s="15" t="s">
        <v>506</v>
      </c>
      <c r="E465" s="15" t="s">
        <v>1822</v>
      </c>
      <c r="F465" s="15"/>
      <c r="G465" s="15"/>
      <c r="H465" s="15"/>
      <c r="I465" s="15"/>
      <c r="J465" s="15"/>
      <c r="K465" s="15" t="s">
        <v>16</v>
      </c>
      <c r="L465" s="15"/>
      <c r="M465" s="15"/>
      <c r="N465" s="16"/>
    </row>
    <row r="466" spans="1:14" x14ac:dyDescent="0.25">
      <c r="A466" s="20"/>
      <c r="B466" s="35" t="s">
        <v>1728</v>
      </c>
      <c r="C466" s="42" t="s">
        <v>88</v>
      </c>
      <c r="D466" s="15" t="s">
        <v>509</v>
      </c>
      <c r="E466" s="15" t="s">
        <v>1824</v>
      </c>
      <c r="F466" s="15"/>
      <c r="G466" s="15"/>
      <c r="H466" s="15"/>
      <c r="I466" s="15"/>
      <c r="J466" s="15"/>
      <c r="K466" s="15" t="s">
        <v>16</v>
      </c>
      <c r="L466" s="15"/>
      <c r="M466" s="15"/>
      <c r="N466" s="16"/>
    </row>
    <row r="467" spans="1:14" x14ac:dyDescent="0.25">
      <c r="A467" s="20"/>
      <c r="B467" s="35" t="s">
        <v>1726</v>
      </c>
      <c r="C467" s="42" t="s">
        <v>88</v>
      </c>
      <c r="D467" s="15" t="s">
        <v>512</v>
      </c>
      <c r="E467" s="15" t="s">
        <v>1826</v>
      </c>
      <c r="F467" s="15"/>
      <c r="G467" s="15"/>
      <c r="H467" s="15"/>
      <c r="I467" s="15"/>
      <c r="J467" s="15"/>
      <c r="K467" s="15" t="s">
        <v>16</v>
      </c>
      <c r="L467" s="15"/>
      <c r="M467" s="15"/>
      <c r="N467" s="16"/>
    </row>
    <row r="468" spans="1:14" x14ac:dyDescent="0.25">
      <c r="A468" s="20"/>
      <c r="B468" s="35" t="s">
        <v>1724</v>
      </c>
      <c r="C468" s="42" t="s">
        <v>88</v>
      </c>
      <c r="D468" s="15" t="s">
        <v>515</v>
      </c>
      <c r="E468" s="15" t="s">
        <v>1828</v>
      </c>
      <c r="F468" s="15"/>
      <c r="G468" s="15"/>
      <c r="H468" s="15"/>
      <c r="I468" s="15"/>
      <c r="J468" s="15"/>
      <c r="K468" s="15" t="s">
        <v>16</v>
      </c>
      <c r="L468" s="15"/>
      <c r="M468" s="15"/>
      <c r="N468" s="16"/>
    </row>
    <row r="469" spans="1:14" x14ac:dyDescent="0.25">
      <c r="A469" s="20"/>
      <c r="B469" s="35" t="s">
        <v>1722</v>
      </c>
      <c r="C469" s="42" t="s">
        <v>88</v>
      </c>
      <c r="D469" s="15" t="s">
        <v>518</v>
      </c>
      <c r="E469" s="15" t="s">
        <v>1830</v>
      </c>
      <c r="F469" s="15"/>
      <c r="G469" s="15"/>
      <c r="H469" s="15"/>
      <c r="I469" s="15"/>
      <c r="J469" s="15"/>
      <c r="K469" s="15" t="s">
        <v>16</v>
      </c>
      <c r="L469" s="15"/>
      <c r="M469" s="15"/>
      <c r="N469" s="16"/>
    </row>
    <row r="470" spans="1:14" x14ac:dyDescent="0.25">
      <c r="A470" s="20"/>
      <c r="B470" s="35" t="s">
        <v>1720</v>
      </c>
      <c r="C470" s="42" t="s">
        <v>88</v>
      </c>
      <c r="D470" s="15" t="s">
        <v>521</v>
      </c>
      <c r="E470" s="15" t="s">
        <v>1832</v>
      </c>
      <c r="F470" s="15"/>
      <c r="G470" s="15"/>
      <c r="H470" s="15"/>
      <c r="I470" s="15"/>
      <c r="J470" s="15"/>
      <c r="K470" s="15" t="s">
        <v>16</v>
      </c>
      <c r="L470" s="15"/>
      <c r="M470" s="15"/>
      <c r="N470" s="16"/>
    </row>
    <row r="471" spans="1:14" x14ac:dyDescent="0.25">
      <c r="A471" s="20"/>
      <c r="B471" s="35" t="s">
        <v>1718</v>
      </c>
      <c r="C471" s="42" t="s">
        <v>88</v>
      </c>
      <c r="D471" s="15" t="s">
        <v>524</v>
      </c>
      <c r="E471" s="15" t="s">
        <v>1834</v>
      </c>
      <c r="F471" s="15"/>
      <c r="G471" s="15"/>
      <c r="H471" s="15"/>
      <c r="I471" s="15"/>
      <c r="J471" s="15"/>
      <c r="K471" s="15" t="s">
        <v>16</v>
      </c>
      <c r="L471" s="15"/>
      <c r="M471" s="15"/>
      <c r="N471" s="16"/>
    </row>
    <row r="472" spans="1:14" x14ac:dyDescent="0.25">
      <c r="A472" s="20"/>
      <c r="B472" s="35" t="s">
        <v>1716</v>
      </c>
      <c r="C472" s="42" t="s">
        <v>12</v>
      </c>
      <c r="D472" s="15" t="s">
        <v>527</v>
      </c>
      <c r="E472" s="15" t="s">
        <v>1836</v>
      </c>
      <c r="F472" s="15"/>
      <c r="G472" s="15"/>
      <c r="H472" s="15"/>
      <c r="I472" s="15"/>
      <c r="J472" s="15"/>
      <c r="K472" s="15" t="s">
        <v>16</v>
      </c>
      <c r="L472" s="15"/>
      <c r="M472" s="15"/>
      <c r="N472" s="16"/>
    </row>
    <row r="473" spans="1:14" x14ac:dyDescent="0.25">
      <c r="A473" s="20"/>
      <c r="B473" s="35" t="s">
        <v>1714</v>
      </c>
      <c r="C473" s="42" t="s">
        <v>12</v>
      </c>
      <c r="D473" s="15" t="s">
        <v>530</v>
      </c>
      <c r="E473" s="15" t="s">
        <v>1838</v>
      </c>
      <c r="F473" s="15"/>
      <c r="G473" s="15"/>
      <c r="H473" s="15"/>
      <c r="I473" s="15"/>
      <c r="J473" s="15"/>
      <c r="K473" s="15" t="s">
        <v>16</v>
      </c>
      <c r="L473" s="15"/>
      <c r="M473" s="15"/>
      <c r="N473" s="16"/>
    </row>
    <row r="474" spans="1:14" x14ac:dyDescent="0.25">
      <c r="A474" s="20"/>
      <c r="B474" s="35" t="s">
        <v>1712</v>
      </c>
      <c r="C474" s="42" t="s">
        <v>88</v>
      </c>
      <c r="D474" s="15" t="s">
        <v>533</v>
      </c>
      <c r="E474" s="15" t="s">
        <v>3453</v>
      </c>
      <c r="F474" s="15"/>
      <c r="G474" s="15"/>
      <c r="H474" s="15"/>
      <c r="I474" s="15"/>
      <c r="J474" s="15"/>
      <c r="K474" s="15" t="s">
        <v>246</v>
      </c>
      <c r="L474" s="15"/>
      <c r="M474" s="15"/>
      <c r="N474" s="16"/>
    </row>
    <row r="475" spans="1:14" x14ac:dyDescent="0.25">
      <c r="A475" s="20"/>
      <c r="B475" s="35" t="s">
        <v>1710</v>
      </c>
      <c r="C475" s="42" t="s">
        <v>12</v>
      </c>
      <c r="D475" s="15" t="s">
        <v>536</v>
      </c>
      <c r="E475" s="15" t="s">
        <v>4214</v>
      </c>
      <c r="F475" s="15"/>
      <c r="G475" s="15"/>
      <c r="H475" s="15"/>
      <c r="I475" s="15"/>
      <c r="J475" s="15"/>
      <c r="K475" s="15" t="s">
        <v>16</v>
      </c>
      <c r="L475" s="15"/>
      <c r="M475" s="15"/>
      <c r="N475" s="16"/>
    </row>
    <row r="476" spans="1:14" x14ac:dyDescent="0.25">
      <c r="A476" s="20"/>
      <c r="B476" s="35" t="s">
        <v>1708</v>
      </c>
      <c r="C476" s="42" t="s">
        <v>88</v>
      </c>
      <c r="D476" s="15" t="s">
        <v>539</v>
      </c>
      <c r="E476" s="15" t="s">
        <v>4215</v>
      </c>
      <c r="F476" s="15"/>
      <c r="G476" s="15"/>
      <c r="H476" s="15"/>
      <c r="I476" s="15"/>
      <c r="J476" s="15"/>
      <c r="K476" s="15" t="s">
        <v>16</v>
      </c>
      <c r="L476" s="15"/>
      <c r="M476" s="15"/>
      <c r="N476" s="16"/>
    </row>
    <row r="477" spans="1:14" x14ac:dyDescent="0.25">
      <c r="A477" s="13"/>
      <c r="B477" s="35" t="s">
        <v>3332</v>
      </c>
      <c r="C477" s="42" t="s">
        <v>12</v>
      </c>
      <c r="D477" s="15" t="s">
        <v>542</v>
      </c>
      <c r="E477" s="15" t="s">
        <v>4216</v>
      </c>
      <c r="F477" s="15"/>
      <c r="G477" s="15"/>
      <c r="H477" s="15"/>
      <c r="I477" s="15"/>
      <c r="J477" s="15" t="s">
        <v>3236</v>
      </c>
      <c r="K477" s="15" t="s">
        <v>16</v>
      </c>
      <c r="L477" s="15" t="s">
        <v>2261</v>
      </c>
      <c r="M477" s="15"/>
      <c r="N477" s="16"/>
    </row>
    <row r="478" spans="1:14" x14ac:dyDescent="0.25">
      <c r="A478" s="13"/>
      <c r="B478" s="35" t="s">
        <v>3324</v>
      </c>
      <c r="C478" s="42" t="s">
        <v>12</v>
      </c>
      <c r="D478" s="15" t="s">
        <v>545</v>
      </c>
      <c r="E478" s="15" t="s">
        <v>4217</v>
      </c>
      <c r="F478" s="15"/>
      <c r="G478" s="15"/>
      <c r="H478" s="15"/>
      <c r="I478" s="15"/>
      <c r="J478" s="15" t="s">
        <v>3236</v>
      </c>
      <c r="K478" s="15" t="s">
        <v>16</v>
      </c>
      <c r="L478" s="15" t="s">
        <v>2419</v>
      </c>
      <c r="M478" s="15"/>
      <c r="N478" s="16"/>
    </row>
    <row r="479" spans="1:14" x14ac:dyDescent="0.25">
      <c r="A479" s="13"/>
      <c r="B479" s="35" t="s">
        <v>3333</v>
      </c>
      <c r="C479" s="42" t="s">
        <v>12</v>
      </c>
      <c r="D479" s="15" t="s">
        <v>548</v>
      </c>
      <c r="E479" s="15" t="s">
        <v>4218</v>
      </c>
      <c r="F479" s="15"/>
      <c r="G479" s="15"/>
      <c r="H479" s="15"/>
      <c r="I479" s="15"/>
      <c r="J479" s="15" t="s">
        <v>3236</v>
      </c>
      <c r="K479" s="15" t="s">
        <v>16</v>
      </c>
      <c r="L479" s="15" t="s">
        <v>2419</v>
      </c>
      <c r="M479" s="15"/>
      <c r="N479" s="16"/>
    </row>
    <row r="480" spans="1:14" x14ac:dyDescent="0.25">
      <c r="A480" s="13"/>
      <c r="B480" s="35" t="s">
        <v>3334</v>
      </c>
      <c r="C480" s="42" t="s">
        <v>12</v>
      </c>
      <c r="D480" s="15" t="s">
        <v>551</v>
      </c>
      <c r="E480" s="15" t="s">
        <v>4219</v>
      </c>
      <c r="F480" s="15"/>
      <c r="G480" s="15"/>
      <c r="H480" s="15"/>
      <c r="I480" s="15"/>
      <c r="J480" s="15" t="s">
        <v>3236</v>
      </c>
      <c r="K480" s="15" t="s">
        <v>16</v>
      </c>
      <c r="L480" s="15" t="s">
        <v>2233</v>
      </c>
      <c r="M480" s="15"/>
      <c r="N480" s="16"/>
    </row>
    <row r="481" spans="1:14" x14ac:dyDescent="0.25">
      <c r="A481" s="13"/>
      <c r="B481" s="35" t="s">
        <v>3325</v>
      </c>
      <c r="C481" s="42" t="s">
        <v>12</v>
      </c>
      <c r="D481" s="15" t="s">
        <v>554</v>
      </c>
      <c r="E481" s="15" t="s">
        <v>4220</v>
      </c>
      <c r="F481" s="15"/>
      <c r="G481" s="15"/>
      <c r="H481" s="15"/>
      <c r="I481" s="15"/>
      <c r="J481" s="15" t="s">
        <v>3236</v>
      </c>
      <c r="K481" s="15" t="s">
        <v>16</v>
      </c>
      <c r="L481" s="15" t="s">
        <v>2402</v>
      </c>
      <c r="M481" s="15"/>
      <c r="N481" s="16"/>
    </row>
    <row r="482" spans="1:14" x14ac:dyDescent="0.25">
      <c r="A482" s="20"/>
      <c r="B482" s="35" t="s">
        <v>1706</v>
      </c>
      <c r="C482" s="42" t="s">
        <v>88</v>
      </c>
      <c r="D482" s="15" t="s">
        <v>557</v>
      </c>
      <c r="E482" s="15" t="s">
        <v>4221</v>
      </c>
      <c r="F482" s="15"/>
      <c r="G482" s="15"/>
      <c r="H482" s="15"/>
      <c r="I482" s="15"/>
      <c r="J482" s="15"/>
      <c r="K482" s="15" t="s">
        <v>16</v>
      </c>
      <c r="L482" s="15"/>
      <c r="M482" s="15"/>
      <c r="N482" s="16"/>
    </row>
    <row r="483" spans="1:14" s="11" customFormat="1" x14ac:dyDescent="0.25">
      <c r="A483" s="20"/>
      <c r="B483" s="35" t="s">
        <v>1704</v>
      </c>
      <c r="C483" s="42" t="s">
        <v>88</v>
      </c>
      <c r="D483" s="15" t="s">
        <v>560</v>
      </c>
      <c r="E483" s="15" t="s">
        <v>4222</v>
      </c>
      <c r="F483" s="15"/>
      <c r="G483" s="15"/>
      <c r="H483" s="15"/>
      <c r="I483" s="15"/>
      <c r="J483" s="15"/>
      <c r="K483" s="15" t="s">
        <v>16</v>
      </c>
      <c r="L483" s="15"/>
      <c r="M483" s="15"/>
      <c r="N483" s="16"/>
    </row>
    <row r="484" spans="1:14" x14ac:dyDescent="0.25">
      <c r="A484" s="20"/>
      <c r="B484" s="35" t="s">
        <v>3123</v>
      </c>
      <c r="C484" s="42" t="s">
        <v>88</v>
      </c>
      <c r="D484" s="15" t="s">
        <v>563</v>
      </c>
      <c r="E484" s="15" t="s">
        <v>4223</v>
      </c>
      <c r="F484" s="15"/>
      <c r="G484" s="15"/>
      <c r="H484" s="15"/>
      <c r="I484" s="15"/>
      <c r="J484" s="15" t="s">
        <v>2954</v>
      </c>
      <c r="K484" s="15" t="s">
        <v>16</v>
      </c>
      <c r="L484" s="15" t="s">
        <v>2393</v>
      </c>
      <c r="M484" s="15"/>
      <c r="N484" s="16"/>
    </row>
    <row r="485" spans="1:14" x14ac:dyDescent="0.25">
      <c r="A485" s="20"/>
      <c r="B485" s="35" t="s">
        <v>1702</v>
      </c>
      <c r="C485" s="42" t="s">
        <v>12</v>
      </c>
      <c r="D485" s="15" t="s">
        <v>566</v>
      </c>
      <c r="E485" s="15" t="s">
        <v>4224</v>
      </c>
      <c r="F485" s="15"/>
      <c r="G485" s="15"/>
      <c r="H485" s="15"/>
      <c r="I485" s="15"/>
      <c r="J485" s="15"/>
      <c r="K485" s="15" t="s">
        <v>16</v>
      </c>
      <c r="L485" s="15"/>
      <c r="M485" s="15"/>
      <c r="N485" s="16"/>
    </row>
    <row r="486" spans="1:14" x14ac:dyDescent="0.25">
      <c r="A486" s="20"/>
      <c r="B486" s="35" t="s">
        <v>1700</v>
      </c>
      <c r="C486" s="42" t="s">
        <v>12</v>
      </c>
      <c r="D486" s="15" t="s">
        <v>569</v>
      </c>
      <c r="E486" s="15" t="s">
        <v>4225</v>
      </c>
      <c r="F486" s="15"/>
      <c r="G486" s="15"/>
      <c r="H486" s="15"/>
      <c r="I486" s="15"/>
      <c r="J486" s="15"/>
      <c r="K486" s="15" t="s">
        <v>16</v>
      </c>
      <c r="L486" s="15"/>
      <c r="M486" s="15"/>
      <c r="N486" s="16"/>
    </row>
    <row r="487" spans="1:14" x14ac:dyDescent="0.25">
      <c r="A487" s="20"/>
      <c r="B487" s="35" t="s">
        <v>1698</v>
      </c>
      <c r="C487" s="42" t="s">
        <v>12</v>
      </c>
      <c r="D487" s="15" t="s">
        <v>572</v>
      </c>
      <c r="E487" s="15" t="s">
        <v>4226</v>
      </c>
      <c r="F487" s="15"/>
      <c r="G487" s="15"/>
      <c r="H487" s="15"/>
      <c r="I487" s="15"/>
      <c r="J487" s="15"/>
      <c r="K487" s="15" t="s">
        <v>16</v>
      </c>
      <c r="L487" s="15"/>
      <c r="M487" s="15"/>
      <c r="N487" s="16"/>
    </row>
    <row r="488" spans="1:14" x14ac:dyDescent="0.25">
      <c r="A488" s="20"/>
      <c r="B488" s="35" t="s">
        <v>1696</v>
      </c>
      <c r="C488" s="42" t="s">
        <v>88</v>
      </c>
      <c r="D488" s="15" t="s">
        <v>575</v>
      </c>
      <c r="E488" s="15" t="s">
        <v>4227</v>
      </c>
      <c r="F488" s="15"/>
      <c r="G488" s="15"/>
      <c r="H488" s="15"/>
      <c r="I488" s="15"/>
      <c r="J488" s="15"/>
      <c r="K488" s="15" t="s">
        <v>246</v>
      </c>
      <c r="L488" s="15"/>
      <c r="M488" s="15"/>
      <c r="N488" s="16"/>
    </row>
    <row r="489" spans="1:14" x14ac:dyDescent="0.25">
      <c r="A489" s="20"/>
      <c r="B489" s="35" t="s">
        <v>1694</v>
      </c>
      <c r="C489" s="42" t="s">
        <v>88</v>
      </c>
      <c r="D489" s="15" t="s">
        <v>578</v>
      </c>
      <c r="E489" s="15" t="s">
        <v>4228</v>
      </c>
      <c r="F489" s="15"/>
      <c r="G489" s="15"/>
      <c r="H489" s="15"/>
      <c r="I489" s="15"/>
      <c r="J489" s="15"/>
      <c r="K489" s="15" t="s">
        <v>246</v>
      </c>
      <c r="L489" s="15"/>
      <c r="M489" s="15"/>
      <c r="N489" s="16"/>
    </row>
    <row r="490" spans="1:14" x14ac:dyDescent="0.25">
      <c r="A490" s="20"/>
      <c r="B490" s="35" t="s">
        <v>2908</v>
      </c>
      <c r="C490" s="42" t="s">
        <v>88</v>
      </c>
      <c r="D490" s="15" t="s">
        <v>1411</v>
      </c>
      <c r="E490" s="15" t="s">
        <v>4229</v>
      </c>
      <c r="F490" s="15"/>
      <c r="G490" s="15"/>
      <c r="H490" s="15"/>
      <c r="I490" s="15"/>
      <c r="J490" s="15" t="s">
        <v>2893</v>
      </c>
      <c r="K490" s="15" t="s">
        <v>246</v>
      </c>
      <c r="L490" s="15" t="s">
        <v>1441</v>
      </c>
      <c r="M490" s="15"/>
      <c r="N490" s="16"/>
    </row>
    <row r="491" spans="1:14" x14ac:dyDescent="0.25">
      <c r="A491" s="20"/>
      <c r="B491" s="35" t="s">
        <v>4614</v>
      </c>
      <c r="C491" s="42" t="s">
        <v>88</v>
      </c>
      <c r="D491" s="15" t="s">
        <v>1414</v>
      </c>
      <c r="E491" s="15" t="s">
        <v>4615</v>
      </c>
      <c r="F491" s="15"/>
      <c r="G491" s="15"/>
      <c r="H491" s="15"/>
      <c r="I491" s="15"/>
      <c r="J491" s="15" t="s">
        <v>2932</v>
      </c>
      <c r="K491" s="15" t="s">
        <v>16</v>
      </c>
      <c r="L491" s="15" t="s">
        <v>2405</v>
      </c>
      <c r="M491" s="15"/>
      <c r="N491" s="16"/>
    </row>
    <row r="492" spans="1:14" x14ac:dyDescent="0.25">
      <c r="A492" s="20"/>
      <c r="B492" s="35" t="s">
        <v>4616</v>
      </c>
      <c r="C492" s="42" t="s">
        <v>88</v>
      </c>
      <c r="D492" s="15" t="s">
        <v>1417</v>
      </c>
      <c r="E492" s="15" t="s">
        <v>4617</v>
      </c>
      <c r="F492" s="15"/>
      <c r="G492" s="15"/>
      <c r="H492" s="15"/>
      <c r="I492" s="15"/>
      <c r="J492" s="15" t="s">
        <v>2932</v>
      </c>
      <c r="K492" s="15" t="s">
        <v>16</v>
      </c>
      <c r="L492" s="15" t="s">
        <v>2284</v>
      </c>
      <c r="M492" s="15"/>
      <c r="N492" s="16"/>
    </row>
    <row r="493" spans="1:14" ht="15.75" x14ac:dyDescent="0.25">
      <c r="A493" s="3">
        <v>5</v>
      </c>
      <c r="B493" s="3" t="s">
        <v>3465</v>
      </c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"/>
    </row>
    <row r="494" spans="1:14" x14ac:dyDescent="0.25">
      <c r="A494" s="13"/>
      <c r="B494" s="35" t="s">
        <v>1898</v>
      </c>
      <c r="C494" s="42" t="s">
        <v>88</v>
      </c>
      <c r="D494" s="15" t="s">
        <v>14</v>
      </c>
      <c r="E494" s="15" t="s">
        <v>1839</v>
      </c>
      <c r="F494" s="15"/>
      <c r="G494" s="15"/>
      <c r="H494" s="15"/>
      <c r="I494" s="15"/>
      <c r="J494" s="15"/>
      <c r="K494" s="15" t="s">
        <v>16</v>
      </c>
      <c r="L494" s="15"/>
      <c r="M494" s="15"/>
      <c r="N494" s="16"/>
    </row>
    <row r="495" spans="1:14" x14ac:dyDescent="0.25">
      <c r="A495" s="16"/>
      <c r="B495" s="35" t="s">
        <v>2943</v>
      </c>
      <c r="C495" s="42" t="s">
        <v>88</v>
      </c>
      <c r="D495" s="15" t="s">
        <v>19</v>
      </c>
      <c r="E495" s="15" t="s">
        <v>1841</v>
      </c>
      <c r="F495" s="15"/>
      <c r="G495" s="15"/>
      <c r="H495" s="15"/>
      <c r="I495" s="15"/>
      <c r="J495" s="15" t="s">
        <v>2833</v>
      </c>
      <c r="K495" s="15" t="s">
        <v>16</v>
      </c>
      <c r="L495" s="15" t="s">
        <v>2257</v>
      </c>
      <c r="M495" s="15"/>
      <c r="N495" s="16"/>
    </row>
    <row r="496" spans="1:14" x14ac:dyDescent="0.25">
      <c r="A496" s="16"/>
      <c r="B496" s="35" t="s">
        <v>3262</v>
      </c>
      <c r="C496" s="42" t="s">
        <v>88</v>
      </c>
      <c r="D496" s="15" t="s">
        <v>22</v>
      </c>
      <c r="E496" s="15" t="s">
        <v>1843</v>
      </c>
      <c r="F496" s="15"/>
      <c r="G496" s="15"/>
      <c r="H496" s="15"/>
      <c r="I496" s="15"/>
      <c r="J496" s="15" t="s">
        <v>3236</v>
      </c>
      <c r="K496" s="15" t="s">
        <v>16</v>
      </c>
      <c r="L496" s="15" t="s">
        <v>2284</v>
      </c>
      <c r="M496" s="15"/>
      <c r="N496" s="16"/>
    </row>
    <row r="497" spans="1:14" x14ac:dyDescent="0.25">
      <c r="A497" s="16"/>
      <c r="B497" s="35" t="s">
        <v>3315</v>
      </c>
      <c r="C497" s="42" t="s">
        <v>88</v>
      </c>
      <c r="D497" s="15" t="s">
        <v>25</v>
      </c>
      <c r="E497" s="15" t="s">
        <v>1845</v>
      </c>
      <c r="F497" s="15"/>
      <c r="G497" s="15"/>
      <c r="H497" s="15"/>
      <c r="I497" s="15"/>
      <c r="J497" s="15" t="s">
        <v>2865</v>
      </c>
      <c r="K497" s="15" t="s">
        <v>16</v>
      </c>
      <c r="L497" s="15" t="s">
        <v>3316</v>
      </c>
      <c r="M497" s="15"/>
      <c r="N497" s="16"/>
    </row>
    <row r="498" spans="1:14" x14ac:dyDescent="0.25">
      <c r="A498" s="16"/>
      <c r="B498" s="35" t="s">
        <v>3317</v>
      </c>
      <c r="C498" s="42" t="s">
        <v>88</v>
      </c>
      <c r="D498" s="15" t="s">
        <v>28</v>
      </c>
      <c r="E498" s="15" t="s">
        <v>1847</v>
      </c>
      <c r="F498" s="15"/>
      <c r="G498" s="15"/>
      <c r="H498" s="15"/>
      <c r="I498" s="15"/>
      <c r="J498" s="15" t="s">
        <v>2865</v>
      </c>
      <c r="K498" s="15" t="s">
        <v>16</v>
      </c>
      <c r="L498" s="15" t="s">
        <v>2419</v>
      </c>
      <c r="M498" s="15"/>
      <c r="N498" s="16"/>
    </row>
    <row r="499" spans="1:14" x14ac:dyDescent="0.25">
      <c r="A499" s="16"/>
      <c r="B499" s="35" t="s">
        <v>3208</v>
      </c>
      <c r="C499" s="42" t="s">
        <v>88</v>
      </c>
      <c r="D499" s="15" t="s">
        <v>31</v>
      </c>
      <c r="E499" s="15" t="s">
        <v>1849</v>
      </c>
      <c r="F499" s="15"/>
      <c r="G499" s="15"/>
      <c r="H499" s="15"/>
      <c r="I499" s="15"/>
      <c r="J499" s="15" t="s">
        <v>2950</v>
      </c>
      <c r="K499" s="15" t="s">
        <v>16</v>
      </c>
      <c r="L499" s="15" t="s">
        <v>2256</v>
      </c>
      <c r="M499" s="15"/>
      <c r="N499" s="16"/>
    </row>
    <row r="500" spans="1:14" x14ac:dyDescent="0.25">
      <c r="A500" s="16"/>
      <c r="B500" s="35" t="s">
        <v>3319</v>
      </c>
      <c r="C500" s="42" t="s">
        <v>88</v>
      </c>
      <c r="D500" s="15" t="s">
        <v>34</v>
      </c>
      <c r="E500" s="15" t="s">
        <v>1851</v>
      </c>
      <c r="F500" s="15"/>
      <c r="G500" s="15"/>
      <c r="H500" s="15"/>
      <c r="I500" s="15"/>
      <c r="J500" s="15" t="s">
        <v>2865</v>
      </c>
      <c r="K500" s="15" t="s">
        <v>16</v>
      </c>
      <c r="L500" s="15" t="s">
        <v>2723</v>
      </c>
      <c r="M500" s="15"/>
      <c r="N500" s="16"/>
    </row>
    <row r="501" spans="1:14" x14ac:dyDescent="0.25">
      <c r="A501" s="13"/>
      <c r="B501" s="35" t="s">
        <v>3295</v>
      </c>
      <c r="C501" s="42" t="s">
        <v>88</v>
      </c>
      <c r="D501" s="15" t="s">
        <v>37</v>
      </c>
      <c r="E501" s="15" t="s">
        <v>1853</v>
      </c>
      <c r="F501" s="15"/>
      <c r="G501" s="15"/>
      <c r="H501" s="15"/>
      <c r="I501" s="15"/>
      <c r="J501" s="15"/>
      <c r="K501" s="15" t="s">
        <v>16</v>
      </c>
      <c r="L501" s="15"/>
      <c r="M501" s="15"/>
      <c r="N501" s="16"/>
    </row>
    <row r="502" spans="1:14" x14ac:dyDescent="0.25">
      <c r="A502" s="13"/>
      <c r="B502" s="35" t="s">
        <v>3296</v>
      </c>
      <c r="C502" s="42" t="s">
        <v>88</v>
      </c>
      <c r="D502" s="15" t="s">
        <v>40</v>
      </c>
      <c r="E502" s="15" t="s">
        <v>1855</v>
      </c>
      <c r="F502" s="15"/>
      <c r="G502" s="15"/>
      <c r="H502" s="15"/>
      <c r="I502" s="15"/>
      <c r="J502" s="15"/>
      <c r="K502" s="15" t="s">
        <v>16</v>
      </c>
      <c r="L502" s="15"/>
      <c r="M502" s="15"/>
      <c r="N502" s="16"/>
    </row>
    <row r="503" spans="1:14" x14ac:dyDescent="0.25">
      <c r="A503" s="13"/>
      <c r="B503" s="35" t="s">
        <v>3297</v>
      </c>
      <c r="C503" s="42" t="s">
        <v>88</v>
      </c>
      <c r="D503" s="15" t="s">
        <v>43</v>
      </c>
      <c r="E503" s="15" t="s">
        <v>1857</v>
      </c>
      <c r="F503" s="15"/>
      <c r="G503" s="15"/>
      <c r="H503" s="15"/>
      <c r="I503" s="15"/>
      <c r="J503" s="15" t="s">
        <v>3236</v>
      </c>
      <c r="K503" s="15" t="s">
        <v>16</v>
      </c>
      <c r="L503" s="15" t="s">
        <v>2257</v>
      </c>
      <c r="M503" s="15"/>
      <c r="N503" s="16"/>
    </row>
    <row r="504" spans="1:14" x14ac:dyDescent="0.25">
      <c r="A504" s="13"/>
      <c r="B504" s="35" t="s">
        <v>1894</v>
      </c>
      <c r="C504" s="42" t="s">
        <v>88</v>
      </c>
      <c r="D504" s="15" t="s">
        <v>46</v>
      </c>
      <c r="E504" s="15" t="s">
        <v>1859</v>
      </c>
      <c r="F504" s="15"/>
      <c r="G504" s="15"/>
      <c r="H504" s="15"/>
      <c r="I504" s="15"/>
      <c r="J504" s="15"/>
      <c r="K504" s="15" t="s">
        <v>16</v>
      </c>
      <c r="L504" s="15"/>
      <c r="M504" s="15"/>
      <c r="N504" s="16"/>
    </row>
    <row r="505" spans="1:14" x14ac:dyDescent="0.25">
      <c r="A505" s="13"/>
      <c r="B505" s="35" t="s">
        <v>1892</v>
      </c>
      <c r="C505" s="42" t="s">
        <v>88</v>
      </c>
      <c r="D505" s="15" t="s">
        <v>72</v>
      </c>
      <c r="E505" s="15" t="s">
        <v>1861</v>
      </c>
      <c r="F505" s="52"/>
      <c r="G505" s="52"/>
      <c r="H505" s="52"/>
      <c r="I505" s="52"/>
      <c r="J505" s="52"/>
      <c r="K505" s="15" t="s">
        <v>16</v>
      </c>
      <c r="L505" s="15"/>
      <c r="M505" s="15"/>
      <c r="N505" s="16"/>
    </row>
    <row r="506" spans="1:14" x14ac:dyDescent="0.25">
      <c r="A506" s="13"/>
      <c r="B506" s="35" t="s">
        <v>1890</v>
      </c>
      <c r="C506" s="42" t="s">
        <v>88</v>
      </c>
      <c r="D506" s="15" t="s">
        <v>75</v>
      </c>
      <c r="E506" s="15" t="s">
        <v>1863</v>
      </c>
      <c r="F506" s="52"/>
      <c r="G506" s="52"/>
      <c r="H506" s="52"/>
      <c r="I506" s="52"/>
      <c r="J506" s="52"/>
      <c r="K506" s="15" t="s">
        <v>16</v>
      </c>
      <c r="L506" s="15"/>
      <c r="M506" s="15"/>
      <c r="N506" s="16"/>
    </row>
    <row r="507" spans="1:14" x14ac:dyDescent="0.25">
      <c r="A507" s="13"/>
      <c r="B507" s="35" t="s">
        <v>1888</v>
      </c>
      <c r="C507" s="42" t="s">
        <v>88</v>
      </c>
      <c r="D507" s="15" t="s">
        <v>77</v>
      </c>
      <c r="E507" s="15" t="s">
        <v>1865</v>
      </c>
      <c r="F507" s="52"/>
      <c r="G507" s="52"/>
      <c r="H507" s="52"/>
      <c r="I507" s="52"/>
      <c r="J507" s="52"/>
      <c r="K507" s="15" t="s">
        <v>16</v>
      </c>
      <c r="L507" s="15"/>
      <c r="M507" s="15"/>
      <c r="N507" s="16"/>
    </row>
    <row r="508" spans="1:14" x14ac:dyDescent="0.25">
      <c r="A508" s="13"/>
      <c r="B508" s="35" t="s">
        <v>1886</v>
      </c>
      <c r="C508" s="42" t="s">
        <v>88</v>
      </c>
      <c r="D508" s="15" t="s">
        <v>80</v>
      </c>
      <c r="E508" s="15" t="s">
        <v>1867</v>
      </c>
      <c r="F508" s="52"/>
      <c r="G508" s="52"/>
      <c r="H508" s="52"/>
      <c r="I508" s="52"/>
      <c r="J508" s="52"/>
      <c r="K508" s="15" t="s">
        <v>16</v>
      </c>
      <c r="L508" s="15"/>
      <c r="M508" s="15"/>
      <c r="N508" s="16"/>
    </row>
    <row r="509" spans="1:14" x14ac:dyDescent="0.25">
      <c r="A509" s="13"/>
      <c r="B509" s="35" t="s">
        <v>1884</v>
      </c>
      <c r="C509" s="42" t="s">
        <v>12</v>
      </c>
      <c r="D509" s="15" t="s">
        <v>84</v>
      </c>
      <c r="E509" s="15" t="s">
        <v>1869</v>
      </c>
      <c r="F509" s="52"/>
      <c r="G509" s="52"/>
      <c r="H509" s="52"/>
      <c r="I509" s="52"/>
      <c r="J509" s="52"/>
      <c r="K509" s="15" t="s">
        <v>246</v>
      </c>
      <c r="L509" s="15"/>
      <c r="M509" s="15"/>
      <c r="N509" s="16"/>
    </row>
    <row r="510" spans="1:14" x14ac:dyDescent="0.25">
      <c r="A510" s="13"/>
      <c r="B510" s="35" t="s">
        <v>1882</v>
      </c>
      <c r="C510" s="42" t="s">
        <v>12</v>
      </c>
      <c r="D510" s="15" t="s">
        <v>123</v>
      </c>
      <c r="E510" s="15" t="s">
        <v>1871</v>
      </c>
      <c r="F510" s="52"/>
      <c r="G510" s="52"/>
      <c r="H510" s="52"/>
      <c r="I510" s="52"/>
      <c r="J510" s="52"/>
      <c r="K510" s="15" t="s">
        <v>246</v>
      </c>
      <c r="L510" s="15"/>
      <c r="M510" s="15"/>
      <c r="N510" s="16"/>
    </row>
    <row r="511" spans="1:14" x14ac:dyDescent="0.25">
      <c r="A511" s="13"/>
      <c r="B511" s="35" t="s">
        <v>1880</v>
      </c>
      <c r="C511" s="42" t="s">
        <v>12</v>
      </c>
      <c r="D511" s="15" t="s">
        <v>212</v>
      </c>
      <c r="E511" s="15" t="s">
        <v>1873</v>
      </c>
      <c r="F511" s="52"/>
      <c r="G511" s="52"/>
      <c r="H511" s="52"/>
      <c r="I511" s="52"/>
      <c r="J511" s="52"/>
      <c r="K511" s="15" t="s">
        <v>246</v>
      </c>
      <c r="L511" s="15"/>
      <c r="M511" s="15"/>
      <c r="N511" s="16"/>
    </row>
    <row r="512" spans="1:14" x14ac:dyDescent="0.25">
      <c r="A512" s="13"/>
      <c r="B512" s="35" t="s">
        <v>1878</v>
      </c>
      <c r="C512" s="42" t="s">
        <v>12</v>
      </c>
      <c r="D512" s="15" t="s">
        <v>214</v>
      </c>
      <c r="E512" s="15" t="s">
        <v>1875</v>
      </c>
      <c r="F512" s="52"/>
      <c r="G512" s="52"/>
      <c r="H512" s="52"/>
      <c r="I512" s="52"/>
      <c r="J512" s="52"/>
      <c r="K512" s="15" t="s">
        <v>246</v>
      </c>
      <c r="L512" s="15"/>
      <c r="M512" s="15"/>
      <c r="N512" s="16"/>
    </row>
    <row r="513" spans="1:14" s="108" customFormat="1" x14ac:dyDescent="0.25">
      <c r="A513" s="13"/>
      <c r="B513" s="35" t="s">
        <v>2910</v>
      </c>
      <c r="C513" s="42" t="s">
        <v>12</v>
      </c>
      <c r="D513" s="15" t="s">
        <v>216</v>
      </c>
      <c r="E513" s="15" t="s">
        <v>1877</v>
      </c>
      <c r="F513" s="52"/>
      <c r="G513" s="52"/>
      <c r="H513" s="52"/>
      <c r="I513" s="52"/>
      <c r="J513" s="52" t="s">
        <v>2893</v>
      </c>
      <c r="K513" s="15" t="s">
        <v>246</v>
      </c>
      <c r="L513" s="15" t="s">
        <v>1441</v>
      </c>
      <c r="M513" s="15"/>
      <c r="N513" s="16"/>
    </row>
    <row r="514" spans="1:14" x14ac:dyDescent="0.25">
      <c r="A514" s="13"/>
      <c r="B514" s="35" t="s">
        <v>1876</v>
      </c>
      <c r="C514" s="42" t="s">
        <v>88</v>
      </c>
      <c r="D514" s="15" t="s">
        <v>218</v>
      </c>
      <c r="E514" s="15" t="s">
        <v>1879</v>
      </c>
      <c r="F514" s="52"/>
      <c r="G514" s="52"/>
      <c r="H514" s="52"/>
      <c r="I514" s="52"/>
      <c r="J514" s="52"/>
      <c r="K514" s="15" t="s">
        <v>16</v>
      </c>
      <c r="L514" s="15" t="s">
        <v>2405</v>
      </c>
      <c r="M514" s="15"/>
      <c r="N514" s="16"/>
    </row>
    <row r="515" spans="1:14" x14ac:dyDescent="0.25">
      <c r="A515" s="13"/>
      <c r="B515" s="35" t="s">
        <v>2912</v>
      </c>
      <c r="C515" s="42" t="s">
        <v>88</v>
      </c>
      <c r="D515" s="15" t="s">
        <v>220</v>
      </c>
      <c r="E515" s="15" t="s">
        <v>1881</v>
      </c>
      <c r="F515" s="52"/>
      <c r="G515" s="52"/>
      <c r="H515" s="52"/>
      <c r="I515" s="52"/>
      <c r="J515" s="52"/>
      <c r="K515" s="15" t="s">
        <v>16</v>
      </c>
      <c r="L515" s="15" t="s">
        <v>2284</v>
      </c>
      <c r="M515" s="15"/>
      <c r="N515" s="16"/>
    </row>
    <row r="516" spans="1:14" x14ac:dyDescent="0.25">
      <c r="A516" s="13"/>
      <c r="B516" s="35" t="s">
        <v>1874</v>
      </c>
      <c r="C516" s="42" t="s">
        <v>88</v>
      </c>
      <c r="D516" s="15" t="s">
        <v>222</v>
      </c>
      <c r="E516" s="15" t="s">
        <v>1883</v>
      </c>
      <c r="F516" s="52"/>
      <c r="G516" s="52"/>
      <c r="H516" s="52"/>
      <c r="I516" s="52"/>
      <c r="J516" s="52"/>
      <c r="K516" s="15" t="s">
        <v>16</v>
      </c>
      <c r="L516" s="15" t="s">
        <v>2252</v>
      </c>
      <c r="M516" s="15"/>
      <c r="N516" s="16"/>
    </row>
    <row r="517" spans="1:14" x14ac:dyDescent="0.25">
      <c r="A517" s="13"/>
      <c r="B517" s="35" t="s">
        <v>1872</v>
      </c>
      <c r="C517" s="42" t="s">
        <v>88</v>
      </c>
      <c r="D517" s="15" t="s">
        <v>224</v>
      </c>
      <c r="E517" s="15" t="s">
        <v>1885</v>
      </c>
      <c r="F517" s="52"/>
      <c r="G517" s="52"/>
      <c r="H517" s="52"/>
      <c r="I517" s="52"/>
      <c r="J517" s="52"/>
      <c r="K517" s="15" t="s">
        <v>16</v>
      </c>
      <c r="L517" s="15" t="s">
        <v>2393</v>
      </c>
      <c r="M517" s="15"/>
      <c r="N517" s="16"/>
    </row>
    <row r="518" spans="1:14" x14ac:dyDescent="0.25">
      <c r="A518" s="13"/>
      <c r="B518" s="35" t="s">
        <v>2904</v>
      </c>
      <c r="C518" s="42" t="s">
        <v>88</v>
      </c>
      <c r="D518" s="15" t="s">
        <v>226</v>
      </c>
      <c r="E518" s="15" t="s">
        <v>1887</v>
      </c>
      <c r="F518" s="52"/>
      <c r="G518" s="52"/>
      <c r="H518" s="52"/>
      <c r="I518" s="52"/>
      <c r="J518" s="52"/>
      <c r="K518" s="15" t="s">
        <v>16</v>
      </c>
      <c r="L518" s="15" t="s">
        <v>2231</v>
      </c>
      <c r="M518" s="15"/>
      <c r="N518" s="16"/>
    </row>
    <row r="519" spans="1:14" x14ac:dyDescent="0.25">
      <c r="A519" s="13"/>
      <c r="B519" s="35" t="s">
        <v>1870</v>
      </c>
      <c r="C519" s="42" t="s">
        <v>88</v>
      </c>
      <c r="D519" s="15" t="s">
        <v>228</v>
      </c>
      <c r="E519" s="15" t="s">
        <v>1889</v>
      </c>
      <c r="F519" s="52"/>
      <c r="G519" s="52"/>
      <c r="H519" s="52"/>
      <c r="I519" s="52"/>
      <c r="J519" s="52"/>
      <c r="K519" s="15" t="s">
        <v>16</v>
      </c>
      <c r="L519" s="15"/>
      <c r="M519" s="15"/>
      <c r="N519" s="16"/>
    </row>
    <row r="520" spans="1:14" x14ac:dyDescent="0.25">
      <c r="A520" s="13"/>
      <c r="B520" s="35" t="s">
        <v>1868</v>
      </c>
      <c r="C520" s="42" t="s">
        <v>88</v>
      </c>
      <c r="D520" s="15" t="s">
        <v>230</v>
      </c>
      <c r="E520" s="15" t="s">
        <v>1891</v>
      </c>
      <c r="F520" s="52"/>
      <c r="G520" s="52"/>
      <c r="H520" s="52"/>
      <c r="I520" s="52"/>
      <c r="J520" s="52"/>
      <c r="K520" s="15" t="s">
        <v>16</v>
      </c>
      <c r="L520" s="15" t="s">
        <v>2231</v>
      </c>
      <c r="M520" s="15"/>
      <c r="N520" s="16"/>
    </row>
    <row r="521" spans="1:14" x14ac:dyDescent="0.25">
      <c r="A521" s="13"/>
      <c r="B521" s="35" t="s">
        <v>1866</v>
      </c>
      <c r="C521" s="42" t="s">
        <v>88</v>
      </c>
      <c r="D521" s="15" t="s">
        <v>232</v>
      </c>
      <c r="E521" s="15" t="s">
        <v>1893</v>
      </c>
      <c r="F521" s="52"/>
      <c r="G521" s="52"/>
      <c r="H521" s="52"/>
      <c r="I521" s="52"/>
      <c r="J521" s="52"/>
      <c r="K521" s="15" t="s">
        <v>16</v>
      </c>
      <c r="L521" s="15"/>
      <c r="M521" s="15"/>
      <c r="N521" s="16"/>
    </row>
    <row r="522" spans="1:14" x14ac:dyDescent="0.25">
      <c r="A522" s="13"/>
      <c r="B522" s="35" t="s">
        <v>1864</v>
      </c>
      <c r="C522" s="42" t="s">
        <v>88</v>
      </c>
      <c r="D522" s="15" t="s">
        <v>234</v>
      </c>
      <c r="E522" s="15" t="s">
        <v>1895</v>
      </c>
      <c r="F522" s="52"/>
      <c r="G522" s="52"/>
      <c r="H522" s="52"/>
      <c r="I522" s="52"/>
      <c r="J522" s="52"/>
      <c r="K522" s="15" t="s">
        <v>16</v>
      </c>
      <c r="L522" s="15" t="s">
        <v>2394</v>
      </c>
      <c r="M522" s="15"/>
      <c r="N522" s="16" t="s">
        <v>2518</v>
      </c>
    </row>
    <row r="523" spans="1:14" x14ac:dyDescent="0.25">
      <c r="A523" s="13"/>
      <c r="B523" s="35" t="s">
        <v>1862</v>
      </c>
      <c r="C523" s="42" t="s">
        <v>88</v>
      </c>
      <c r="D523" s="15" t="s">
        <v>236</v>
      </c>
      <c r="E523" s="15" t="s">
        <v>1896</v>
      </c>
      <c r="F523" s="52"/>
      <c r="G523" s="52"/>
      <c r="H523" s="52"/>
      <c r="I523" s="52"/>
      <c r="J523" s="52"/>
      <c r="K523" s="15" t="s">
        <v>16</v>
      </c>
      <c r="L523" s="15"/>
      <c r="M523" s="15"/>
      <c r="N523" s="16"/>
    </row>
    <row r="524" spans="1:14" x14ac:dyDescent="0.25">
      <c r="A524" s="20"/>
      <c r="B524" s="35" t="s">
        <v>2958</v>
      </c>
      <c r="C524" s="42" t="s">
        <v>88</v>
      </c>
      <c r="D524" s="15" t="s">
        <v>238</v>
      </c>
      <c r="E524" s="15" t="s">
        <v>1897</v>
      </c>
      <c r="F524" s="52"/>
      <c r="G524" s="52"/>
      <c r="H524" s="52"/>
      <c r="I524" s="52"/>
      <c r="J524" s="52" t="s">
        <v>2398</v>
      </c>
      <c r="K524" s="15" t="s">
        <v>16</v>
      </c>
      <c r="L524" s="15" t="s">
        <v>2401</v>
      </c>
      <c r="M524" s="15"/>
      <c r="N524" s="16"/>
    </row>
    <row r="525" spans="1:14" x14ac:dyDescent="0.25">
      <c r="A525" s="20"/>
      <c r="B525" s="35" t="s">
        <v>2960</v>
      </c>
      <c r="C525" s="42" t="s">
        <v>88</v>
      </c>
      <c r="D525" s="15" t="s">
        <v>240</v>
      </c>
      <c r="E525" s="15" t="s">
        <v>1899</v>
      </c>
      <c r="F525" s="52"/>
      <c r="G525" s="52"/>
      <c r="H525" s="52"/>
      <c r="I525" s="52"/>
      <c r="J525" s="52" t="s">
        <v>2801</v>
      </c>
      <c r="K525" s="15" t="s">
        <v>16</v>
      </c>
      <c r="L525" s="15" t="s">
        <v>2256</v>
      </c>
      <c r="M525" s="15"/>
      <c r="N525" s="16"/>
    </row>
    <row r="526" spans="1:14" x14ac:dyDescent="0.25">
      <c r="A526" s="20"/>
      <c r="B526" s="35" t="s">
        <v>2959</v>
      </c>
      <c r="C526" s="42" t="s">
        <v>88</v>
      </c>
      <c r="D526" s="15" t="s">
        <v>334</v>
      </c>
      <c r="E526" s="15" t="s">
        <v>4230</v>
      </c>
      <c r="F526" s="52"/>
      <c r="G526" s="52"/>
      <c r="H526" s="52"/>
      <c r="I526" s="52"/>
      <c r="J526" s="52" t="s">
        <v>2801</v>
      </c>
      <c r="K526" s="15" t="s">
        <v>16</v>
      </c>
      <c r="L526" s="15" t="s">
        <v>2252</v>
      </c>
      <c r="M526" s="15"/>
      <c r="N526" s="16"/>
    </row>
    <row r="527" spans="1:14" ht="27" customHeight="1" x14ac:dyDescent="0.25">
      <c r="A527" s="13"/>
      <c r="B527" s="35" t="s">
        <v>1860</v>
      </c>
      <c r="C527" s="42" t="s">
        <v>1268</v>
      </c>
      <c r="D527" s="15" t="s">
        <v>337</v>
      </c>
      <c r="E527" s="15" t="s">
        <v>4231</v>
      </c>
      <c r="F527" s="52"/>
      <c r="G527" s="52"/>
      <c r="H527" s="52"/>
      <c r="I527" s="52"/>
      <c r="J527" s="52"/>
      <c r="K527" s="15" t="s">
        <v>16</v>
      </c>
      <c r="L527" s="15"/>
      <c r="M527" s="15"/>
      <c r="N527" s="16"/>
    </row>
    <row r="528" spans="1:14" x14ac:dyDescent="0.25">
      <c r="A528" s="13"/>
      <c r="B528" s="35" t="s">
        <v>1840</v>
      </c>
      <c r="C528" s="42" t="s">
        <v>88</v>
      </c>
      <c r="D528" s="15" t="s">
        <v>340</v>
      </c>
      <c r="E528" s="15" t="s">
        <v>4232</v>
      </c>
      <c r="F528" s="15"/>
      <c r="G528" s="15"/>
      <c r="H528" s="15"/>
      <c r="I528" s="15"/>
      <c r="J528" s="15"/>
      <c r="K528" s="15" t="s">
        <v>16</v>
      </c>
      <c r="L528" s="15"/>
      <c r="M528" s="15"/>
      <c r="N528" s="16"/>
    </row>
    <row r="529" spans="1:14" x14ac:dyDescent="0.25">
      <c r="A529" s="13"/>
      <c r="B529" s="35" t="s">
        <v>1858</v>
      </c>
      <c r="C529" s="42" t="s">
        <v>88</v>
      </c>
      <c r="D529" s="15" t="s">
        <v>343</v>
      </c>
      <c r="E529" s="15" t="s">
        <v>4233</v>
      </c>
      <c r="F529" s="15"/>
      <c r="G529" s="15"/>
      <c r="H529" s="15"/>
      <c r="I529" s="15"/>
      <c r="J529" s="15"/>
      <c r="K529" s="15" t="s">
        <v>16</v>
      </c>
      <c r="L529" s="15"/>
      <c r="M529" s="15"/>
      <c r="N529" s="16"/>
    </row>
    <row r="530" spans="1:14" x14ac:dyDescent="0.25">
      <c r="A530" s="13"/>
      <c r="B530" s="35" t="s">
        <v>1856</v>
      </c>
      <c r="C530" s="42" t="s">
        <v>88</v>
      </c>
      <c r="D530" s="15" t="s">
        <v>345</v>
      </c>
      <c r="E530" s="15" t="s">
        <v>4234</v>
      </c>
      <c r="F530" s="15"/>
      <c r="G530" s="15"/>
      <c r="H530" s="15"/>
      <c r="I530" s="15"/>
      <c r="J530" s="15"/>
      <c r="K530" s="15" t="s">
        <v>16</v>
      </c>
      <c r="L530" s="15"/>
      <c r="M530" s="15"/>
      <c r="N530" s="16"/>
    </row>
    <row r="531" spans="1:14" x14ac:dyDescent="0.25">
      <c r="A531" s="13"/>
      <c r="B531" s="35" t="s">
        <v>1854</v>
      </c>
      <c r="C531" s="42" t="s">
        <v>88</v>
      </c>
      <c r="D531" s="15" t="s">
        <v>348</v>
      </c>
      <c r="E531" s="15" t="s">
        <v>4235</v>
      </c>
      <c r="F531" s="15"/>
      <c r="G531" s="15"/>
      <c r="H531" s="15"/>
      <c r="I531" s="15"/>
      <c r="J531" s="15"/>
      <c r="K531" s="15" t="s">
        <v>16</v>
      </c>
      <c r="L531" s="15"/>
      <c r="M531" s="15"/>
      <c r="N531" s="16"/>
    </row>
    <row r="532" spans="1:14" s="105" customFormat="1" x14ac:dyDescent="0.25">
      <c r="A532" s="13"/>
      <c r="B532" s="35" t="s">
        <v>1852</v>
      </c>
      <c r="C532" s="42" t="s">
        <v>88</v>
      </c>
      <c r="D532" s="15" t="s">
        <v>351</v>
      </c>
      <c r="E532" s="15" t="s">
        <v>4236</v>
      </c>
      <c r="F532" s="15"/>
      <c r="G532" s="15"/>
      <c r="H532" s="15"/>
      <c r="I532" s="15"/>
      <c r="J532" s="15"/>
      <c r="K532" s="15" t="s">
        <v>16</v>
      </c>
      <c r="L532" s="15"/>
      <c r="M532" s="15"/>
      <c r="N532" s="16"/>
    </row>
    <row r="533" spans="1:14" x14ac:dyDescent="0.25">
      <c r="A533" s="13"/>
      <c r="B533" s="35" t="s">
        <v>1850</v>
      </c>
      <c r="C533" s="42" t="s">
        <v>88</v>
      </c>
      <c r="D533" s="15" t="s">
        <v>431</v>
      </c>
      <c r="E533" s="15" t="s">
        <v>4237</v>
      </c>
      <c r="F533" s="15"/>
      <c r="G533" s="15"/>
      <c r="H533" s="15"/>
      <c r="I533" s="15"/>
      <c r="J533" s="15" t="s">
        <v>2952</v>
      </c>
      <c r="K533" s="15" t="s">
        <v>16</v>
      </c>
      <c r="L533" s="15" t="s">
        <v>2284</v>
      </c>
      <c r="M533" s="15"/>
      <c r="N533" s="16" t="s">
        <v>4629</v>
      </c>
    </row>
    <row r="534" spans="1:14" x14ac:dyDescent="0.25">
      <c r="A534" s="13"/>
      <c r="B534" s="35" t="s">
        <v>1848</v>
      </c>
      <c r="C534" s="42" t="s">
        <v>88</v>
      </c>
      <c r="D534" s="15" t="s">
        <v>434</v>
      </c>
      <c r="E534" s="15" t="s">
        <v>4238</v>
      </c>
      <c r="F534" s="15"/>
      <c r="G534" s="15"/>
      <c r="H534" s="15"/>
      <c r="I534" s="15"/>
      <c r="J534" s="15" t="s">
        <v>2952</v>
      </c>
      <c r="K534" s="15" t="s">
        <v>16</v>
      </c>
      <c r="L534" s="15" t="s">
        <v>2393</v>
      </c>
      <c r="M534" s="15"/>
      <c r="N534" s="16" t="s">
        <v>4629</v>
      </c>
    </row>
    <row r="535" spans="1:14" x14ac:dyDescent="0.25">
      <c r="A535" s="13"/>
      <c r="B535" s="35" t="s">
        <v>1846</v>
      </c>
      <c r="C535" s="42" t="s">
        <v>88</v>
      </c>
      <c r="D535" s="15" t="s">
        <v>437</v>
      </c>
      <c r="E535" s="15" t="s">
        <v>4239</v>
      </c>
      <c r="F535" s="15"/>
      <c r="G535" s="15"/>
      <c r="H535" s="15"/>
      <c r="I535" s="15"/>
      <c r="J535" s="15" t="s">
        <v>2952</v>
      </c>
      <c r="K535" s="15" t="s">
        <v>16</v>
      </c>
      <c r="L535" s="15" t="s">
        <v>2402</v>
      </c>
      <c r="M535" s="15"/>
      <c r="N535" s="16" t="s">
        <v>4629</v>
      </c>
    </row>
    <row r="536" spans="1:14" x14ac:dyDescent="0.25">
      <c r="A536" s="13"/>
      <c r="B536" s="35" t="s">
        <v>1844</v>
      </c>
      <c r="C536" s="42" t="s">
        <v>88</v>
      </c>
      <c r="D536" s="15" t="s">
        <v>440</v>
      </c>
      <c r="E536" s="15" t="s">
        <v>4240</v>
      </c>
      <c r="F536" s="15"/>
      <c r="G536" s="15"/>
      <c r="H536" s="15"/>
      <c r="I536" s="15"/>
      <c r="J536" s="15" t="s">
        <v>2952</v>
      </c>
      <c r="K536" s="15" t="s">
        <v>16</v>
      </c>
      <c r="L536" s="15" t="s">
        <v>2284</v>
      </c>
      <c r="M536" s="15"/>
      <c r="N536" s="16" t="s">
        <v>4629</v>
      </c>
    </row>
    <row r="537" spans="1:14" x14ac:dyDescent="0.25">
      <c r="A537" s="13"/>
      <c r="B537" s="35" t="s">
        <v>1842</v>
      </c>
      <c r="C537" s="42" t="s">
        <v>88</v>
      </c>
      <c r="D537" s="15" t="s">
        <v>443</v>
      </c>
      <c r="E537" s="15" t="s">
        <v>4241</v>
      </c>
      <c r="F537" s="15"/>
      <c r="G537" s="15"/>
      <c r="H537" s="15"/>
      <c r="I537" s="15"/>
      <c r="J537" s="15"/>
      <c r="K537" s="15" t="s">
        <v>16</v>
      </c>
      <c r="L537" s="15"/>
      <c r="M537" s="15"/>
      <c r="N537" s="16"/>
    </row>
    <row r="538" spans="1:14" x14ac:dyDescent="0.25">
      <c r="A538" s="13"/>
      <c r="B538" s="35" t="s">
        <v>3194</v>
      </c>
      <c r="C538" s="42" t="s">
        <v>88</v>
      </c>
      <c r="D538" s="15" t="s">
        <v>446</v>
      </c>
      <c r="E538" s="15" t="s">
        <v>4242</v>
      </c>
      <c r="F538" s="15"/>
      <c r="G538" s="15"/>
      <c r="H538" s="15"/>
      <c r="I538" s="15"/>
      <c r="J538" s="15" t="s">
        <v>2950</v>
      </c>
      <c r="K538" s="15" t="s">
        <v>16</v>
      </c>
      <c r="L538" s="15" t="s">
        <v>2267</v>
      </c>
      <c r="M538" s="15"/>
      <c r="N538" s="16"/>
    </row>
    <row r="539" spans="1:14" x14ac:dyDescent="0.25">
      <c r="A539" s="13"/>
      <c r="B539" s="35" t="s">
        <v>3195</v>
      </c>
      <c r="C539" s="42" t="s">
        <v>88</v>
      </c>
      <c r="D539" s="15" t="s">
        <v>449</v>
      </c>
      <c r="E539" s="15" t="s">
        <v>4243</v>
      </c>
      <c r="F539" s="15"/>
      <c r="G539" s="15"/>
      <c r="H539" s="15"/>
      <c r="I539" s="15"/>
      <c r="J539" s="15" t="s">
        <v>2950</v>
      </c>
      <c r="K539" s="15" t="s">
        <v>16</v>
      </c>
      <c r="L539" s="15" t="s">
        <v>2257</v>
      </c>
      <c r="M539" s="15"/>
      <c r="N539" s="16"/>
    </row>
    <row r="540" spans="1:14" x14ac:dyDescent="0.25">
      <c r="A540" s="13"/>
      <c r="B540" s="35" t="s">
        <v>3196</v>
      </c>
      <c r="C540" s="42" t="s">
        <v>88</v>
      </c>
      <c r="D540" s="15" t="s">
        <v>452</v>
      </c>
      <c r="E540" s="15" t="s">
        <v>4244</v>
      </c>
      <c r="F540" s="15"/>
      <c r="G540" s="15"/>
      <c r="H540" s="15"/>
      <c r="I540" s="15"/>
      <c r="J540" s="15" t="s">
        <v>2950</v>
      </c>
      <c r="K540" s="15" t="s">
        <v>16</v>
      </c>
      <c r="L540" s="15" t="s">
        <v>2261</v>
      </c>
      <c r="M540" s="15"/>
      <c r="N540" s="16"/>
    </row>
    <row r="541" spans="1:14" x14ac:dyDescent="0.25">
      <c r="A541" s="13"/>
      <c r="B541" s="35" t="s">
        <v>3197</v>
      </c>
      <c r="C541" s="42" t="s">
        <v>88</v>
      </c>
      <c r="D541" s="15" t="s">
        <v>455</v>
      </c>
      <c r="E541" s="15" t="s">
        <v>4245</v>
      </c>
      <c r="F541" s="15"/>
      <c r="G541" s="15"/>
      <c r="H541" s="15"/>
      <c r="I541" s="15"/>
      <c r="J541" s="15" t="s">
        <v>2950</v>
      </c>
      <c r="K541" s="15" t="s">
        <v>16</v>
      </c>
      <c r="L541" s="15" t="s">
        <v>2267</v>
      </c>
      <c r="M541" s="15"/>
      <c r="N541" s="16"/>
    </row>
    <row r="542" spans="1:14" x14ac:dyDescent="0.25">
      <c r="A542" s="13"/>
      <c r="B542" s="35" t="s">
        <v>3198</v>
      </c>
      <c r="C542" s="42" t="s">
        <v>88</v>
      </c>
      <c r="D542" s="15" t="s">
        <v>458</v>
      </c>
      <c r="E542" s="15" t="s">
        <v>4246</v>
      </c>
      <c r="F542" s="15"/>
      <c r="G542" s="15"/>
      <c r="H542" s="15"/>
      <c r="I542" s="15"/>
      <c r="J542" s="15" t="s">
        <v>2950</v>
      </c>
      <c r="K542" s="15" t="s">
        <v>16</v>
      </c>
      <c r="L542" s="15" t="s">
        <v>2256</v>
      </c>
      <c r="M542" s="15"/>
      <c r="N542" s="16"/>
    </row>
    <row r="543" spans="1:14" x14ac:dyDescent="0.25">
      <c r="A543" s="20"/>
      <c r="B543" s="35" t="s">
        <v>2884</v>
      </c>
      <c r="C543" s="42" t="s">
        <v>88</v>
      </c>
      <c r="D543" s="15" t="s">
        <v>461</v>
      </c>
      <c r="E543" s="15" t="s">
        <v>4247</v>
      </c>
      <c r="F543" s="15"/>
      <c r="G543" s="15"/>
      <c r="H543" s="15"/>
      <c r="I543" s="15"/>
      <c r="J543" s="15" t="s">
        <v>2828</v>
      </c>
      <c r="K543" s="15" t="s">
        <v>16</v>
      </c>
      <c r="L543" s="15" t="s">
        <v>2393</v>
      </c>
      <c r="M543" s="15"/>
      <c r="N543" s="16"/>
    </row>
    <row r="544" spans="1:14" x14ac:dyDescent="0.25">
      <c r="A544" s="13"/>
      <c r="B544" s="35" t="s">
        <v>2930</v>
      </c>
      <c r="C544" s="42" t="s">
        <v>88</v>
      </c>
      <c r="D544" s="15" t="s">
        <v>464</v>
      </c>
      <c r="E544" s="15" t="s">
        <v>4248</v>
      </c>
      <c r="F544" s="15"/>
      <c r="G544" s="15"/>
      <c r="H544" s="15"/>
      <c r="I544" s="15"/>
      <c r="J544" s="15" t="s">
        <v>2887</v>
      </c>
      <c r="K544" s="15" t="s">
        <v>16</v>
      </c>
      <c r="L544" s="15" t="s">
        <v>2393</v>
      </c>
      <c r="M544" s="15"/>
      <c r="N544" s="16"/>
    </row>
    <row r="545" spans="1:14" x14ac:dyDescent="0.25">
      <c r="A545" s="13"/>
      <c r="B545" s="35" t="s">
        <v>2931</v>
      </c>
      <c r="C545" s="42" t="s">
        <v>88</v>
      </c>
      <c r="D545" s="15" t="s">
        <v>467</v>
      </c>
      <c r="E545" s="15" t="s">
        <v>4249</v>
      </c>
      <c r="F545" s="15"/>
      <c r="G545" s="15"/>
      <c r="H545" s="15"/>
      <c r="I545" s="15"/>
      <c r="J545" s="15" t="s">
        <v>2887</v>
      </c>
      <c r="K545" s="15" t="s">
        <v>16</v>
      </c>
      <c r="L545" s="15" t="s">
        <v>2393</v>
      </c>
      <c r="M545" s="15"/>
      <c r="N545" s="16"/>
    </row>
    <row r="546" spans="1:14" x14ac:dyDescent="0.25">
      <c r="A546" s="13"/>
      <c r="B546" s="35" t="s">
        <v>4584</v>
      </c>
      <c r="C546" s="42" t="s">
        <v>88</v>
      </c>
      <c r="D546" s="15" t="s">
        <v>470</v>
      </c>
      <c r="E546" s="15" t="s">
        <v>4585</v>
      </c>
      <c r="F546" s="15"/>
      <c r="G546" s="15"/>
      <c r="H546" s="15"/>
      <c r="I546" s="15"/>
      <c r="J546" s="15" t="s">
        <v>4583</v>
      </c>
      <c r="K546" s="15" t="s">
        <v>2878</v>
      </c>
      <c r="L546" s="15" t="s">
        <v>2284</v>
      </c>
      <c r="M546" s="15"/>
      <c r="N546" s="16"/>
    </row>
    <row r="547" spans="1:14" x14ac:dyDescent="0.25">
      <c r="A547" s="13"/>
      <c r="B547" s="35" t="s">
        <v>4586</v>
      </c>
      <c r="C547" s="42" t="s">
        <v>88</v>
      </c>
      <c r="D547" s="15" t="s">
        <v>473</v>
      </c>
      <c r="E547" s="15" t="s">
        <v>4587</v>
      </c>
      <c r="F547" s="15"/>
      <c r="G547" s="15"/>
      <c r="H547" s="15"/>
      <c r="I547" s="15"/>
      <c r="J547" s="15" t="s">
        <v>4583</v>
      </c>
      <c r="K547" s="15" t="s">
        <v>16</v>
      </c>
      <c r="L547" s="15" t="s">
        <v>2394</v>
      </c>
      <c r="M547" s="15"/>
      <c r="N547" s="16"/>
    </row>
    <row r="548" spans="1:14" x14ac:dyDescent="0.25">
      <c r="A548" s="13"/>
      <c r="B548" s="35" t="s">
        <v>4588</v>
      </c>
      <c r="C548" s="42" t="s">
        <v>88</v>
      </c>
      <c r="D548" s="15" t="s">
        <v>476</v>
      </c>
      <c r="E548" s="15" t="s">
        <v>4589</v>
      </c>
      <c r="F548" s="15"/>
      <c r="G548" s="15"/>
      <c r="H548" s="15"/>
      <c r="I548" s="15"/>
      <c r="J548" s="15" t="s">
        <v>4583</v>
      </c>
      <c r="K548" s="15" t="s">
        <v>16</v>
      </c>
      <c r="L548" s="15" t="s">
        <v>2419</v>
      </c>
      <c r="M548" s="15"/>
      <c r="N548" s="16"/>
    </row>
    <row r="549" spans="1:14" x14ac:dyDescent="0.25">
      <c r="A549" s="13"/>
      <c r="B549" s="35" t="s">
        <v>4590</v>
      </c>
      <c r="C549" s="42" t="s">
        <v>88</v>
      </c>
      <c r="D549" s="15" t="s">
        <v>479</v>
      </c>
      <c r="E549" s="15" t="s">
        <v>4591</v>
      </c>
      <c r="F549" s="15"/>
      <c r="G549" s="15"/>
      <c r="H549" s="15"/>
      <c r="I549" s="15"/>
      <c r="J549" s="15" t="s">
        <v>4583</v>
      </c>
      <c r="K549" s="15" t="s">
        <v>16</v>
      </c>
      <c r="L549" s="15" t="s">
        <v>2405</v>
      </c>
      <c r="M549" s="15"/>
      <c r="N549" s="16"/>
    </row>
    <row r="550" spans="1:14" x14ac:dyDescent="0.25">
      <c r="A550" s="13"/>
      <c r="B550" s="35" t="s">
        <v>4592</v>
      </c>
      <c r="C550" s="42" t="s">
        <v>88</v>
      </c>
      <c r="D550" s="15" t="s">
        <v>482</v>
      </c>
      <c r="E550" s="15" t="s">
        <v>4593</v>
      </c>
      <c r="F550" s="15"/>
      <c r="G550" s="15"/>
      <c r="H550" s="15"/>
      <c r="I550" s="15"/>
      <c r="J550" s="15" t="s">
        <v>4583</v>
      </c>
      <c r="K550" s="15" t="s">
        <v>16</v>
      </c>
      <c r="L550" s="15" t="s">
        <v>2402</v>
      </c>
      <c r="M550" s="15"/>
      <c r="N550" s="16"/>
    </row>
    <row r="551" spans="1:14" ht="15.75" x14ac:dyDescent="0.25">
      <c r="A551" s="3">
        <v>6</v>
      </c>
      <c r="B551" s="3" t="s">
        <v>3466</v>
      </c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"/>
    </row>
    <row r="552" spans="1:14" x14ac:dyDescent="0.25">
      <c r="A552" s="39"/>
      <c r="B552" s="22" t="s">
        <v>1908</v>
      </c>
      <c r="C552" s="14" t="s">
        <v>12</v>
      </c>
      <c r="D552" s="15" t="s">
        <v>14</v>
      </c>
      <c r="E552" s="52" t="s">
        <v>1901</v>
      </c>
      <c r="F552" s="52"/>
      <c r="G552" s="52"/>
      <c r="H552" s="52"/>
      <c r="I552" s="52"/>
      <c r="J552" s="52"/>
      <c r="K552" s="15" t="s">
        <v>16</v>
      </c>
      <c r="L552" s="15"/>
      <c r="M552" s="15"/>
      <c r="N552" s="16"/>
    </row>
    <row r="553" spans="1:14" x14ac:dyDescent="0.25">
      <c r="A553" s="20"/>
      <c r="B553" s="35" t="s">
        <v>3240</v>
      </c>
      <c r="C553" s="14" t="s">
        <v>12</v>
      </c>
      <c r="D553" s="15" t="s">
        <v>19</v>
      </c>
      <c r="E553" s="52" t="s">
        <v>1903</v>
      </c>
      <c r="F553" s="52"/>
      <c r="G553" s="52"/>
      <c r="H553" s="52"/>
      <c r="I553" s="52"/>
      <c r="J553" s="52" t="s">
        <v>3236</v>
      </c>
      <c r="K553" s="15" t="s">
        <v>16</v>
      </c>
      <c r="L553" s="15" t="s">
        <v>2284</v>
      </c>
      <c r="M553" s="15"/>
      <c r="N553" s="16"/>
    </row>
    <row r="554" spans="1:14" x14ac:dyDescent="0.25">
      <c r="A554" s="20"/>
      <c r="B554" s="35" t="s">
        <v>3237</v>
      </c>
      <c r="C554" s="14" t="s">
        <v>12</v>
      </c>
      <c r="D554" s="15" t="s">
        <v>22</v>
      </c>
      <c r="E554" s="52" t="s">
        <v>1905</v>
      </c>
      <c r="F554" s="52"/>
      <c r="G554" s="52"/>
      <c r="H554" s="52"/>
      <c r="I554" s="52"/>
      <c r="J554" s="52" t="s">
        <v>3236</v>
      </c>
      <c r="K554" s="15" t="s">
        <v>16</v>
      </c>
      <c r="L554" s="15" t="s">
        <v>2284</v>
      </c>
      <c r="M554" s="15"/>
      <c r="N554" s="16"/>
    </row>
    <row r="555" spans="1:14" x14ac:dyDescent="0.25">
      <c r="A555" s="20"/>
      <c r="B555" s="35" t="s">
        <v>3239</v>
      </c>
      <c r="C555" s="14" t="s">
        <v>12</v>
      </c>
      <c r="D555" s="15" t="s">
        <v>25</v>
      </c>
      <c r="E555" s="52" t="s">
        <v>1907</v>
      </c>
      <c r="F555" s="52"/>
      <c r="G555" s="52"/>
      <c r="H555" s="52"/>
      <c r="I555" s="52"/>
      <c r="J555" s="52" t="s">
        <v>3236</v>
      </c>
      <c r="K555" s="15" t="s">
        <v>16</v>
      </c>
      <c r="L555" s="15" t="s">
        <v>2284</v>
      </c>
      <c r="M555" s="15"/>
      <c r="N555" s="16"/>
    </row>
    <row r="556" spans="1:14" x14ac:dyDescent="0.25">
      <c r="A556" s="20"/>
      <c r="B556" s="35" t="s">
        <v>3261</v>
      </c>
      <c r="C556" s="14" t="s">
        <v>12</v>
      </c>
      <c r="D556" s="15" t="s">
        <v>28</v>
      </c>
      <c r="E556" s="52" t="s">
        <v>1909</v>
      </c>
      <c r="F556" s="52"/>
      <c r="G556" s="52"/>
      <c r="H556" s="52"/>
      <c r="I556" s="52"/>
      <c r="J556" s="52" t="s">
        <v>3236</v>
      </c>
      <c r="K556" s="15" t="s">
        <v>16</v>
      </c>
      <c r="L556" s="15" t="s">
        <v>2284</v>
      </c>
      <c r="M556" s="15"/>
      <c r="N556" s="16"/>
    </row>
    <row r="557" spans="1:14" x14ac:dyDescent="0.25">
      <c r="A557" s="20"/>
      <c r="B557" s="35" t="s">
        <v>3238</v>
      </c>
      <c r="C557" s="14" t="s">
        <v>12</v>
      </c>
      <c r="D557" s="15" t="s">
        <v>31</v>
      </c>
      <c r="E557" s="52" t="s">
        <v>3460</v>
      </c>
      <c r="F557" s="52"/>
      <c r="G557" s="52"/>
      <c r="H557" s="52"/>
      <c r="I557" s="52"/>
      <c r="J557" s="52" t="s">
        <v>3236</v>
      </c>
      <c r="K557" s="15" t="s">
        <v>16</v>
      </c>
      <c r="L557" s="15" t="s">
        <v>2284</v>
      </c>
      <c r="M557" s="15"/>
      <c r="N557" s="16"/>
    </row>
    <row r="558" spans="1:14" x14ac:dyDescent="0.25">
      <c r="A558" s="20"/>
      <c r="B558" s="35" t="s">
        <v>3241</v>
      </c>
      <c r="C558" s="14" t="s">
        <v>12</v>
      </c>
      <c r="D558" s="15" t="s">
        <v>34</v>
      </c>
      <c r="E558" s="52" t="s">
        <v>4250</v>
      </c>
      <c r="F558" s="52"/>
      <c r="G558" s="52"/>
      <c r="H558" s="52"/>
      <c r="I558" s="52"/>
      <c r="J558" s="52" t="s">
        <v>3236</v>
      </c>
      <c r="K558" s="15" t="s">
        <v>16</v>
      </c>
      <c r="L558" s="15" t="s">
        <v>2405</v>
      </c>
      <c r="M558" s="15"/>
      <c r="N558" s="16"/>
    </row>
    <row r="559" spans="1:14" x14ac:dyDescent="0.25">
      <c r="A559" s="20"/>
      <c r="B559" s="35" t="s">
        <v>3322</v>
      </c>
      <c r="C559" s="14" t="s">
        <v>12</v>
      </c>
      <c r="D559" s="15" t="s">
        <v>37</v>
      </c>
      <c r="E559" s="52" t="s">
        <v>4251</v>
      </c>
      <c r="F559" s="52"/>
      <c r="G559" s="52"/>
      <c r="H559" s="52"/>
      <c r="I559" s="52"/>
      <c r="J559" s="52" t="s">
        <v>3236</v>
      </c>
      <c r="K559" s="15" t="s">
        <v>16</v>
      </c>
      <c r="L559" s="15" t="s">
        <v>2405</v>
      </c>
      <c r="M559" s="15"/>
      <c r="N559" s="16"/>
    </row>
    <row r="560" spans="1:14" x14ac:dyDescent="0.25">
      <c r="A560" s="39"/>
      <c r="B560" s="38" t="s">
        <v>1904</v>
      </c>
      <c r="C560" s="14" t="s">
        <v>12</v>
      </c>
      <c r="D560" s="15" t="s">
        <v>40</v>
      </c>
      <c r="E560" s="52" t="s">
        <v>4252</v>
      </c>
      <c r="F560" s="15"/>
      <c r="G560" s="15"/>
      <c r="H560" s="15"/>
      <c r="I560" s="15"/>
      <c r="J560" s="15"/>
      <c r="K560" s="15" t="s">
        <v>16</v>
      </c>
      <c r="L560" s="15"/>
      <c r="M560" s="15"/>
      <c r="N560" s="16"/>
    </row>
    <row r="561" spans="1:14" x14ac:dyDescent="0.25">
      <c r="A561" s="39"/>
      <c r="B561" s="35" t="s">
        <v>1906</v>
      </c>
      <c r="C561" s="42" t="s">
        <v>12</v>
      </c>
      <c r="D561" s="15" t="s">
        <v>43</v>
      </c>
      <c r="E561" s="52" t="s">
        <v>4253</v>
      </c>
      <c r="F561" s="15"/>
      <c r="G561" s="15"/>
      <c r="H561" s="15"/>
      <c r="I561" s="15"/>
      <c r="J561" s="15"/>
      <c r="K561" s="15" t="s">
        <v>16</v>
      </c>
      <c r="L561" s="15"/>
      <c r="M561" s="15"/>
      <c r="N561" s="16"/>
    </row>
    <row r="562" spans="1:14" x14ac:dyDescent="0.25">
      <c r="A562" s="20"/>
      <c r="B562" s="35" t="s">
        <v>1902</v>
      </c>
      <c r="C562" s="42" t="s">
        <v>88</v>
      </c>
      <c r="D562" s="15" t="s">
        <v>46</v>
      </c>
      <c r="E562" s="52" t="s">
        <v>4254</v>
      </c>
      <c r="F562" s="15"/>
      <c r="G562" s="15"/>
      <c r="H562" s="15"/>
      <c r="I562" s="15"/>
      <c r="J562" s="15"/>
      <c r="K562" s="15" t="s">
        <v>16</v>
      </c>
      <c r="L562" s="15"/>
      <c r="M562" s="15"/>
      <c r="N562" s="16"/>
    </row>
    <row r="563" spans="1:14" x14ac:dyDescent="0.25">
      <c r="A563" s="20"/>
      <c r="B563" s="35" t="s">
        <v>3210</v>
      </c>
      <c r="C563" s="42" t="s">
        <v>88</v>
      </c>
      <c r="D563" s="15" t="s">
        <v>72</v>
      </c>
      <c r="E563" s="52" t="s">
        <v>4255</v>
      </c>
      <c r="F563" s="15" t="s">
        <v>3211</v>
      </c>
      <c r="G563" s="15"/>
      <c r="H563" s="15"/>
      <c r="I563" s="15"/>
      <c r="J563" s="15" t="s">
        <v>2950</v>
      </c>
      <c r="K563" s="15" t="s">
        <v>16</v>
      </c>
      <c r="L563" s="15" t="s">
        <v>2252</v>
      </c>
      <c r="M563" s="15"/>
      <c r="N563" s="16"/>
    </row>
    <row r="564" spans="1:14" x14ac:dyDescent="0.25">
      <c r="A564" s="20"/>
      <c r="B564" s="35" t="s">
        <v>3212</v>
      </c>
      <c r="C564" s="42" t="s">
        <v>88</v>
      </c>
      <c r="D564" s="15" t="s">
        <v>75</v>
      </c>
      <c r="E564" s="52" t="s">
        <v>4256</v>
      </c>
      <c r="F564" s="15" t="s">
        <v>3211</v>
      </c>
      <c r="G564" s="15"/>
      <c r="H564" s="15"/>
      <c r="I564" s="15"/>
      <c r="J564" s="15" t="s">
        <v>2950</v>
      </c>
      <c r="K564" s="15" t="s">
        <v>16</v>
      </c>
      <c r="L564" s="15" t="s">
        <v>2259</v>
      </c>
      <c r="M564" s="15"/>
      <c r="N564" s="16"/>
    </row>
    <row r="565" spans="1:14" x14ac:dyDescent="0.25">
      <c r="A565" s="20"/>
      <c r="B565" s="35" t="s">
        <v>3213</v>
      </c>
      <c r="C565" s="42" t="s">
        <v>88</v>
      </c>
      <c r="D565" s="15" t="s">
        <v>77</v>
      </c>
      <c r="E565" s="52" t="s">
        <v>4257</v>
      </c>
      <c r="F565" s="15" t="s">
        <v>3211</v>
      </c>
      <c r="G565" s="15"/>
      <c r="H565" s="15"/>
      <c r="I565" s="15"/>
      <c r="J565" s="15" t="s">
        <v>2950</v>
      </c>
      <c r="K565" s="15" t="s">
        <v>16</v>
      </c>
      <c r="L565" s="15" t="s">
        <v>2401</v>
      </c>
      <c r="M565" s="15"/>
      <c r="N565" s="16"/>
    </row>
    <row r="566" spans="1:14" x14ac:dyDescent="0.25">
      <c r="A566" s="20"/>
      <c r="B566" s="35" t="s">
        <v>3214</v>
      </c>
      <c r="C566" s="42" t="s">
        <v>88</v>
      </c>
      <c r="D566" s="15" t="s">
        <v>80</v>
      </c>
      <c r="E566" s="52" t="s">
        <v>4258</v>
      </c>
      <c r="F566" s="15" t="s">
        <v>3211</v>
      </c>
      <c r="G566" s="15"/>
      <c r="H566" s="15"/>
      <c r="I566" s="15"/>
      <c r="J566" s="15" t="s">
        <v>2950</v>
      </c>
      <c r="K566" s="15" t="s">
        <v>16</v>
      </c>
      <c r="L566" s="15" t="s">
        <v>2284</v>
      </c>
      <c r="M566" s="15"/>
      <c r="N566" s="16"/>
    </row>
    <row r="567" spans="1:14" x14ac:dyDescent="0.25">
      <c r="A567" s="20"/>
      <c r="B567" s="35" t="s">
        <v>3215</v>
      </c>
      <c r="C567" s="42" t="s">
        <v>88</v>
      </c>
      <c r="D567" s="15" t="s">
        <v>84</v>
      </c>
      <c r="E567" s="52" t="s">
        <v>3459</v>
      </c>
      <c r="F567" s="15" t="s">
        <v>3211</v>
      </c>
      <c r="G567" s="15"/>
      <c r="H567" s="15"/>
      <c r="I567" s="15"/>
      <c r="J567" s="15" t="s">
        <v>2950</v>
      </c>
      <c r="K567" s="15" t="s">
        <v>16</v>
      </c>
      <c r="L567" s="15" t="s">
        <v>2284</v>
      </c>
      <c r="M567" s="15"/>
      <c r="N567" s="16"/>
    </row>
    <row r="568" spans="1:14" x14ac:dyDescent="0.25">
      <c r="A568" s="20"/>
      <c r="B568" s="35" t="s">
        <v>3216</v>
      </c>
      <c r="C568" s="42" t="s">
        <v>88</v>
      </c>
      <c r="D568" s="15" t="s">
        <v>123</v>
      </c>
      <c r="E568" s="52" t="s">
        <v>4259</v>
      </c>
      <c r="F568" s="15" t="s">
        <v>3211</v>
      </c>
      <c r="G568" s="15"/>
      <c r="H568" s="15"/>
      <c r="I568" s="15"/>
      <c r="J568" s="15" t="s">
        <v>2950</v>
      </c>
      <c r="K568" s="15" t="s">
        <v>16</v>
      </c>
      <c r="L568" s="15" t="s">
        <v>2402</v>
      </c>
      <c r="M568" s="15"/>
      <c r="N568" s="16"/>
    </row>
    <row r="569" spans="1:14" x14ac:dyDescent="0.25">
      <c r="A569" s="20"/>
      <c r="B569" s="35" t="s">
        <v>3217</v>
      </c>
      <c r="C569" s="42" t="s">
        <v>88</v>
      </c>
      <c r="D569" s="15" t="s">
        <v>212</v>
      </c>
      <c r="E569" s="52" t="s">
        <v>4260</v>
      </c>
      <c r="F569" s="15" t="s">
        <v>3211</v>
      </c>
      <c r="G569" s="15"/>
      <c r="H569" s="15"/>
      <c r="I569" s="15"/>
      <c r="J569" s="15" t="s">
        <v>2950</v>
      </c>
      <c r="K569" s="15" t="s">
        <v>16</v>
      </c>
      <c r="L569" s="15" t="s">
        <v>2284</v>
      </c>
      <c r="M569" s="15"/>
      <c r="N569" s="16"/>
    </row>
    <row r="570" spans="1:14" x14ac:dyDescent="0.25">
      <c r="A570" s="20"/>
      <c r="B570" s="35" t="s">
        <v>3218</v>
      </c>
      <c r="C570" s="42" t="s">
        <v>88</v>
      </c>
      <c r="D570" s="15" t="s">
        <v>214</v>
      </c>
      <c r="E570" s="52" t="s">
        <v>4261</v>
      </c>
      <c r="F570" s="15" t="s">
        <v>3211</v>
      </c>
      <c r="G570" s="15"/>
      <c r="H570" s="15"/>
      <c r="I570" s="15"/>
      <c r="J570" s="15" t="s">
        <v>2950</v>
      </c>
      <c r="K570" s="15" t="s">
        <v>16</v>
      </c>
      <c r="L570" s="15" t="s">
        <v>2284</v>
      </c>
      <c r="M570" s="15"/>
      <c r="N570" s="16"/>
    </row>
    <row r="571" spans="1:14" x14ac:dyDescent="0.25">
      <c r="A571" s="20"/>
      <c r="B571" s="35" t="s">
        <v>3219</v>
      </c>
      <c r="C571" s="42" t="s">
        <v>88</v>
      </c>
      <c r="D571" s="15" t="s">
        <v>216</v>
      </c>
      <c r="E571" s="52" t="s">
        <v>4262</v>
      </c>
      <c r="F571" s="15" t="s">
        <v>3211</v>
      </c>
      <c r="G571" s="15"/>
      <c r="H571" s="15"/>
      <c r="I571" s="15"/>
      <c r="J571" s="15" t="s">
        <v>2950</v>
      </c>
      <c r="K571" s="15" t="s">
        <v>16</v>
      </c>
      <c r="L571" s="15" t="s">
        <v>2284</v>
      </c>
      <c r="M571" s="15"/>
      <c r="N571" s="16"/>
    </row>
    <row r="572" spans="1:14" x14ac:dyDescent="0.25">
      <c r="A572" s="20"/>
      <c r="B572" s="35" t="s">
        <v>3220</v>
      </c>
      <c r="C572" s="42" t="s">
        <v>88</v>
      </c>
      <c r="D572" s="15" t="s">
        <v>218</v>
      </c>
      <c r="E572" s="52" t="s">
        <v>4263</v>
      </c>
      <c r="F572" s="15" t="s">
        <v>3211</v>
      </c>
      <c r="G572" s="15"/>
      <c r="H572" s="15"/>
      <c r="I572" s="15"/>
      <c r="J572" s="15" t="s">
        <v>2950</v>
      </c>
      <c r="K572" s="15" t="s">
        <v>16</v>
      </c>
      <c r="L572" s="15" t="s">
        <v>2263</v>
      </c>
      <c r="M572" s="15"/>
      <c r="N572" s="16"/>
    </row>
    <row r="573" spans="1:14" x14ac:dyDescent="0.25">
      <c r="A573" s="20"/>
      <c r="B573" s="35" t="s">
        <v>3221</v>
      </c>
      <c r="C573" s="42" t="s">
        <v>88</v>
      </c>
      <c r="D573" s="15" t="s">
        <v>220</v>
      </c>
      <c r="E573" s="52" t="s">
        <v>4264</v>
      </c>
      <c r="F573" s="15" t="s">
        <v>3211</v>
      </c>
      <c r="G573" s="15"/>
      <c r="H573" s="15"/>
      <c r="I573" s="15"/>
      <c r="J573" s="15" t="s">
        <v>2950</v>
      </c>
      <c r="K573" s="15" t="s">
        <v>16</v>
      </c>
      <c r="L573" s="15" t="s">
        <v>2524</v>
      </c>
      <c r="M573" s="15"/>
      <c r="N573" s="16"/>
    </row>
    <row r="574" spans="1:14" x14ac:dyDescent="0.25">
      <c r="A574" s="20"/>
      <c r="B574" s="35" t="s">
        <v>3222</v>
      </c>
      <c r="C574" s="42" t="s">
        <v>88</v>
      </c>
      <c r="D574" s="15" t="s">
        <v>222</v>
      </c>
      <c r="E574" s="52" t="s">
        <v>4265</v>
      </c>
      <c r="F574" s="15" t="s">
        <v>3211</v>
      </c>
      <c r="G574" s="15"/>
      <c r="H574" s="15"/>
      <c r="I574" s="15"/>
      <c r="J574" s="15" t="s">
        <v>2950</v>
      </c>
      <c r="K574" s="15" t="s">
        <v>16</v>
      </c>
      <c r="L574" s="15" t="s">
        <v>2404</v>
      </c>
      <c r="M574" s="15"/>
      <c r="N574" s="16"/>
    </row>
    <row r="575" spans="1:14" x14ac:dyDescent="0.25">
      <c r="A575" s="20"/>
      <c r="B575" s="35" t="s">
        <v>3223</v>
      </c>
      <c r="C575" s="42" t="s">
        <v>88</v>
      </c>
      <c r="D575" s="15" t="s">
        <v>224</v>
      </c>
      <c r="E575" s="52" t="s">
        <v>4266</v>
      </c>
      <c r="F575" s="15" t="s">
        <v>3211</v>
      </c>
      <c r="G575" s="15"/>
      <c r="H575" s="15"/>
      <c r="I575" s="15"/>
      <c r="J575" s="15" t="s">
        <v>2950</v>
      </c>
      <c r="K575" s="15" t="s">
        <v>16</v>
      </c>
      <c r="L575" s="15" t="s">
        <v>2524</v>
      </c>
      <c r="M575" s="15"/>
      <c r="N575" s="16"/>
    </row>
    <row r="576" spans="1:14" x14ac:dyDescent="0.25">
      <c r="A576" s="20"/>
      <c r="B576" s="35" t="s">
        <v>3224</v>
      </c>
      <c r="C576" s="42" t="s">
        <v>88</v>
      </c>
      <c r="D576" s="15" t="s">
        <v>226</v>
      </c>
      <c r="E576" s="52" t="s">
        <v>4267</v>
      </c>
      <c r="F576" s="15" t="s">
        <v>3211</v>
      </c>
      <c r="G576" s="15"/>
      <c r="H576" s="15"/>
      <c r="I576" s="15"/>
      <c r="J576" s="15" t="s">
        <v>2950</v>
      </c>
      <c r="K576" s="15" t="s">
        <v>16</v>
      </c>
      <c r="L576" s="15" t="s">
        <v>2393</v>
      </c>
      <c r="M576" s="15"/>
      <c r="N576" s="16"/>
    </row>
    <row r="577" spans="1:14" x14ac:dyDescent="0.25">
      <c r="A577" s="20"/>
      <c r="B577" s="35" t="s">
        <v>3225</v>
      </c>
      <c r="C577" s="42" t="s">
        <v>88</v>
      </c>
      <c r="D577" s="15" t="s">
        <v>228</v>
      </c>
      <c r="E577" s="52" t="s">
        <v>4268</v>
      </c>
      <c r="F577" s="15" t="s">
        <v>3211</v>
      </c>
      <c r="G577" s="15"/>
      <c r="H577" s="15"/>
      <c r="I577" s="15"/>
      <c r="J577" s="15" t="s">
        <v>2950</v>
      </c>
      <c r="K577" s="15" t="s">
        <v>16</v>
      </c>
      <c r="L577" s="15" t="s">
        <v>2393</v>
      </c>
      <c r="M577" s="15"/>
      <c r="N577" s="16"/>
    </row>
    <row r="578" spans="1:14" x14ac:dyDescent="0.25">
      <c r="A578" s="20"/>
      <c r="B578" s="35" t="s">
        <v>3226</v>
      </c>
      <c r="C578" s="42" t="s">
        <v>88</v>
      </c>
      <c r="D578" s="15" t="s">
        <v>230</v>
      </c>
      <c r="E578" s="52" t="s">
        <v>4269</v>
      </c>
      <c r="F578" s="15" t="s">
        <v>3211</v>
      </c>
      <c r="G578" s="15"/>
      <c r="H578" s="15"/>
      <c r="I578" s="15"/>
      <c r="J578" s="15" t="s">
        <v>2950</v>
      </c>
      <c r="K578" s="15" t="s">
        <v>16</v>
      </c>
      <c r="L578" s="15" t="s">
        <v>2405</v>
      </c>
      <c r="M578" s="15"/>
      <c r="N578" s="16"/>
    </row>
    <row r="579" spans="1:14" x14ac:dyDescent="0.25">
      <c r="A579" s="20"/>
      <c r="B579" s="35" t="s">
        <v>3227</v>
      </c>
      <c r="C579" s="42" t="s">
        <v>88</v>
      </c>
      <c r="D579" s="15" t="s">
        <v>232</v>
      </c>
      <c r="E579" s="52" t="s">
        <v>4270</v>
      </c>
      <c r="F579" s="15" t="s">
        <v>3211</v>
      </c>
      <c r="G579" s="15"/>
      <c r="H579" s="15"/>
      <c r="I579" s="15"/>
      <c r="J579" s="15" t="s">
        <v>2950</v>
      </c>
      <c r="K579" s="15" t="s">
        <v>16</v>
      </c>
      <c r="L579" s="15" t="s">
        <v>2405</v>
      </c>
      <c r="M579" s="15"/>
      <c r="N579" s="16"/>
    </row>
    <row r="580" spans="1:14" x14ac:dyDescent="0.25">
      <c r="A580" s="20"/>
      <c r="B580" s="35" t="s">
        <v>3228</v>
      </c>
      <c r="C580" s="42" t="s">
        <v>88</v>
      </c>
      <c r="D580" s="15" t="s">
        <v>234</v>
      </c>
      <c r="E580" s="52" t="s">
        <v>4271</v>
      </c>
      <c r="F580" s="15" t="s">
        <v>3211</v>
      </c>
      <c r="G580" s="15"/>
      <c r="H580" s="15"/>
      <c r="I580" s="15"/>
      <c r="J580" s="15" t="s">
        <v>2950</v>
      </c>
      <c r="K580" s="15" t="s">
        <v>16</v>
      </c>
      <c r="L580" s="15" t="s">
        <v>2284</v>
      </c>
      <c r="M580" s="15"/>
      <c r="N580" s="16"/>
    </row>
    <row r="581" spans="1:14" x14ac:dyDescent="0.25">
      <c r="A581" s="20"/>
      <c r="B581" s="35" t="s">
        <v>3229</v>
      </c>
      <c r="C581" s="42" t="s">
        <v>88</v>
      </c>
      <c r="D581" s="15" t="s">
        <v>236</v>
      </c>
      <c r="E581" s="52" t="s">
        <v>4272</v>
      </c>
      <c r="F581" s="15"/>
      <c r="G581" s="15"/>
      <c r="H581" s="15"/>
      <c r="I581" s="15"/>
      <c r="J581" s="15" t="s">
        <v>2950</v>
      </c>
      <c r="K581" s="15" t="s">
        <v>16</v>
      </c>
      <c r="L581" s="15" t="s">
        <v>2405</v>
      </c>
      <c r="M581" s="15"/>
      <c r="N581" s="16"/>
    </row>
    <row r="582" spans="1:14" x14ac:dyDescent="0.25">
      <c r="A582" s="20"/>
      <c r="B582" s="35" t="s">
        <v>3230</v>
      </c>
      <c r="C582" s="42" t="s">
        <v>88</v>
      </c>
      <c r="D582" s="15" t="s">
        <v>238</v>
      </c>
      <c r="E582" s="52" t="s">
        <v>4273</v>
      </c>
      <c r="F582" s="15"/>
      <c r="G582" s="15"/>
      <c r="H582" s="15"/>
      <c r="I582" s="15"/>
      <c r="J582" s="15" t="s">
        <v>2950</v>
      </c>
      <c r="K582" s="15" t="s">
        <v>16</v>
      </c>
      <c r="L582" s="15" t="s">
        <v>2393</v>
      </c>
      <c r="M582" s="15"/>
      <c r="N582" s="16"/>
    </row>
    <row r="583" spans="1:14" x14ac:dyDescent="0.25">
      <c r="A583" s="20"/>
      <c r="B583" s="35" t="s">
        <v>3231</v>
      </c>
      <c r="C583" s="42" t="s">
        <v>88</v>
      </c>
      <c r="D583" s="15" t="s">
        <v>240</v>
      </c>
      <c r="E583" s="52" t="s">
        <v>4274</v>
      </c>
      <c r="F583" s="15"/>
      <c r="G583" s="15"/>
      <c r="H583" s="15"/>
      <c r="I583" s="15"/>
      <c r="J583" s="15" t="s">
        <v>2950</v>
      </c>
      <c r="K583" s="15" t="s">
        <v>16</v>
      </c>
      <c r="L583" s="15" t="s">
        <v>2393</v>
      </c>
      <c r="M583" s="15"/>
      <c r="N583" s="16"/>
    </row>
    <row r="584" spans="1:14" x14ac:dyDescent="0.25">
      <c r="A584" s="20"/>
      <c r="B584" s="35" t="s">
        <v>3232</v>
      </c>
      <c r="C584" s="42" t="s">
        <v>88</v>
      </c>
      <c r="D584" s="15" t="s">
        <v>334</v>
      </c>
      <c r="E584" s="52" t="s">
        <v>4275</v>
      </c>
      <c r="F584" s="15"/>
      <c r="G584" s="15"/>
      <c r="H584" s="15"/>
      <c r="I584" s="15"/>
      <c r="J584" s="15" t="s">
        <v>2950</v>
      </c>
      <c r="K584" s="15" t="s">
        <v>16</v>
      </c>
      <c r="L584" s="15" t="s">
        <v>2405</v>
      </c>
      <c r="M584" s="15"/>
      <c r="N584" s="16"/>
    </row>
    <row r="585" spans="1:14" x14ac:dyDescent="0.25">
      <c r="A585" s="20"/>
      <c r="B585" s="35" t="s">
        <v>3233</v>
      </c>
      <c r="C585" s="42" t="s">
        <v>88</v>
      </c>
      <c r="D585" s="15" t="s">
        <v>337</v>
      </c>
      <c r="E585" s="52" t="s">
        <v>4276</v>
      </c>
      <c r="F585" s="15"/>
      <c r="G585" s="15"/>
      <c r="H585" s="15"/>
      <c r="I585" s="15"/>
      <c r="J585" s="15" t="s">
        <v>2950</v>
      </c>
      <c r="K585" s="15" t="s">
        <v>16</v>
      </c>
      <c r="L585" s="15" t="s">
        <v>2284</v>
      </c>
      <c r="M585" s="15"/>
      <c r="N585" s="16"/>
    </row>
    <row r="586" spans="1:14" x14ac:dyDescent="0.25">
      <c r="A586" s="20"/>
      <c r="B586" s="35" t="s">
        <v>3234</v>
      </c>
      <c r="C586" s="42" t="s">
        <v>88</v>
      </c>
      <c r="D586" s="15" t="s">
        <v>340</v>
      </c>
      <c r="E586" s="52" t="s">
        <v>4277</v>
      </c>
      <c r="F586" s="15"/>
      <c r="G586" s="15"/>
      <c r="H586" s="15"/>
      <c r="I586" s="15"/>
      <c r="J586" s="15" t="s">
        <v>2950</v>
      </c>
      <c r="K586" s="15" t="s">
        <v>16</v>
      </c>
      <c r="L586" s="15" t="s">
        <v>2284</v>
      </c>
      <c r="M586" s="15"/>
      <c r="N586" s="16"/>
    </row>
    <row r="587" spans="1:14" x14ac:dyDescent="0.25">
      <c r="A587" s="20"/>
      <c r="B587" s="35" t="s">
        <v>3235</v>
      </c>
      <c r="C587" s="42" t="s">
        <v>88</v>
      </c>
      <c r="D587" s="15" t="s">
        <v>343</v>
      </c>
      <c r="E587" s="52" t="s">
        <v>4278</v>
      </c>
      <c r="F587" s="15"/>
      <c r="G587" s="15"/>
      <c r="H587" s="15"/>
      <c r="I587" s="15"/>
      <c r="J587" s="15" t="s">
        <v>2950</v>
      </c>
      <c r="K587" s="15" t="s">
        <v>16</v>
      </c>
      <c r="L587" s="15" t="s">
        <v>2402</v>
      </c>
      <c r="M587" s="15"/>
      <c r="N587" s="16"/>
    </row>
    <row r="588" spans="1:14" x14ac:dyDescent="0.25">
      <c r="A588" s="20"/>
      <c r="B588" s="35" t="s">
        <v>2760</v>
      </c>
      <c r="C588" s="42" t="s">
        <v>88</v>
      </c>
      <c r="D588" s="15" t="s">
        <v>345</v>
      </c>
      <c r="E588" s="52" t="s">
        <v>4279</v>
      </c>
      <c r="F588" s="15"/>
      <c r="G588" s="15" t="s">
        <v>2721</v>
      </c>
      <c r="H588" s="15"/>
      <c r="I588" s="15"/>
      <c r="J588" s="15" t="s">
        <v>2699</v>
      </c>
      <c r="K588" s="15" t="s">
        <v>16</v>
      </c>
      <c r="L588" s="15" t="s">
        <v>2284</v>
      </c>
      <c r="M588" s="15"/>
      <c r="N588" s="16"/>
    </row>
    <row r="589" spans="1:14" x14ac:dyDescent="0.25">
      <c r="A589" s="20"/>
      <c r="B589" s="35" t="s">
        <v>2758</v>
      </c>
      <c r="C589" s="42" t="s">
        <v>88</v>
      </c>
      <c r="D589" s="15" t="s">
        <v>348</v>
      </c>
      <c r="E589" s="52" t="s">
        <v>4280</v>
      </c>
      <c r="F589" s="15"/>
      <c r="G589" s="15" t="s">
        <v>2721</v>
      </c>
      <c r="H589" s="15"/>
      <c r="I589" s="15"/>
      <c r="J589" s="15" t="s">
        <v>2699</v>
      </c>
      <c r="K589" s="15" t="s">
        <v>16</v>
      </c>
      <c r="L589" s="15" t="s">
        <v>2404</v>
      </c>
      <c r="M589" s="15"/>
      <c r="N589" s="16"/>
    </row>
    <row r="590" spans="1:14" x14ac:dyDescent="0.25">
      <c r="A590" s="20"/>
      <c r="B590" s="35" t="s">
        <v>2759</v>
      </c>
      <c r="C590" s="42" t="s">
        <v>88</v>
      </c>
      <c r="D590" s="15" t="s">
        <v>351</v>
      </c>
      <c r="E590" s="52" t="s">
        <v>4281</v>
      </c>
      <c r="F590" s="15"/>
      <c r="G590" s="15" t="s">
        <v>2722</v>
      </c>
      <c r="H590" s="15"/>
      <c r="I590" s="15"/>
      <c r="J590" s="15" t="s">
        <v>2699</v>
      </c>
      <c r="K590" s="15" t="s">
        <v>16</v>
      </c>
      <c r="L590" s="15" t="s">
        <v>2405</v>
      </c>
      <c r="M590" s="15"/>
      <c r="N590" s="16"/>
    </row>
    <row r="591" spans="1:14" x14ac:dyDescent="0.25">
      <c r="A591" s="20"/>
      <c r="B591" s="35" t="s">
        <v>2761</v>
      </c>
      <c r="C591" s="42" t="s">
        <v>88</v>
      </c>
      <c r="D591" s="15" t="s">
        <v>431</v>
      </c>
      <c r="E591" s="52" t="s">
        <v>4282</v>
      </c>
      <c r="F591" s="15"/>
      <c r="G591" s="15" t="s">
        <v>2721</v>
      </c>
      <c r="H591" s="15"/>
      <c r="I591" s="15"/>
      <c r="J591" s="15" t="s">
        <v>2699</v>
      </c>
      <c r="K591" s="15" t="s">
        <v>16</v>
      </c>
      <c r="L591" s="15" t="s">
        <v>2284</v>
      </c>
      <c r="M591" s="15"/>
      <c r="N591" s="16"/>
    </row>
    <row r="592" spans="1:14" x14ac:dyDescent="0.25">
      <c r="A592" s="20"/>
      <c r="B592" s="35" t="s">
        <v>2762</v>
      </c>
      <c r="C592" s="42" t="s">
        <v>88</v>
      </c>
      <c r="D592" s="15" t="s">
        <v>434</v>
      </c>
      <c r="E592" s="52" t="s">
        <v>4283</v>
      </c>
      <c r="F592" s="15"/>
      <c r="G592" s="15" t="s">
        <v>2722</v>
      </c>
      <c r="H592" s="15"/>
      <c r="I592" s="15"/>
      <c r="J592" s="15" t="s">
        <v>2699</v>
      </c>
      <c r="K592" s="15" t="s">
        <v>16</v>
      </c>
      <c r="L592" s="15" t="s">
        <v>2402</v>
      </c>
      <c r="M592" s="15"/>
      <c r="N592" s="16"/>
    </row>
    <row r="593" spans="1:14" x14ac:dyDescent="0.25">
      <c r="A593" s="36"/>
      <c r="B593" s="35" t="s">
        <v>2868</v>
      </c>
      <c r="C593" s="42" t="s">
        <v>88</v>
      </c>
      <c r="D593" s="15" t="s">
        <v>437</v>
      </c>
      <c r="E593" s="52" t="s">
        <v>4284</v>
      </c>
      <c r="F593" s="15"/>
      <c r="G593" s="15" t="s">
        <v>2721</v>
      </c>
      <c r="H593" s="15"/>
      <c r="I593" s="15"/>
      <c r="J593" s="15" t="s">
        <v>2699</v>
      </c>
      <c r="K593" s="15" t="s">
        <v>16</v>
      </c>
      <c r="L593" s="15" t="s">
        <v>2419</v>
      </c>
      <c r="M593" s="15"/>
      <c r="N593" s="16"/>
    </row>
    <row r="594" spans="1:14" x14ac:dyDescent="0.25">
      <c r="A594" s="20"/>
      <c r="B594" s="35" t="s">
        <v>2763</v>
      </c>
      <c r="C594" s="42" t="s">
        <v>88</v>
      </c>
      <c r="D594" s="15" t="s">
        <v>440</v>
      </c>
      <c r="E594" s="52" t="s">
        <v>4285</v>
      </c>
      <c r="F594" s="15"/>
      <c r="G594" s="15" t="s">
        <v>2722</v>
      </c>
      <c r="H594" s="15"/>
      <c r="I594" s="15"/>
      <c r="J594" s="15" t="s">
        <v>2699</v>
      </c>
      <c r="K594" s="15" t="s">
        <v>16</v>
      </c>
      <c r="L594" s="15" t="s">
        <v>2405</v>
      </c>
      <c r="M594" s="15"/>
      <c r="N594" s="16"/>
    </row>
    <row r="595" spans="1:14" x14ac:dyDescent="0.25">
      <c r="A595" s="20"/>
      <c r="B595" s="35" t="s">
        <v>2752</v>
      </c>
      <c r="C595" s="42" t="s">
        <v>88</v>
      </c>
      <c r="D595" s="15" t="s">
        <v>443</v>
      </c>
      <c r="E595" s="52" t="s">
        <v>4286</v>
      </c>
      <c r="F595" s="15"/>
      <c r="G595" s="15" t="s">
        <v>2721</v>
      </c>
      <c r="H595" s="15"/>
      <c r="I595" s="15"/>
      <c r="J595" s="15" t="s">
        <v>2699</v>
      </c>
      <c r="K595" s="15" t="s">
        <v>16</v>
      </c>
      <c r="L595" s="15" t="s">
        <v>2405</v>
      </c>
      <c r="M595" s="15"/>
      <c r="N595" s="16"/>
    </row>
    <row r="596" spans="1:14" x14ac:dyDescent="0.25">
      <c r="A596" s="20"/>
      <c r="B596" s="35" t="s">
        <v>2753</v>
      </c>
      <c r="C596" s="42" t="s">
        <v>88</v>
      </c>
      <c r="D596" s="15" t="s">
        <v>446</v>
      </c>
      <c r="E596" s="52" t="s">
        <v>4287</v>
      </c>
      <c r="F596" s="15"/>
      <c r="G596" s="15" t="s">
        <v>2721</v>
      </c>
      <c r="H596" s="15"/>
      <c r="I596" s="15"/>
      <c r="J596" s="15" t="s">
        <v>2699</v>
      </c>
      <c r="K596" s="15" t="s">
        <v>16</v>
      </c>
      <c r="L596" s="15" t="s">
        <v>2231</v>
      </c>
      <c r="M596" s="15"/>
      <c r="N596" s="16"/>
    </row>
    <row r="597" spans="1:14" x14ac:dyDescent="0.25">
      <c r="A597" s="20"/>
      <c r="B597" s="35" t="s">
        <v>2743</v>
      </c>
      <c r="C597" s="42" t="s">
        <v>88</v>
      </c>
      <c r="D597" s="15" t="s">
        <v>449</v>
      </c>
      <c r="E597" s="52" t="s">
        <v>4288</v>
      </c>
      <c r="F597" s="15" t="s">
        <v>2720</v>
      </c>
      <c r="G597" s="15" t="s">
        <v>2721</v>
      </c>
      <c r="H597" s="15"/>
      <c r="I597" s="15"/>
      <c r="J597" s="15" t="s">
        <v>2699</v>
      </c>
      <c r="K597" s="15" t="s">
        <v>16</v>
      </c>
      <c r="L597" s="15" t="s">
        <v>2254</v>
      </c>
      <c r="M597" s="15"/>
      <c r="N597" s="16"/>
    </row>
    <row r="598" spans="1:14" x14ac:dyDescent="0.25">
      <c r="A598" s="20"/>
      <c r="B598" s="35" t="s">
        <v>2740</v>
      </c>
      <c r="C598" s="42" t="s">
        <v>88</v>
      </c>
      <c r="D598" s="15" t="s">
        <v>452</v>
      </c>
      <c r="E598" s="52" t="s">
        <v>4289</v>
      </c>
      <c r="F598" s="15" t="s">
        <v>2720</v>
      </c>
      <c r="G598" s="15" t="s">
        <v>2721</v>
      </c>
      <c r="H598" s="15"/>
      <c r="I598" s="15"/>
      <c r="J598" s="15" t="s">
        <v>2699</v>
      </c>
      <c r="K598" s="15" t="s">
        <v>16</v>
      </c>
      <c r="L598" s="15" t="s">
        <v>2393</v>
      </c>
      <c r="M598" s="15"/>
      <c r="N598" s="16"/>
    </row>
    <row r="599" spans="1:14" x14ac:dyDescent="0.25">
      <c r="A599" s="20"/>
      <c r="B599" s="35" t="s">
        <v>2741</v>
      </c>
      <c r="C599" s="42" t="s">
        <v>88</v>
      </c>
      <c r="D599" s="15" t="s">
        <v>455</v>
      </c>
      <c r="E599" s="52" t="s">
        <v>4290</v>
      </c>
      <c r="F599" s="15" t="s">
        <v>2720</v>
      </c>
      <c r="G599" s="15" t="s">
        <v>2721</v>
      </c>
      <c r="H599" s="15"/>
      <c r="I599" s="15"/>
      <c r="J599" s="15" t="s">
        <v>2699</v>
      </c>
      <c r="K599" s="15" t="s">
        <v>16</v>
      </c>
      <c r="L599" s="15" t="s">
        <v>2524</v>
      </c>
      <c r="M599" s="15"/>
      <c r="N599" s="16"/>
    </row>
    <row r="600" spans="1:14" x14ac:dyDescent="0.25">
      <c r="A600" s="20"/>
      <c r="B600" s="35" t="s">
        <v>2741</v>
      </c>
      <c r="C600" s="42" t="s">
        <v>88</v>
      </c>
      <c r="D600" s="15" t="s">
        <v>458</v>
      </c>
      <c r="E600" s="52" t="s">
        <v>4291</v>
      </c>
      <c r="F600" s="15" t="s">
        <v>2720</v>
      </c>
      <c r="G600" s="15" t="s">
        <v>2722</v>
      </c>
      <c r="H600" s="15"/>
      <c r="I600" s="15"/>
      <c r="J600" s="15" t="s">
        <v>2699</v>
      </c>
      <c r="K600" s="15" t="s">
        <v>16</v>
      </c>
      <c r="L600" s="15" t="s">
        <v>2284</v>
      </c>
      <c r="M600" s="15"/>
      <c r="N600" s="16"/>
    </row>
    <row r="601" spans="1:14" x14ac:dyDescent="0.25">
      <c r="A601" s="20"/>
      <c r="B601" s="35" t="s">
        <v>2738</v>
      </c>
      <c r="C601" s="42" t="s">
        <v>88</v>
      </c>
      <c r="D601" s="15" t="s">
        <v>461</v>
      </c>
      <c r="E601" s="52" t="s">
        <v>4292</v>
      </c>
      <c r="F601" s="15" t="s">
        <v>2720</v>
      </c>
      <c r="G601" s="15" t="s">
        <v>2721</v>
      </c>
      <c r="H601" s="15"/>
      <c r="I601" s="15"/>
      <c r="J601" s="15" t="s">
        <v>2699</v>
      </c>
      <c r="K601" s="15" t="s">
        <v>16</v>
      </c>
      <c r="L601" s="15" t="s">
        <v>2405</v>
      </c>
      <c r="M601" s="15"/>
      <c r="N601" s="16"/>
    </row>
    <row r="602" spans="1:14" x14ac:dyDescent="0.25">
      <c r="A602" s="20"/>
      <c r="B602" s="35" t="s">
        <v>2739</v>
      </c>
      <c r="C602" s="42" t="s">
        <v>88</v>
      </c>
      <c r="D602" s="15" t="s">
        <v>464</v>
      </c>
      <c r="E602" s="52" t="s">
        <v>4293</v>
      </c>
      <c r="F602" s="15" t="s">
        <v>2720</v>
      </c>
      <c r="G602" s="15" t="s">
        <v>2721</v>
      </c>
      <c r="H602" s="15"/>
      <c r="I602" s="15"/>
      <c r="J602" s="15" t="s">
        <v>2699</v>
      </c>
      <c r="K602" s="15" t="s">
        <v>16</v>
      </c>
      <c r="L602" s="15" t="s">
        <v>2529</v>
      </c>
      <c r="M602" s="15"/>
      <c r="N602" s="16"/>
    </row>
    <row r="603" spans="1:14" x14ac:dyDescent="0.25">
      <c r="A603" s="20"/>
      <c r="B603" s="35" t="s">
        <v>2751</v>
      </c>
      <c r="C603" s="42" t="s">
        <v>88</v>
      </c>
      <c r="D603" s="15" t="s">
        <v>467</v>
      </c>
      <c r="E603" s="52" t="s">
        <v>4294</v>
      </c>
      <c r="F603" s="15"/>
      <c r="G603" s="15" t="s">
        <v>2721</v>
      </c>
      <c r="H603" s="15"/>
      <c r="I603" s="15"/>
      <c r="J603" s="15" t="s">
        <v>2699</v>
      </c>
      <c r="K603" s="15" t="s">
        <v>16</v>
      </c>
      <c r="L603" s="15" t="s">
        <v>2419</v>
      </c>
      <c r="M603" s="15"/>
      <c r="N603" s="16"/>
    </row>
    <row r="604" spans="1:14" x14ac:dyDescent="0.25">
      <c r="A604" s="20"/>
      <c r="B604" s="35" t="s">
        <v>2733</v>
      </c>
      <c r="C604" s="42" t="s">
        <v>88</v>
      </c>
      <c r="D604" s="15" t="s">
        <v>470</v>
      </c>
      <c r="E604" s="52" t="s">
        <v>4295</v>
      </c>
      <c r="F604" s="15" t="s">
        <v>2720</v>
      </c>
      <c r="G604" s="15" t="s">
        <v>2721</v>
      </c>
      <c r="H604" s="15"/>
      <c r="I604" s="15"/>
      <c r="J604" s="15" t="s">
        <v>2699</v>
      </c>
      <c r="K604" s="15" t="s">
        <v>16</v>
      </c>
      <c r="L604" s="15" t="s">
        <v>2723</v>
      </c>
      <c r="M604" s="15"/>
      <c r="N604" s="16"/>
    </row>
    <row r="605" spans="1:14" x14ac:dyDescent="0.25">
      <c r="A605" s="20"/>
      <c r="B605" s="35" t="s">
        <v>2754</v>
      </c>
      <c r="C605" s="42" t="s">
        <v>88</v>
      </c>
      <c r="D605" s="15" t="s">
        <v>473</v>
      </c>
      <c r="E605" s="52" t="s">
        <v>4296</v>
      </c>
      <c r="F605" s="15"/>
      <c r="G605" s="15" t="s">
        <v>2721</v>
      </c>
      <c r="H605" s="15"/>
      <c r="I605" s="15"/>
      <c r="J605" s="15" t="s">
        <v>2699</v>
      </c>
      <c r="K605" s="15" t="s">
        <v>16</v>
      </c>
      <c r="L605" s="15" t="s">
        <v>2231</v>
      </c>
      <c r="M605" s="15"/>
      <c r="N605" s="16"/>
    </row>
    <row r="606" spans="1:14" x14ac:dyDescent="0.25">
      <c r="A606" s="20"/>
      <c r="B606" s="35" t="s">
        <v>2757</v>
      </c>
      <c r="C606" s="42" t="s">
        <v>88</v>
      </c>
      <c r="D606" s="15" t="s">
        <v>476</v>
      </c>
      <c r="E606" s="52" t="s">
        <v>4297</v>
      </c>
      <c r="F606" s="15"/>
      <c r="G606" s="15" t="s">
        <v>2721</v>
      </c>
      <c r="H606" s="15"/>
      <c r="I606" s="15"/>
      <c r="J606" s="15" t="s">
        <v>2699</v>
      </c>
      <c r="K606" s="15" t="s">
        <v>16</v>
      </c>
      <c r="L606" s="15" t="s">
        <v>2404</v>
      </c>
      <c r="M606" s="15"/>
      <c r="N606" s="16"/>
    </row>
    <row r="607" spans="1:14" x14ac:dyDescent="0.25">
      <c r="A607" s="20"/>
      <c r="B607" s="35" t="s">
        <v>2735</v>
      </c>
      <c r="C607" s="42" t="s">
        <v>88</v>
      </c>
      <c r="D607" s="15" t="s">
        <v>479</v>
      </c>
      <c r="E607" s="52" t="s">
        <v>4298</v>
      </c>
      <c r="F607" s="15" t="s">
        <v>2720</v>
      </c>
      <c r="G607" s="15" t="s">
        <v>2721</v>
      </c>
      <c r="H607" s="15"/>
      <c r="I607" s="15"/>
      <c r="J607" s="15" t="s">
        <v>2699</v>
      </c>
      <c r="K607" s="15" t="s">
        <v>16</v>
      </c>
      <c r="L607" s="15" t="s">
        <v>2405</v>
      </c>
      <c r="M607" s="15"/>
      <c r="N607" s="16"/>
    </row>
    <row r="608" spans="1:14" x14ac:dyDescent="0.25">
      <c r="A608" s="20"/>
      <c r="B608" s="35" t="s">
        <v>2736</v>
      </c>
      <c r="C608" s="42" t="s">
        <v>88</v>
      </c>
      <c r="D608" s="15" t="s">
        <v>482</v>
      </c>
      <c r="E608" s="52" t="s">
        <v>4299</v>
      </c>
      <c r="F608" s="15" t="s">
        <v>2720</v>
      </c>
      <c r="G608" s="15" t="s">
        <v>2721</v>
      </c>
      <c r="H608" s="15"/>
      <c r="I608" s="15"/>
      <c r="J608" s="15" t="s">
        <v>2699</v>
      </c>
      <c r="K608" s="15" t="s">
        <v>16</v>
      </c>
      <c r="L608" s="15" t="s">
        <v>2252</v>
      </c>
      <c r="M608" s="15"/>
      <c r="N608" s="16"/>
    </row>
    <row r="609" spans="1:14" x14ac:dyDescent="0.25">
      <c r="A609" s="20"/>
      <c r="B609" s="35" t="s">
        <v>2736</v>
      </c>
      <c r="C609" s="42" t="s">
        <v>88</v>
      </c>
      <c r="D609" s="15" t="s">
        <v>485</v>
      </c>
      <c r="E609" s="52" t="s">
        <v>4300</v>
      </c>
      <c r="F609" s="15" t="s">
        <v>2720</v>
      </c>
      <c r="G609" s="15" t="s">
        <v>2722</v>
      </c>
      <c r="H609" s="15"/>
      <c r="I609" s="15"/>
      <c r="J609" s="15" t="s">
        <v>2699</v>
      </c>
      <c r="K609" s="15" t="s">
        <v>16</v>
      </c>
      <c r="L609" s="15" t="s">
        <v>2404</v>
      </c>
      <c r="M609" s="15"/>
      <c r="N609" s="16"/>
    </row>
    <row r="610" spans="1:14" x14ac:dyDescent="0.25">
      <c r="A610" s="20"/>
      <c r="B610" s="35" t="s">
        <v>2745</v>
      </c>
      <c r="C610" s="42" t="s">
        <v>88</v>
      </c>
      <c r="D610" s="15" t="s">
        <v>488</v>
      </c>
      <c r="E610" s="52" t="s">
        <v>4301</v>
      </c>
      <c r="F610" s="15" t="s">
        <v>2720</v>
      </c>
      <c r="G610" s="15" t="s">
        <v>2721</v>
      </c>
      <c r="H610" s="15"/>
      <c r="I610" s="15"/>
      <c r="J610" s="15" t="s">
        <v>2699</v>
      </c>
      <c r="K610" s="15" t="s">
        <v>16</v>
      </c>
      <c r="L610" s="15" t="s">
        <v>2419</v>
      </c>
      <c r="M610" s="15"/>
      <c r="N610" s="16"/>
    </row>
    <row r="611" spans="1:14" x14ac:dyDescent="0.25">
      <c r="A611" s="20"/>
      <c r="B611" s="35" t="s">
        <v>2749</v>
      </c>
      <c r="C611" s="42" t="s">
        <v>88</v>
      </c>
      <c r="D611" s="15" t="s">
        <v>491</v>
      </c>
      <c r="E611" s="52" t="s">
        <v>4302</v>
      </c>
      <c r="F611" s="15"/>
      <c r="G611" s="15" t="s">
        <v>2721</v>
      </c>
      <c r="H611" s="15"/>
      <c r="I611" s="15"/>
      <c r="J611" s="15" t="s">
        <v>2699</v>
      </c>
      <c r="K611" s="15" t="s">
        <v>16</v>
      </c>
      <c r="L611" s="15" t="s">
        <v>2405</v>
      </c>
      <c r="M611" s="15"/>
      <c r="N611" s="16"/>
    </row>
    <row r="612" spans="1:14" x14ac:dyDescent="0.25">
      <c r="A612" s="20"/>
      <c r="B612" s="35" t="s">
        <v>2748</v>
      </c>
      <c r="C612" s="42" t="s">
        <v>88</v>
      </c>
      <c r="D612" s="15" t="s">
        <v>494</v>
      </c>
      <c r="E612" s="52" t="s">
        <v>4303</v>
      </c>
      <c r="F612" s="15"/>
      <c r="G612" s="15" t="s">
        <v>2721</v>
      </c>
      <c r="H612" s="15"/>
      <c r="I612" s="15"/>
      <c r="J612" s="15" t="s">
        <v>2699</v>
      </c>
      <c r="K612" s="15" t="s">
        <v>16</v>
      </c>
      <c r="L612" s="15" t="s">
        <v>2254</v>
      </c>
      <c r="M612" s="15"/>
      <c r="N612" s="16"/>
    </row>
    <row r="613" spans="1:14" x14ac:dyDescent="0.25">
      <c r="A613" s="20"/>
      <c r="B613" s="35" t="s">
        <v>2748</v>
      </c>
      <c r="C613" s="42" t="s">
        <v>88</v>
      </c>
      <c r="D613" s="15" t="s">
        <v>497</v>
      </c>
      <c r="E613" s="52" t="s">
        <v>4304</v>
      </c>
      <c r="F613" s="15"/>
      <c r="G613" s="15" t="s">
        <v>2722</v>
      </c>
      <c r="H613" s="15"/>
      <c r="I613" s="15"/>
      <c r="J613" s="15" t="s">
        <v>2699</v>
      </c>
      <c r="K613" s="15" t="s">
        <v>16</v>
      </c>
      <c r="L613" s="15" t="s">
        <v>2404</v>
      </c>
      <c r="M613" s="15"/>
      <c r="N613" s="16"/>
    </row>
    <row r="614" spans="1:14" x14ac:dyDescent="0.25">
      <c r="A614" s="20"/>
      <c r="B614" s="35" t="s">
        <v>2750</v>
      </c>
      <c r="C614" s="42" t="s">
        <v>88</v>
      </c>
      <c r="D614" s="15" t="s">
        <v>500</v>
      </c>
      <c r="E614" s="52" t="s">
        <v>4305</v>
      </c>
      <c r="F614" s="15"/>
      <c r="G614" s="15" t="s">
        <v>2721</v>
      </c>
      <c r="H614" s="15"/>
      <c r="I614" s="15"/>
      <c r="J614" s="15" t="s">
        <v>2699</v>
      </c>
      <c r="K614" s="15" t="s">
        <v>16</v>
      </c>
      <c r="L614" s="15" t="s">
        <v>2231</v>
      </c>
      <c r="M614" s="15"/>
      <c r="N614" s="16"/>
    </row>
    <row r="615" spans="1:14" x14ac:dyDescent="0.25">
      <c r="A615" s="20"/>
      <c r="B615" s="35" t="s">
        <v>2750</v>
      </c>
      <c r="C615" s="42" t="s">
        <v>88</v>
      </c>
      <c r="D615" s="15" t="s">
        <v>503</v>
      </c>
      <c r="E615" s="52" t="s">
        <v>4306</v>
      </c>
      <c r="F615" s="15"/>
      <c r="G615" s="15" t="s">
        <v>2722</v>
      </c>
      <c r="H615" s="15"/>
      <c r="I615" s="15"/>
      <c r="J615" s="15" t="s">
        <v>2699</v>
      </c>
      <c r="K615" s="15" t="s">
        <v>16</v>
      </c>
      <c r="L615" s="15" t="s">
        <v>2265</v>
      </c>
      <c r="M615" s="15"/>
      <c r="N615" s="16"/>
    </row>
    <row r="616" spans="1:14" x14ac:dyDescent="0.25">
      <c r="A616" s="20"/>
      <c r="B616" s="35" t="s">
        <v>2728</v>
      </c>
      <c r="C616" s="42" t="s">
        <v>88</v>
      </c>
      <c r="D616" s="15" t="s">
        <v>506</v>
      </c>
      <c r="E616" s="52" t="s">
        <v>4307</v>
      </c>
      <c r="F616" s="15" t="s">
        <v>2720</v>
      </c>
      <c r="G616" s="15" t="s">
        <v>2721</v>
      </c>
      <c r="H616" s="15"/>
      <c r="I616" s="15"/>
      <c r="J616" s="15" t="s">
        <v>2699</v>
      </c>
      <c r="K616" s="15" t="s">
        <v>16</v>
      </c>
      <c r="L616" s="15" t="s">
        <v>2405</v>
      </c>
      <c r="M616" s="15"/>
      <c r="N616" s="16"/>
    </row>
    <row r="617" spans="1:14" x14ac:dyDescent="0.25">
      <c r="A617" s="20"/>
      <c r="B617" s="35" t="s">
        <v>2729</v>
      </c>
      <c r="C617" s="42" t="s">
        <v>88</v>
      </c>
      <c r="D617" s="15" t="s">
        <v>509</v>
      </c>
      <c r="E617" s="52" t="s">
        <v>4308</v>
      </c>
      <c r="F617" s="15" t="s">
        <v>2720</v>
      </c>
      <c r="G617" s="15" t="s">
        <v>2721</v>
      </c>
      <c r="H617" s="15"/>
      <c r="I617" s="15"/>
      <c r="J617" s="15" t="s">
        <v>2699</v>
      </c>
      <c r="K617" s="15" t="s">
        <v>16</v>
      </c>
      <c r="L617" s="15" t="s">
        <v>3113</v>
      </c>
      <c r="M617" s="15"/>
      <c r="N617" s="16"/>
    </row>
    <row r="618" spans="1:14" x14ac:dyDescent="0.25">
      <c r="A618" s="20"/>
      <c r="B618" s="35" t="s">
        <v>2725</v>
      </c>
      <c r="C618" s="42" t="s">
        <v>88</v>
      </c>
      <c r="D618" s="15" t="s">
        <v>512</v>
      </c>
      <c r="E618" s="52" t="s">
        <v>4309</v>
      </c>
      <c r="F618" s="15" t="s">
        <v>2720</v>
      </c>
      <c r="G618" s="15" t="s">
        <v>2721</v>
      </c>
      <c r="H618" s="15"/>
      <c r="I618" s="15"/>
      <c r="J618" s="15" t="s">
        <v>2699</v>
      </c>
      <c r="K618" s="15" t="s">
        <v>16</v>
      </c>
      <c r="L618" s="15" t="s">
        <v>2231</v>
      </c>
      <c r="M618" s="15"/>
      <c r="N618" s="16"/>
    </row>
    <row r="619" spans="1:14" x14ac:dyDescent="0.25">
      <c r="A619" s="20"/>
      <c r="B619" s="35" t="s">
        <v>2726</v>
      </c>
      <c r="C619" s="42" t="s">
        <v>88</v>
      </c>
      <c r="D619" s="15" t="s">
        <v>515</v>
      </c>
      <c r="E619" s="52" t="s">
        <v>4310</v>
      </c>
      <c r="F619" s="15" t="s">
        <v>2720</v>
      </c>
      <c r="G619" s="15" t="s">
        <v>2721</v>
      </c>
      <c r="H619" s="15"/>
      <c r="I619" s="15"/>
      <c r="J619" s="15" t="s">
        <v>2699</v>
      </c>
      <c r="K619" s="15" t="s">
        <v>16</v>
      </c>
      <c r="L619" s="15" t="s">
        <v>2405</v>
      </c>
      <c r="M619" s="15"/>
      <c r="N619" s="16"/>
    </row>
    <row r="620" spans="1:14" x14ac:dyDescent="0.25">
      <c r="A620" s="20"/>
      <c r="B620" s="35" t="s">
        <v>2727</v>
      </c>
      <c r="C620" s="42" t="s">
        <v>88</v>
      </c>
      <c r="D620" s="15" t="s">
        <v>518</v>
      </c>
      <c r="E620" s="52" t="s">
        <v>4311</v>
      </c>
      <c r="F620" s="15" t="s">
        <v>2720</v>
      </c>
      <c r="G620" s="15" t="s">
        <v>2721</v>
      </c>
      <c r="H620" s="15"/>
      <c r="I620" s="15"/>
      <c r="J620" s="15" t="s">
        <v>2699</v>
      </c>
      <c r="K620" s="15" t="s">
        <v>16</v>
      </c>
      <c r="L620" s="15" t="s">
        <v>2261</v>
      </c>
      <c r="M620" s="15"/>
      <c r="N620" s="16"/>
    </row>
    <row r="621" spans="1:14" x14ac:dyDescent="0.25">
      <c r="A621" s="20"/>
      <c r="B621" s="35" t="s">
        <v>2727</v>
      </c>
      <c r="C621" s="42" t="s">
        <v>88</v>
      </c>
      <c r="D621" s="15" t="s">
        <v>521</v>
      </c>
      <c r="E621" s="52" t="s">
        <v>4312</v>
      </c>
      <c r="F621" s="15" t="s">
        <v>2720</v>
      </c>
      <c r="G621" s="15" t="s">
        <v>2722</v>
      </c>
      <c r="H621" s="15"/>
      <c r="I621" s="15"/>
      <c r="J621" s="15" t="s">
        <v>2699</v>
      </c>
      <c r="K621" s="15" t="s">
        <v>16</v>
      </c>
      <c r="L621" s="15" t="s">
        <v>2393</v>
      </c>
      <c r="M621" s="15"/>
      <c r="N621" s="16"/>
    </row>
    <row r="622" spans="1:14" x14ac:dyDescent="0.25">
      <c r="A622" s="20"/>
      <c r="B622" s="35" t="s">
        <v>2755</v>
      </c>
      <c r="C622" s="42" t="s">
        <v>88</v>
      </c>
      <c r="D622" s="15" t="s">
        <v>524</v>
      </c>
      <c r="E622" s="52" t="s">
        <v>4313</v>
      </c>
      <c r="F622" s="15"/>
      <c r="G622" s="15" t="s">
        <v>2721</v>
      </c>
      <c r="H622" s="15"/>
      <c r="I622" s="15"/>
      <c r="J622" s="15" t="s">
        <v>2699</v>
      </c>
      <c r="K622" s="15" t="s">
        <v>16</v>
      </c>
      <c r="L622" s="15" t="s">
        <v>2524</v>
      </c>
      <c r="M622" s="15"/>
      <c r="N622" s="16"/>
    </row>
    <row r="623" spans="1:14" x14ac:dyDescent="0.25">
      <c r="A623" s="20"/>
      <c r="B623" s="35" t="s">
        <v>2732</v>
      </c>
      <c r="C623" s="42" t="s">
        <v>88</v>
      </c>
      <c r="D623" s="15" t="s">
        <v>527</v>
      </c>
      <c r="E623" s="52" t="s">
        <v>4314</v>
      </c>
      <c r="F623" s="15" t="s">
        <v>2720</v>
      </c>
      <c r="G623" s="15" t="s">
        <v>2721</v>
      </c>
      <c r="H623" s="15"/>
      <c r="I623" s="15"/>
      <c r="J623" s="15" t="s">
        <v>2699</v>
      </c>
      <c r="K623" s="15" t="s">
        <v>16</v>
      </c>
      <c r="L623" s="15" t="s">
        <v>2405</v>
      </c>
      <c r="M623" s="15"/>
      <c r="N623" s="16"/>
    </row>
    <row r="624" spans="1:14" x14ac:dyDescent="0.25">
      <c r="A624" s="20"/>
      <c r="B624" s="35" t="s">
        <v>2731</v>
      </c>
      <c r="C624" s="42" t="s">
        <v>88</v>
      </c>
      <c r="D624" s="15" t="s">
        <v>530</v>
      </c>
      <c r="E624" s="52" t="s">
        <v>4315</v>
      </c>
      <c r="F624" s="15" t="s">
        <v>2720</v>
      </c>
      <c r="G624" s="15" t="s">
        <v>2721</v>
      </c>
      <c r="H624" s="15"/>
      <c r="I624" s="15"/>
      <c r="J624" s="15" t="s">
        <v>2699</v>
      </c>
      <c r="K624" s="15" t="s">
        <v>16</v>
      </c>
      <c r="L624" s="15" t="s">
        <v>2529</v>
      </c>
      <c r="M624" s="15"/>
      <c r="N624" s="16"/>
    </row>
    <row r="625" spans="1:14" x14ac:dyDescent="0.25">
      <c r="A625" s="20"/>
      <c r="B625" s="35" t="s">
        <v>2731</v>
      </c>
      <c r="C625" s="42" t="s">
        <v>88</v>
      </c>
      <c r="D625" s="15" t="s">
        <v>533</v>
      </c>
      <c r="E625" s="52" t="s">
        <v>4316</v>
      </c>
      <c r="F625" s="15" t="s">
        <v>2720</v>
      </c>
      <c r="G625" s="15" t="s">
        <v>2722</v>
      </c>
      <c r="H625" s="15"/>
      <c r="I625" s="15"/>
      <c r="J625" s="15" t="s">
        <v>2699</v>
      </c>
      <c r="K625" s="15" t="s">
        <v>16</v>
      </c>
      <c r="L625" s="15" t="s">
        <v>2394</v>
      </c>
      <c r="M625" s="15"/>
      <c r="N625" s="16"/>
    </row>
    <row r="626" spans="1:14" x14ac:dyDescent="0.25">
      <c r="A626" s="20"/>
      <c r="B626" s="35" t="s">
        <v>2756</v>
      </c>
      <c r="C626" s="42" t="s">
        <v>88</v>
      </c>
      <c r="D626" s="15" t="s">
        <v>536</v>
      </c>
      <c r="E626" s="52" t="s">
        <v>4317</v>
      </c>
      <c r="F626" s="15"/>
      <c r="G626" s="15" t="s">
        <v>2722</v>
      </c>
      <c r="H626" s="15"/>
      <c r="I626" s="15"/>
      <c r="J626" s="15" t="s">
        <v>2699</v>
      </c>
      <c r="K626" s="15" t="s">
        <v>16</v>
      </c>
      <c r="L626" s="15" t="s">
        <v>2393</v>
      </c>
      <c r="M626" s="15"/>
      <c r="N626" s="16"/>
    </row>
    <row r="627" spans="1:14" x14ac:dyDescent="0.25">
      <c r="A627" s="20"/>
      <c r="B627" s="35" t="s">
        <v>2734</v>
      </c>
      <c r="C627" s="42" t="s">
        <v>88</v>
      </c>
      <c r="D627" s="15" t="s">
        <v>539</v>
      </c>
      <c r="E627" s="52" t="s">
        <v>4318</v>
      </c>
      <c r="F627" s="15" t="s">
        <v>2720</v>
      </c>
      <c r="G627" s="15" t="s">
        <v>2721</v>
      </c>
      <c r="H627" s="15"/>
      <c r="I627" s="15"/>
      <c r="J627" s="15" t="s">
        <v>2699</v>
      </c>
      <c r="K627" s="15" t="s">
        <v>16</v>
      </c>
      <c r="L627" s="15" t="s">
        <v>2257</v>
      </c>
      <c r="M627" s="15"/>
      <c r="N627" s="16"/>
    </row>
    <row r="628" spans="1:14" x14ac:dyDescent="0.25">
      <c r="A628" s="20"/>
      <c r="B628" s="35" t="s">
        <v>2730</v>
      </c>
      <c r="C628" s="42" t="s">
        <v>88</v>
      </c>
      <c r="D628" s="15" t="s">
        <v>542</v>
      </c>
      <c r="E628" s="52" t="s">
        <v>4319</v>
      </c>
      <c r="F628" s="15" t="s">
        <v>2720</v>
      </c>
      <c r="G628" s="15" t="s">
        <v>2722</v>
      </c>
      <c r="H628" s="15"/>
      <c r="I628" s="15"/>
      <c r="J628" s="15" t="s">
        <v>2699</v>
      </c>
      <c r="K628" s="15" t="s">
        <v>16</v>
      </c>
      <c r="L628" s="15" t="s">
        <v>3187</v>
      </c>
      <c r="M628" s="15"/>
      <c r="N628" s="16"/>
    </row>
    <row r="629" spans="1:14" x14ac:dyDescent="0.25">
      <c r="A629" s="20"/>
      <c r="B629" s="35" t="s">
        <v>2730</v>
      </c>
      <c r="C629" s="42" t="s">
        <v>88</v>
      </c>
      <c r="D629" s="15" t="s">
        <v>545</v>
      </c>
      <c r="E629" s="52" t="s">
        <v>4320</v>
      </c>
      <c r="F629" s="15" t="s">
        <v>2720</v>
      </c>
      <c r="G629" s="15" t="s">
        <v>2721</v>
      </c>
      <c r="H629" s="15"/>
      <c r="I629" s="15"/>
      <c r="J629" s="15" t="s">
        <v>2699</v>
      </c>
      <c r="K629" s="15" t="s">
        <v>16</v>
      </c>
      <c r="L629" s="15" t="s">
        <v>2529</v>
      </c>
      <c r="M629" s="15"/>
      <c r="N629" s="16"/>
    </row>
    <row r="630" spans="1:14" x14ac:dyDescent="0.25">
      <c r="A630" s="20"/>
      <c r="B630" s="35" t="s">
        <v>2724</v>
      </c>
      <c r="C630" s="42" t="s">
        <v>88</v>
      </c>
      <c r="D630" s="15" t="s">
        <v>548</v>
      </c>
      <c r="E630" s="52" t="s">
        <v>4321</v>
      </c>
      <c r="F630" s="15" t="s">
        <v>2720</v>
      </c>
      <c r="G630" s="15" t="s">
        <v>2721</v>
      </c>
      <c r="H630" s="15"/>
      <c r="I630" s="15"/>
      <c r="J630" s="15" t="s">
        <v>2699</v>
      </c>
      <c r="K630" s="15" t="s">
        <v>16</v>
      </c>
      <c r="L630" s="15" t="s">
        <v>2419</v>
      </c>
      <c r="M630" s="15"/>
      <c r="N630" s="16"/>
    </row>
    <row r="631" spans="1:14" x14ac:dyDescent="0.25">
      <c r="A631" s="20"/>
      <c r="B631" s="35" t="s">
        <v>2724</v>
      </c>
      <c r="C631" s="42" t="s">
        <v>88</v>
      </c>
      <c r="D631" s="15" t="s">
        <v>551</v>
      </c>
      <c r="E631" s="52" t="s">
        <v>4322</v>
      </c>
      <c r="F631" s="15" t="s">
        <v>2720</v>
      </c>
      <c r="G631" s="15" t="s">
        <v>2722</v>
      </c>
      <c r="H631" s="15"/>
      <c r="I631" s="15"/>
      <c r="J631" s="15" t="s">
        <v>2699</v>
      </c>
      <c r="K631" s="15" t="s">
        <v>16</v>
      </c>
      <c r="L631" s="15" t="s">
        <v>2404</v>
      </c>
      <c r="M631" s="15"/>
      <c r="N631" s="16"/>
    </row>
    <row r="632" spans="1:14" x14ac:dyDescent="0.25">
      <c r="A632" s="20"/>
      <c r="B632" s="35" t="s">
        <v>2746</v>
      </c>
      <c r="C632" s="42" t="s">
        <v>88</v>
      </c>
      <c r="D632" s="15" t="s">
        <v>554</v>
      </c>
      <c r="E632" s="52" t="s">
        <v>4323</v>
      </c>
      <c r="F632" s="15"/>
      <c r="G632" s="15" t="s">
        <v>2721</v>
      </c>
      <c r="H632" s="15"/>
      <c r="I632" s="15"/>
      <c r="J632" s="15" t="s">
        <v>2699</v>
      </c>
      <c r="K632" s="15" t="s">
        <v>16</v>
      </c>
      <c r="L632" s="15" t="s">
        <v>2747</v>
      </c>
      <c r="M632" s="15"/>
      <c r="N632" s="16"/>
    </row>
    <row r="633" spans="1:14" x14ac:dyDescent="0.25">
      <c r="A633" s="20"/>
      <c r="B633" s="35" t="s">
        <v>2746</v>
      </c>
      <c r="C633" s="42" t="s">
        <v>88</v>
      </c>
      <c r="D633" s="15" t="s">
        <v>557</v>
      </c>
      <c r="E633" s="52" t="s">
        <v>4324</v>
      </c>
      <c r="F633" s="15"/>
      <c r="G633" s="15" t="s">
        <v>2722</v>
      </c>
      <c r="H633" s="15"/>
      <c r="I633" s="15"/>
      <c r="J633" s="15" t="s">
        <v>2699</v>
      </c>
      <c r="K633" s="15" t="s">
        <v>16</v>
      </c>
      <c r="L633" s="15" t="s">
        <v>2261</v>
      </c>
      <c r="M633" s="15"/>
      <c r="N633" s="16"/>
    </row>
    <row r="634" spans="1:14" x14ac:dyDescent="0.25">
      <c r="A634" s="20"/>
      <c r="B634" s="35" t="s">
        <v>2744</v>
      </c>
      <c r="C634" s="42" t="s">
        <v>88</v>
      </c>
      <c r="D634" s="15" t="s">
        <v>560</v>
      </c>
      <c r="E634" s="52" t="s">
        <v>4325</v>
      </c>
      <c r="F634" s="15" t="s">
        <v>2720</v>
      </c>
      <c r="G634" s="15" t="s">
        <v>2721</v>
      </c>
      <c r="H634" s="15"/>
      <c r="I634" s="15"/>
      <c r="J634" s="15" t="s">
        <v>2699</v>
      </c>
      <c r="K634" s="15" t="s">
        <v>16</v>
      </c>
      <c r="L634" s="15" t="s">
        <v>2420</v>
      </c>
      <c r="M634" s="15"/>
      <c r="N634" s="16"/>
    </row>
    <row r="635" spans="1:14" x14ac:dyDescent="0.25">
      <c r="A635" s="20"/>
      <c r="B635" s="35" t="s">
        <v>2742</v>
      </c>
      <c r="C635" s="42" t="s">
        <v>88</v>
      </c>
      <c r="D635" s="15" t="s">
        <v>563</v>
      </c>
      <c r="E635" s="52" t="s">
        <v>4326</v>
      </c>
      <c r="F635" s="15" t="s">
        <v>2720</v>
      </c>
      <c r="G635" s="15" t="s">
        <v>2722</v>
      </c>
      <c r="H635" s="15"/>
      <c r="I635" s="15"/>
      <c r="J635" s="15" t="s">
        <v>2699</v>
      </c>
      <c r="K635" s="15" t="s">
        <v>16</v>
      </c>
      <c r="L635" s="15" t="s">
        <v>2233</v>
      </c>
      <c r="M635" s="15"/>
      <c r="N635" s="16"/>
    </row>
    <row r="636" spans="1:14" x14ac:dyDescent="0.25">
      <c r="A636" s="20"/>
      <c r="B636" s="35" t="s">
        <v>2737</v>
      </c>
      <c r="C636" s="42" t="s">
        <v>88</v>
      </c>
      <c r="D636" s="15" t="s">
        <v>566</v>
      </c>
      <c r="E636" s="52" t="s">
        <v>4327</v>
      </c>
      <c r="F636" s="15" t="s">
        <v>2720</v>
      </c>
      <c r="G636" s="15" t="s">
        <v>2721</v>
      </c>
      <c r="H636" s="15"/>
      <c r="I636" s="15"/>
      <c r="J636" s="15" t="s">
        <v>2699</v>
      </c>
      <c r="K636" s="15" t="s">
        <v>16</v>
      </c>
      <c r="L636" s="15" t="s">
        <v>2402</v>
      </c>
      <c r="M636" s="15"/>
      <c r="N636" s="16"/>
    </row>
    <row r="637" spans="1:14" x14ac:dyDescent="0.25">
      <c r="A637" s="20"/>
      <c r="B637" s="35" t="s">
        <v>2737</v>
      </c>
      <c r="C637" s="42" t="s">
        <v>88</v>
      </c>
      <c r="D637" s="15" t="s">
        <v>569</v>
      </c>
      <c r="E637" s="52" t="s">
        <v>4328</v>
      </c>
      <c r="F637" s="15" t="s">
        <v>2720</v>
      </c>
      <c r="G637" s="15" t="s">
        <v>2722</v>
      </c>
      <c r="H637" s="15"/>
      <c r="I637" s="15"/>
      <c r="J637" s="15" t="s">
        <v>2699</v>
      </c>
      <c r="K637" s="15" t="s">
        <v>16</v>
      </c>
      <c r="L637" s="15" t="s">
        <v>2284</v>
      </c>
      <c r="M637" s="15"/>
      <c r="N637" s="16"/>
    </row>
    <row r="638" spans="1:14" x14ac:dyDescent="0.25">
      <c r="A638" s="20"/>
      <c r="B638" s="35" t="s">
        <v>1900</v>
      </c>
      <c r="C638" s="42" t="s">
        <v>88</v>
      </c>
      <c r="D638" s="15" t="s">
        <v>572</v>
      </c>
      <c r="E638" s="52" t="s">
        <v>4329</v>
      </c>
      <c r="F638" s="15"/>
      <c r="G638" s="15"/>
      <c r="H638" s="15"/>
      <c r="I638" s="15"/>
      <c r="J638" s="15"/>
      <c r="K638" s="15" t="s">
        <v>16</v>
      </c>
      <c r="L638" s="15"/>
      <c r="M638" s="15"/>
      <c r="N638" s="16"/>
    </row>
    <row r="639" spans="1:14" x14ac:dyDescent="0.25">
      <c r="A639" s="20"/>
      <c r="B639" s="35" t="s">
        <v>4600</v>
      </c>
      <c r="C639" s="42" t="s">
        <v>88</v>
      </c>
      <c r="D639" s="15" t="s">
        <v>575</v>
      </c>
      <c r="E639" s="52" t="s">
        <v>4601</v>
      </c>
      <c r="F639" s="15"/>
      <c r="G639" s="15"/>
      <c r="H639" s="15"/>
      <c r="I639" s="15"/>
      <c r="J639" s="15" t="s">
        <v>4583</v>
      </c>
      <c r="K639" s="15" t="s">
        <v>2878</v>
      </c>
      <c r="L639" s="15" t="s">
        <v>2284</v>
      </c>
      <c r="M639" s="15"/>
      <c r="N639" s="16"/>
    </row>
    <row r="640" spans="1:14" ht="15.75" x14ac:dyDescent="0.25">
      <c r="A640" s="3">
        <v>7</v>
      </c>
      <c r="B640" s="3" t="s">
        <v>3467</v>
      </c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"/>
    </row>
    <row r="641" spans="1:14" x14ac:dyDescent="0.25">
      <c r="A641" s="36"/>
      <c r="B641" s="35" t="s">
        <v>1949</v>
      </c>
      <c r="C641" s="16" t="s">
        <v>12</v>
      </c>
      <c r="D641" s="15" t="s">
        <v>14</v>
      </c>
      <c r="E641" s="15" t="s">
        <v>1910</v>
      </c>
      <c r="F641" s="15"/>
      <c r="G641" s="15"/>
      <c r="H641" s="15"/>
      <c r="I641" s="15"/>
      <c r="J641" s="15" t="s">
        <v>2398</v>
      </c>
      <c r="K641" s="15" t="s">
        <v>246</v>
      </c>
      <c r="L641" s="15" t="s">
        <v>1590</v>
      </c>
      <c r="M641" s="15"/>
      <c r="N641" s="16"/>
    </row>
    <row r="642" spans="1:14" x14ac:dyDescent="0.25">
      <c r="A642" s="36"/>
      <c r="B642" s="35" t="s">
        <v>1947</v>
      </c>
      <c r="C642" s="16" t="s">
        <v>88</v>
      </c>
      <c r="D642" s="15" t="s">
        <v>19</v>
      </c>
      <c r="E642" s="15" t="s">
        <v>1912</v>
      </c>
      <c r="F642" s="15"/>
      <c r="G642" s="15"/>
      <c r="H642" s="15"/>
      <c r="I642" s="15"/>
      <c r="J642" s="15"/>
      <c r="K642" s="15" t="s">
        <v>16</v>
      </c>
      <c r="L642" s="15"/>
      <c r="M642" s="15"/>
      <c r="N642" s="16"/>
    </row>
    <row r="643" spans="1:14" x14ac:dyDescent="0.25">
      <c r="A643" s="36"/>
      <c r="B643" s="35" t="s">
        <v>1945</v>
      </c>
      <c r="C643" s="16" t="s">
        <v>12</v>
      </c>
      <c r="D643" s="15" t="s">
        <v>22</v>
      </c>
      <c r="E643" s="15" t="s">
        <v>1914</v>
      </c>
      <c r="F643" s="15"/>
      <c r="G643" s="15"/>
      <c r="H643" s="15"/>
      <c r="I643" s="15"/>
      <c r="J643" s="15"/>
      <c r="K643" s="15" t="s">
        <v>16</v>
      </c>
      <c r="L643" s="15"/>
      <c r="M643" s="15"/>
      <c r="N643" s="16"/>
    </row>
    <row r="644" spans="1:14" x14ac:dyDescent="0.25">
      <c r="A644" s="36"/>
      <c r="B644" s="35" t="s">
        <v>3207</v>
      </c>
      <c r="C644" s="16" t="s">
        <v>12</v>
      </c>
      <c r="D644" s="15" t="s">
        <v>25</v>
      </c>
      <c r="E644" s="15" t="s">
        <v>1916</v>
      </c>
      <c r="F644" s="15"/>
      <c r="G644" s="15"/>
      <c r="H644" s="15"/>
      <c r="I644" s="15"/>
      <c r="J644" s="15" t="s">
        <v>2950</v>
      </c>
      <c r="K644" s="15" t="s">
        <v>16</v>
      </c>
      <c r="L644" s="15" t="s">
        <v>2259</v>
      </c>
      <c r="M644" s="15"/>
      <c r="N644" s="16"/>
    </row>
    <row r="645" spans="1:14" x14ac:dyDescent="0.25">
      <c r="A645" s="36"/>
      <c r="B645" s="35" t="s">
        <v>2880</v>
      </c>
      <c r="C645" s="16" t="s">
        <v>12</v>
      </c>
      <c r="D645" s="15" t="s">
        <v>28</v>
      </c>
      <c r="E645" s="15" t="s">
        <v>1918</v>
      </c>
      <c r="F645" s="15"/>
      <c r="G645" s="15"/>
      <c r="H645" s="15"/>
      <c r="I645" s="15"/>
      <c r="J645" s="15"/>
      <c r="K645" s="15" t="s">
        <v>16</v>
      </c>
      <c r="L645" s="15"/>
      <c r="M645" s="15"/>
      <c r="N645" s="16"/>
    </row>
    <row r="646" spans="1:14" x14ac:dyDescent="0.25">
      <c r="A646" s="36"/>
      <c r="B646" s="35" t="s">
        <v>1941</v>
      </c>
      <c r="C646" s="16" t="s">
        <v>88</v>
      </c>
      <c r="D646" s="15" t="s">
        <v>31</v>
      </c>
      <c r="E646" s="15" t="s">
        <v>1920</v>
      </c>
      <c r="F646" s="15"/>
      <c r="G646" s="15"/>
      <c r="H646" s="15"/>
      <c r="I646" s="15"/>
      <c r="J646" s="15"/>
      <c r="K646" s="15" t="s">
        <v>16</v>
      </c>
      <c r="L646" s="15"/>
      <c r="M646" s="15"/>
      <c r="N646" s="16"/>
    </row>
    <row r="647" spans="1:14" x14ac:dyDescent="0.25">
      <c r="A647" s="36"/>
      <c r="B647" s="35" t="s">
        <v>2774</v>
      </c>
      <c r="C647" s="16" t="s">
        <v>88</v>
      </c>
      <c r="D647" s="15" t="s">
        <v>34</v>
      </c>
      <c r="E647" s="15" t="s">
        <v>1922</v>
      </c>
      <c r="F647" s="15"/>
      <c r="G647" s="15"/>
      <c r="H647" s="15"/>
      <c r="I647" s="15"/>
      <c r="J647" s="15" t="s">
        <v>2767</v>
      </c>
      <c r="K647" s="15" t="s">
        <v>16</v>
      </c>
      <c r="L647" s="15" t="s">
        <v>2771</v>
      </c>
      <c r="M647" s="15"/>
      <c r="N647" s="16" t="s">
        <v>2772</v>
      </c>
    </row>
    <row r="648" spans="1:14" x14ac:dyDescent="0.25">
      <c r="A648" s="36"/>
      <c r="B648" s="35" t="s">
        <v>2774</v>
      </c>
      <c r="C648" s="16" t="s">
        <v>88</v>
      </c>
      <c r="D648" s="15" t="s">
        <v>37</v>
      </c>
      <c r="E648" s="15" t="s">
        <v>1924</v>
      </c>
      <c r="F648" s="15"/>
      <c r="G648" s="15"/>
      <c r="H648" s="15"/>
      <c r="I648" s="15"/>
      <c r="J648" s="15" t="s">
        <v>2767</v>
      </c>
      <c r="K648" s="15" t="s">
        <v>16</v>
      </c>
      <c r="L648" s="15" t="s">
        <v>2780</v>
      </c>
      <c r="M648" s="15"/>
      <c r="N648" s="16" t="s">
        <v>2779</v>
      </c>
    </row>
    <row r="649" spans="1:14" x14ac:dyDescent="0.25">
      <c r="A649" s="36"/>
      <c r="B649" s="35" t="s">
        <v>1939</v>
      </c>
      <c r="C649" s="16" t="s">
        <v>12</v>
      </c>
      <c r="D649" s="15" t="s">
        <v>40</v>
      </c>
      <c r="E649" s="15" t="s">
        <v>1926</v>
      </c>
      <c r="F649" s="15"/>
      <c r="G649" s="15"/>
      <c r="H649" s="15"/>
      <c r="I649" s="15"/>
      <c r="J649" s="15"/>
      <c r="K649" s="15" t="s">
        <v>16</v>
      </c>
      <c r="L649" s="15"/>
      <c r="M649" s="15"/>
      <c r="N649" s="16"/>
    </row>
    <row r="650" spans="1:14" x14ac:dyDescent="0.25">
      <c r="A650" s="36"/>
      <c r="B650" s="35" t="s">
        <v>1937</v>
      </c>
      <c r="C650" s="10" t="s">
        <v>88</v>
      </c>
      <c r="D650" s="15" t="s">
        <v>43</v>
      </c>
      <c r="E650" s="15" t="s">
        <v>1928</v>
      </c>
      <c r="F650" s="15"/>
      <c r="G650" s="15"/>
      <c r="H650" s="15"/>
      <c r="I650" s="15"/>
      <c r="J650" s="15"/>
      <c r="K650" s="15" t="s">
        <v>16</v>
      </c>
      <c r="L650" s="15"/>
      <c r="M650" s="15"/>
      <c r="N650" s="16"/>
    </row>
    <row r="651" spans="1:14" x14ac:dyDescent="0.25">
      <c r="A651" s="36"/>
      <c r="B651" s="35" t="s">
        <v>1935</v>
      </c>
      <c r="C651" s="10" t="s">
        <v>88</v>
      </c>
      <c r="D651" s="15" t="s">
        <v>46</v>
      </c>
      <c r="E651" s="15" t="s">
        <v>1930</v>
      </c>
      <c r="F651" s="15"/>
      <c r="G651" s="15"/>
      <c r="H651" s="15"/>
      <c r="I651" s="15"/>
      <c r="J651" s="15"/>
      <c r="K651" s="15" t="s">
        <v>16</v>
      </c>
      <c r="L651" s="15"/>
      <c r="M651" s="15"/>
      <c r="N651" s="16"/>
    </row>
    <row r="652" spans="1:14" x14ac:dyDescent="0.25">
      <c r="A652" s="36"/>
      <c r="B652" s="35" t="s">
        <v>1933</v>
      </c>
      <c r="C652" s="10" t="s">
        <v>88</v>
      </c>
      <c r="D652" s="15" t="s">
        <v>72</v>
      </c>
      <c r="E652" s="15" t="s">
        <v>1932</v>
      </c>
      <c r="F652" s="15"/>
      <c r="G652" s="15"/>
      <c r="H652" s="15"/>
      <c r="I652" s="15"/>
      <c r="J652" s="15"/>
      <c r="K652" s="15" t="s">
        <v>16</v>
      </c>
      <c r="L652" s="15"/>
      <c r="M652" s="15"/>
      <c r="N652" s="16"/>
    </row>
    <row r="653" spans="1:14" x14ac:dyDescent="0.25">
      <c r="A653" s="36"/>
      <c r="B653" s="35" t="s">
        <v>1931</v>
      </c>
      <c r="C653" s="10" t="s">
        <v>88</v>
      </c>
      <c r="D653" s="15" t="s">
        <v>75</v>
      </c>
      <c r="E653" s="15" t="s">
        <v>1934</v>
      </c>
      <c r="F653" s="15"/>
      <c r="G653" s="15"/>
      <c r="H653" s="15"/>
      <c r="I653" s="15"/>
      <c r="J653" s="15"/>
      <c r="K653" s="15" t="s">
        <v>16</v>
      </c>
      <c r="L653" s="15"/>
      <c r="M653" s="15"/>
      <c r="N653" s="16"/>
    </row>
    <row r="654" spans="1:14" x14ac:dyDescent="0.25">
      <c r="A654" s="36"/>
      <c r="B654" s="35" t="s">
        <v>1929</v>
      </c>
      <c r="C654" s="10" t="s">
        <v>88</v>
      </c>
      <c r="D654" s="15" t="s">
        <v>77</v>
      </c>
      <c r="E654" s="15" t="s">
        <v>1936</v>
      </c>
      <c r="F654" s="15"/>
      <c r="G654" s="15"/>
      <c r="H654" s="15"/>
      <c r="I654" s="15"/>
      <c r="J654" s="15"/>
      <c r="K654" s="15" t="s">
        <v>16</v>
      </c>
      <c r="L654" s="15"/>
      <c r="M654" s="15"/>
      <c r="N654" s="16"/>
    </row>
    <row r="655" spans="1:14" x14ac:dyDescent="0.25">
      <c r="A655" s="36"/>
      <c r="B655" s="35" t="s">
        <v>2764</v>
      </c>
      <c r="C655" s="10" t="s">
        <v>88</v>
      </c>
      <c r="D655" s="15" t="s">
        <v>80</v>
      </c>
      <c r="E655" s="15" t="s">
        <v>1938</v>
      </c>
      <c r="F655" s="15"/>
      <c r="G655" s="15"/>
      <c r="H655" s="15"/>
      <c r="I655" s="15"/>
      <c r="J655" s="15" t="s">
        <v>2767</v>
      </c>
      <c r="K655" s="15" t="s">
        <v>16</v>
      </c>
      <c r="L655" s="15" t="s">
        <v>2252</v>
      </c>
      <c r="M655" s="15"/>
      <c r="N655" s="16" t="s">
        <v>2772</v>
      </c>
    </row>
    <row r="656" spans="1:14" x14ac:dyDescent="0.25">
      <c r="A656" s="36"/>
      <c r="B656" s="35" t="s">
        <v>2776</v>
      </c>
      <c r="C656" s="10" t="s">
        <v>88</v>
      </c>
      <c r="D656" s="15" t="s">
        <v>84</v>
      </c>
      <c r="E656" s="15" t="s">
        <v>1940</v>
      </c>
      <c r="F656" s="15"/>
      <c r="G656" s="15"/>
      <c r="H656" s="15"/>
      <c r="I656" s="15"/>
      <c r="J656" s="15" t="s">
        <v>2767</v>
      </c>
      <c r="K656" s="15" t="s">
        <v>16</v>
      </c>
      <c r="L656" s="15" t="s">
        <v>2419</v>
      </c>
      <c r="M656" s="15"/>
      <c r="N656" s="16"/>
    </row>
    <row r="657" spans="1:14" x14ac:dyDescent="0.25">
      <c r="A657" s="36"/>
      <c r="B657" s="35" t="s">
        <v>2777</v>
      </c>
      <c r="C657" s="10" t="s">
        <v>88</v>
      </c>
      <c r="D657" s="15" t="s">
        <v>123</v>
      </c>
      <c r="E657" s="15" t="s">
        <v>1942</v>
      </c>
      <c r="F657" s="15"/>
      <c r="G657" s="15"/>
      <c r="H657" s="15"/>
      <c r="I657" s="15"/>
      <c r="J657" s="15" t="s">
        <v>2767</v>
      </c>
      <c r="K657" s="15" t="s">
        <v>16</v>
      </c>
      <c r="L657" s="15" t="s">
        <v>2405</v>
      </c>
      <c r="M657" s="15"/>
      <c r="N657" s="16"/>
    </row>
    <row r="658" spans="1:14" x14ac:dyDescent="0.25">
      <c r="A658" s="36"/>
      <c r="B658" s="35" t="s">
        <v>2773</v>
      </c>
      <c r="C658" s="10" t="s">
        <v>88</v>
      </c>
      <c r="D658" s="15" t="s">
        <v>212</v>
      </c>
      <c r="E658" s="15" t="s">
        <v>1944</v>
      </c>
      <c r="F658" s="15"/>
      <c r="G658" s="15"/>
      <c r="H658" s="15"/>
      <c r="I658" s="15"/>
      <c r="J658" s="15" t="s">
        <v>2767</v>
      </c>
      <c r="K658" s="15" t="s">
        <v>16</v>
      </c>
      <c r="L658" s="15" t="s">
        <v>2768</v>
      </c>
      <c r="M658" s="15"/>
      <c r="N658" s="16" t="s">
        <v>2772</v>
      </c>
    </row>
    <row r="659" spans="1:14" x14ac:dyDescent="0.25">
      <c r="A659" s="36"/>
      <c r="B659" s="35" t="s">
        <v>2773</v>
      </c>
      <c r="C659" s="10" t="s">
        <v>88</v>
      </c>
      <c r="D659" s="15" t="s">
        <v>214</v>
      </c>
      <c r="E659" s="15" t="s">
        <v>1946</v>
      </c>
      <c r="F659" s="15"/>
      <c r="G659" s="15"/>
      <c r="H659" s="15"/>
      <c r="I659" s="15"/>
      <c r="J659" s="15" t="s">
        <v>2767</v>
      </c>
      <c r="K659" s="15" t="s">
        <v>16</v>
      </c>
      <c r="L659" s="15" t="s">
        <v>2391</v>
      </c>
      <c r="M659" s="15"/>
      <c r="N659" s="16" t="s">
        <v>2779</v>
      </c>
    </row>
    <row r="660" spans="1:14" x14ac:dyDescent="0.25">
      <c r="A660" s="36"/>
      <c r="B660" s="35" t="s">
        <v>1927</v>
      </c>
      <c r="C660" s="16" t="s">
        <v>88</v>
      </c>
      <c r="D660" s="15" t="s">
        <v>216</v>
      </c>
      <c r="E660" s="15" t="s">
        <v>1948</v>
      </c>
      <c r="F660" s="15"/>
      <c r="G660" s="15"/>
      <c r="H660" s="15"/>
      <c r="I660" s="15"/>
      <c r="J660" s="15" t="s">
        <v>2767</v>
      </c>
      <c r="K660" s="15" t="s">
        <v>16</v>
      </c>
      <c r="L660" s="15" t="s">
        <v>3182</v>
      </c>
      <c r="M660" s="15"/>
      <c r="N660" s="16"/>
    </row>
    <row r="661" spans="1:14" x14ac:dyDescent="0.25">
      <c r="A661" s="36"/>
      <c r="B661" s="35" t="s">
        <v>2775</v>
      </c>
      <c r="C661" s="16" t="s">
        <v>88</v>
      </c>
      <c r="D661" s="15" t="s">
        <v>218</v>
      </c>
      <c r="E661" s="15" t="s">
        <v>1950</v>
      </c>
      <c r="F661" s="15"/>
      <c r="G661" s="15"/>
      <c r="H661" s="15"/>
      <c r="I661" s="15"/>
      <c r="J661" s="15" t="s">
        <v>2767</v>
      </c>
      <c r="K661" s="15" t="s">
        <v>16</v>
      </c>
      <c r="L661" s="15" t="s">
        <v>2768</v>
      </c>
      <c r="M661" s="15"/>
      <c r="N661" s="16" t="s">
        <v>2770</v>
      </c>
    </row>
    <row r="662" spans="1:14" x14ac:dyDescent="0.25">
      <c r="A662" s="36"/>
      <c r="B662" s="35" t="s">
        <v>2775</v>
      </c>
      <c r="C662" s="16" t="s">
        <v>88</v>
      </c>
      <c r="D662" s="15" t="s">
        <v>220</v>
      </c>
      <c r="E662" s="15" t="s">
        <v>1951</v>
      </c>
      <c r="F662" s="15"/>
      <c r="G662" s="15"/>
      <c r="H662" s="15"/>
      <c r="I662" s="15"/>
      <c r="J662" s="15" t="s">
        <v>2767</v>
      </c>
      <c r="K662" s="15" t="s">
        <v>16</v>
      </c>
      <c r="L662" s="15" t="s">
        <v>2769</v>
      </c>
      <c r="M662" s="15"/>
      <c r="N662" s="16" t="s">
        <v>2772</v>
      </c>
    </row>
    <row r="663" spans="1:14" x14ac:dyDescent="0.25">
      <c r="A663" s="36"/>
      <c r="B663" s="35" t="s">
        <v>2775</v>
      </c>
      <c r="C663" s="16" t="s">
        <v>88</v>
      </c>
      <c r="D663" s="15" t="s">
        <v>222</v>
      </c>
      <c r="E663" s="15" t="s">
        <v>3455</v>
      </c>
      <c r="F663" s="15"/>
      <c r="G663" s="15"/>
      <c r="H663" s="15"/>
      <c r="I663" s="15"/>
      <c r="J663" s="15" t="s">
        <v>2767</v>
      </c>
      <c r="K663" s="15" t="s">
        <v>16</v>
      </c>
      <c r="L663" s="15" t="s">
        <v>2778</v>
      </c>
      <c r="M663" s="15"/>
      <c r="N663" s="16" t="s">
        <v>2779</v>
      </c>
    </row>
    <row r="664" spans="1:14" x14ac:dyDescent="0.25">
      <c r="A664" s="36"/>
      <c r="B664" s="35" t="s">
        <v>2766</v>
      </c>
      <c r="C664" s="16" t="s">
        <v>88</v>
      </c>
      <c r="D664" s="15" t="s">
        <v>224</v>
      </c>
      <c r="E664" s="15" t="s">
        <v>4330</v>
      </c>
      <c r="F664" s="15"/>
      <c r="G664" s="15"/>
      <c r="H664" s="15"/>
      <c r="I664" s="15"/>
      <c r="J664" s="15" t="s">
        <v>2767</v>
      </c>
      <c r="K664" s="15" t="s">
        <v>16</v>
      </c>
      <c r="L664" s="15" t="s">
        <v>2653</v>
      </c>
      <c r="M664" s="15"/>
      <c r="N664" s="16" t="s">
        <v>2772</v>
      </c>
    </row>
    <row r="665" spans="1:14" x14ac:dyDescent="0.25">
      <c r="A665" s="36"/>
      <c r="B665" s="35" t="s">
        <v>2765</v>
      </c>
      <c r="C665" s="16" t="s">
        <v>88</v>
      </c>
      <c r="D665" s="15" t="s">
        <v>226</v>
      </c>
      <c r="E665" s="15" t="s">
        <v>4331</v>
      </c>
      <c r="F665" s="15"/>
      <c r="G665" s="15"/>
      <c r="H665" s="15"/>
      <c r="I665" s="15"/>
      <c r="J665" s="15" t="s">
        <v>2767</v>
      </c>
      <c r="K665" s="15" t="s">
        <v>16</v>
      </c>
      <c r="L665" s="15" t="s">
        <v>1515</v>
      </c>
      <c r="M665" s="15"/>
      <c r="N665" s="16" t="s">
        <v>2772</v>
      </c>
    </row>
    <row r="666" spans="1:14" x14ac:dyDescent="0.25">
      <c r="A666" s="36"/>
      <c r="B666" s="35" t="s">
        <v>1925</v>
      </c>
      <c r="C666" s="16" t="s">
        <v>12</v>
      </c>
      <c r="D666" s="15" t="s">
        <v>228</v>
      </c>
      <c r="E666" s="15" t="s">
        <v>4332</v>
      </c>
      <c r="F666" s="15"/>
      <c r="G666" s="15"/>
      <c r="H666" s="15"/>
      <c r="I666" s="15"/>
      <c r="J666" s="15"/>
      <c r="K666" s="15" t="s">
        <v>16</v>
      </c>
      <c r="L666" s="15"/>
      <c r="M666" s="15"/>
      <c r="N666" s="16"/>
    </row>
    <row r="667" spans="1:14" x14ac:dyDescent="0.25">
      <c r="A667" s="36"/>
      <c r="B667" s="35" t="s">
        <v>1923</v>
      </c>
      <c r="C667" s="16" t="s">
        <v>12</v>
      </c>
      <c r="D667" s="15" t="s">
        <v>230</v>
      </c>
      <c r="E667" s="15" t="s">
        <v>4333</v>
      </c>
      <c r="F667" s="52"/>
      <c r="G667" s="52"/>
      <c r="H667" s="52"/>
      <c r="I667" s="52"/>
      <c r="J667" s="52"/>
      <c r="K667" s="15" t="s">
        <v>246</v>
      </c>
      <c r="L667" s="15"/>
      <c r="M667" s="15"/>
      <c r="N667" s="16"/>
    </row>
    <row r="668" spans="1:14" x14ac:dyDescent="0.25">
      <c r="A668" s="36"/>
      <c r="B668" s="35" t="s">
        <v>1921</v>
      </c>
      <c r="C668" s="16" t="s">
        <v>88</v>
      </c>
      <c r="D668" s="15" t="s">
        <v>232</v>
      </c>
      <c r="E668" s="15" t="s">
        <v>4334</v>
      </c>
      <c r="F668" s="52"/>
      <c r="G668" s="52"/>
      <c r="H668" s="52"/>
      <c r="I668" s="52"/>
      <c r="J668" s="52"/>
      <c r="K668" s="15" t="s">
        <v>16</v>
      </c>
      <c r="L668" s="15"/>
      <c r="M668" s="15"/>
      <c r="N668" s="16"/>
    </row>
    <row r="669" spans="1:14" x14ac:dyDescent="0.25">
      <c r="A669" s="36"/>
      <c r="B669" s="35" t="s">
        <v>1919</v>
      </c>
      <c r="C669" s="16" t="s">
        <v>88</v>
      </c>
      <c r="D669" s="15" t="s">
        <v>234</v>
      </c>
      <c r="E669" s="15" t="s">
        <v>4335</v>
      </c>
      <c r="F669" s="52"/>
      <c r="G669" s="52"/>
      <c r="H669" s="52"/>
      <c r="I669" s="52"/>
      <c r="J669" s="52"/>
      <c r="K669" s="15" t="s">
        <v>16</v>
      </c>
      <c r="L669" s="15"/>
      <c r="M669" s="15"/>
      <c r="N669" s="16"/>
    </row>
    <row r="670" spans="1:14" x14ac:dyDescent="0.25">
      <c r="A670" s="36"/>
      <c r="B670" s="35" t="s">
        <v>1917</v>
      </c>
      <c r="C670" s="16" t="s">
        <v>88</v>
      </c>
      <c r="D670" s="15" t="s">
        <v>236</v>
      </c>
      <c r="E670" s="15" t="s">
        <v>4336</v>
      </c>
      <c r="F670" s="15"/>
      <c r="G670" s="15"/>
      <c r="H670" s="15"/>
      <c r="I670" s="15"/>
      <c r="J670" s="15"/>
      <c r="K670" s="15" t="s">
        <v>16</v>
      </c>
      <c r="L670" s="15"/>
      <c r="M670" s="15"/>
      <c r="N670" s="16"/>
    </row>
    <row r="671" spans="1:14" x14ac:dyDescent="0.25">
      <c r="A671" s="36"/>
      <c r="B671" s="35" t="s">
        <v>1915</v>
      </c>
      <c r="C671" s="16" t="s">
        <v>88</v>
      </c>
      <c r="D671" s="15" t="s">
        <v>238</v>
      </c>
      <c r="E671" s="15" t="s">
        <v>4337</v>
      </c>
      <c r="F671" s="15"/>
      <c r="G671" s="15"/>
      <c r="H671" s="15"/>
      <c r="I671" s="15"/>
      <c r="J671" s="15"/>
      <c r="K671" s="15" t="s">
        <v>90</v>
      </c>
      <c r="L671" s="15"/>
      <c r="M671" s="15"/>
      <c r="N671" s="16"/>
    </row>
    <row r="672" spans="1:14" x14ac:dyDescent="0.25">
      <c r="A672" s="36"/>
      <c r="B672" s="35" t="s">
        <v>1913</v>
      </c>
      <c r="C672" s="16" t="s">
        <v>88</v>
      </c>
      <c r="D672" s="15" t="s">
        <v>240</v>
      </c>
      <c r="E672" s="15" t="s">
        <v>4338</v>
      </c>
      <c r="F672" s="15"/>
      <c r="G672" s="15"/>
      <c r="H672" s="15"/>
      <c r="I672" s="15"/>
      <c r="J672" s="15"/>
      <c r="K672" s="15" t="s">
        <v>16</v>
      </c>
      <c r="L672" s="15"/>
      <c r="M672" s="15"/>
      <c r="N672" s="16"/>
    </row>
    <row r="673" spans="1:14" x14ac:dyDescent="0.25">
      <c r="A673" s="36"/>
      <c r="B673" s="35" t="s">
        <v>1911</v>
      </c>
      <c r="C673" s="16" t="s">
        <v>88</v>
      </c>
      <c r="D673" s="15" t="s">
        <v>334</v>
      </c>
      <c r="E673" s="15" t="s">
        <v>4339</v>
      </c>
      <c r="F673" s="15"/>
      <c r="G673" s="15"/>
      <c r="H673" s="15"/>
      <c r="I673" s="15"/>
      <c r="J673" s="15"/>
      <c r="K673" s="15" t="s">
        <v>16</v>
      </c>
      <c r="L673" s="15"/>
      <c r="M673" s="15"/>
      <c r="N673" s="16"/>
    </row>
    <row r="674" spans="1:14" x14ac:dyDescent="0.25">
      <c r="A674" s="36"/>
      <c r="B674" s="35" t="s">
        <v>263</v>
      </c>
      <c r="C674" s="16" t="s">
        <v>12</v>
      </c>
      <c r="D674" s="15" t="s">
        <v>337</v>
      </c>
      <c r="E674" s="15" t="s">
        <v>4340</v>
      </c>
      <c r="F674" s="15"/>
      <c r="G674" s="15"/>
      <c r="H674" s="15"/>
      <c r="I674" s="15"/>
      <c r="J674" s="15"/>
      <c r="K674" s="15" t="s">
        <v>90</v>
      </c>
      <c r="L674" s="15"/>
      <c r="M674" s="15"/>
      <c r="N674" s="16"/>
    </row>
    <row r="675" spans="1:14" x14ac:dyDescent="0.25">
      <c r="A675" s="36"/>
      <c r="B675" s="35" t="s">
        <v>1943</v>
      </c>
      <c r="C675" s="16" t="s">
        <v>88</v>
      </c>
      <c r="D675" s="15" t="s">
        <v>340</v>
      </c>
      <c r="E675" s="15" t="s">
        <v>4341</v>
      </c>
      <c r="F675" s="15"/>
      <c r="G675" s="15"/>
      <c r="H675" s="15"/>
      <c r="I675" s="15"/>
      <c r="J675" s="15"/>
      <c r="K675" s="15" t="s">
        <v>16</v>
      </c>
      <c r="L675" s="15"/>
      <c r="M675" s="15"/>
      <c r="N675" s="16"/>
    </row>
    <row r="676" spans="1:14" x14ac:dyDescent="0.25">
      <c r="A676" s="36"/>
      <c r="B676" s="35" t="s">
        <v>4640</v>
      </c>
      <c r="C676" s="16" t="s">
        <v>88</v>
      </c>
      <c r="D676" s="15" t="s">
        <v>343</v>
      </c>
      <c r="E676" s="15" t="s">
        <v>4641</v>
      </c>
      <c r="F676" s="15"/>
      <c r="G676" s="15"/>
      <c r="H676" s="15"/>
      <c r="I676" s="15"/>
      <c r="J676" s="15" t="s">
        <v>2952</v>
      </c>
      <c r="K676" s="15" t="s">
        <v>16</v>
      </c>
      <c r="L676" s="15" t="s">
        <v>4642</v>
      </c>
      <c r="M676" s="15"/>
      <c r="N676" s="16"/>
    </row>
    <row r="677" spans="1:14" ht="15.75" x14ac:dyDescent="0.25">
      <c r="A677" s="3">
        <v>8</v>
      </c>
      <c r="B677" s="3" t="s">
        <v>2242</v>
      </c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"/>
    </row>
    <row r="678" spans="1:14" x14ac:dyDescent="0.25">
      <c r="A678" s="13"/>
      <c r="B678" s="35" t="s">
        <v>1968</v>
      </c>
      <c r="C678" s="42" t="s">
        <v>88</v>
      </c>
      <c r="D678" s="15" t="s">
        <v>14</v>
      </c>
      <c r="E678" s="15" t="s">
        <v>1953</v>
      </c>
      <c r="F678" s="15"/>
      <c r="G678" s="15"/>
      <c r="H678" s="15"/>
      <c r="I678" s="15"/>
      <c r="J678" s="15"/>
      <c r="K678" s="15" t="s">
        <v>16</v>
      </c>
      <c r="L678" s="15"/>
      <c r="M678" s="15"/>
      <c r="N678" s="16"/>
    </row>
    <row r="679" spans="1:14" x14ac:dyDescent="0.25">
      <c r="A679" s="13"/>
      <c r="B679" s="35" t="s">
        <v>3320</v>
      </c>
      <c r="C679" s="42" t="s">
        <v>88</v>
      </c>
      <c r="D679" s="15" t="s">
        <v>19</v>
      </c>
      <c r="E679" s="15" t="s">
        <v>1955</v>
      </c>
      <c r="F679" s="15"/>
      <c r="G679" s="15"/>
      <c r="H679" s="15"/>
      <c r="I679" s="15"/>
      <c r="J679" s="15" t="s">
        <v>3321</v>
      </c>
      <c r="K679" s="15" t="s">
        <v>16</v>
      </c>
      <c r="L679" s="15" t="s">
        <v>2284</v>
      </c>
      <c r="M679" s="15"/>
      <c r="N679" s="16"/>
    </row>
    <row r="680" spans="1:14" x14ac:dyDescent="0.25">
      <c r="A680" s="13"/>
      <c r="B680" s="35" t="s">
        <v>1970</v>
      </c>
      <c r="C680" s="42" t="s">
        <v>88</v>
      </c>
      <c r="D680" s="15" t="s">
        <v>22</v>
      </c>
      <c r="E680" s="15" t="s">
        <v>1957</v>
      </c>
      <c r="F680" s="15"/>
      <c r="G680" s="15"/>
      <c r="H680" s="15"/>
      <c r="I680" s="15"/>
      <c r="J680" s="15"/>
      <c r="K680" s="15" t="s">
        <v>16</v>
      </c>
      <c r="L680" s="15"/>
      <c r="M680" s="15"/>
      <c r="N680" s="16"/>
    </row>
    <row r="681" spans="1:14" x14ac:dyDescent="0.25">
      <c r="A681" s="13"/>
      <c r="B681" s="35" t="s">
        <v>1958</v>
      </c>
      <c r="C681" s="42" t="s">
        <v>1268</v>
      </c>
      <c r="D681" s="15" t="s">
        <v>25</v>
      </c>
      <c r="E681" s="15" t="s">
        <v>1959</v>
      </c>
      <c r="F681" s="15"/>
      <c r="G681" s="15"/>
      <c r="H681" s="15"/>
      <c r="I681" s="15"/>
      <c r="J681" s="15"/>
      <c r="K681" s="15" t="s">
        <v>16</v>
      </c>
      <c r="L681" s="15"/>
      <c r="M681" s="15"/>
      <c r="N681" s="16"/>
    </row>
    <row r="682" spans="1:14" x14ac:dyDescent="0.25">
      <c r="A682" s="13"/>
      <c r="B682" s="35" t="s">
        <v>3010</v>
      </c>
      <c r="C682" s="42" t="s">
        <v>12</v>
      </c>
      <c r="D682" s="15" t="s">
        <v>28</v>
      </c>
      <c r="E682" s="15" t="s">
        <v>1961</v>
      </c>
      <c r="F682" s="15"/>
      <c r="G682" s="15"/>
      <c r="H682" s="15"/>
      <c r="I682" s="15"/>
      <c r="J682" s="15" t="s">
        <v>2970</v>
      </c>
      <c r="K682" s="15" t="s">
        <v>16</v>
      </c>
      <c r="L682" s="15" t="s">
        <v>2257</v>
      </c>
      <c r="M682" s="15"/>
      <c r="N682" s="16"/>
    </row>
    <row r="683" spans="1:14" ht="25.5" x14ac:dyDescent="0.25">
      <c r="A683" s="13"/>
      <c r="B683" s="35" t="s">
        <v>3095</v>
      </c>
      <c r="C683" s="42" t="s">
        <v>12</v>
      </c>
      <c r="D683" s="15" t="s">
        <v>31</v>
      </c>
      <c r="E683" s="15" t="s">
        <v>1962</v>
      </c>
      <c r="F683" s="15"/>
      <c r="G683" s="15"/>
      <c r="H683" s="15"/>
      <c r="I683" s="15" t="s">
        <v>3096</v>
      </c>
      <c r="J683" s="15" t="s">
        <v>2833</v>
      </c>
      <c r="K683" s="15" t="s">
        <v>16</v>
      </c>
      <c r="L683" s="15" t="s">
        <v>2284</v>
      </c>
      <c r="M683" s="15"/>
      <c r="N683" s="16"/>
    </row>
    <row r="684" spans="1:14" ht="25.5" x14ac:dyDescent="0.25">
      <c r="A684" s="13"/>
      <c r="B684" s="35" t="s">
        <v>3095</v>
      </c>
      <c r="C684" s="42" t="s">
        <v>12</v>
      </c>
      <c r="D684" s="15" t="s">
        <v>34</v>
      </c>
      <c r="E684" s="15" t="s">
        <v>1963</v>
      </c>
      <c r="F684" s="15"/>
      <c r="G684" s="15"/>
      <c r="H684" s="15"/>
      <c r="I684" s="15" t="s">
        <v>3097</v>
      </c>
      <c r="J684" s="15" t="s">
        <v>2833</v>
      </c>
      <c r="K684" s="15" t="s">
        <v>16</v>
      </c>
      <c r="L684" s="15" t="s">
        <v>2284</v>
      </c>
      <c r="M684" s="15"/>
      <c r="N684" s="16"/>
    </row>
    <row r="685" spans="1:14" ht="25.5" x14ac:dyDescent="0.25">
      <c r="A685" s="13"/>
      <c r="B685" s="35" t="s">
        <v>3095</v>
      </c>
      <c r="C685" s="42" t="s">
        <v>12</v>
      </c>
      <c r="D685" s="15" t="s">
        <v>37</v>
      </c>
      <c r="E685" s="15" t="s">
        <v>1964</v>
      </c>
      <c r="F685" s="15"/>
      <c r="G685" s="15"/>
      <c r="H685" s="15"/>
      <c r="I685" s="15" t="s">
        <v>3098</v>
      </c>
      <c r="J685" s="15" t="s">
        <v>2833</v>
      </c>
      <c r="K685" s="15" t="s">
        <v>16</v>
      </c>
      <c r="L685" s="15" t="s">
        <v>2284</v>
      </c>
      <c r="M685" s="15"/>
      <c r="N685" s="16"/>
    </row>
    <row r="686" spans="1:14" x14ac:dyDescent="0.25">
      <c r="A686" s="13"/>
      <c r="B686" s="35" t="s">
        <v>3126</v>
      </c>
      <c r="C686" s="42" t="s">
        <v>12</v>
      </c>
      <c r="D686" s="15" t="s">
        <v>40</v>
      </c>
      <c r="E686" s="15" t="s">
        <v>1966</v>
      </c>
      <c r="F686" s="15"/>
      <c r="G686" s="15"/>
      <c r="H686" s="15"/>
      <c r="I686" s="15" t="s">
        <v>3127</v>
      </c>
      <c r="J686" s="15" t="s">
        <v>2828</v>
      </c>
      <c r="K686" s="15" t="s">
        <v>16</v>
      </c>
      <c r="L686" s="15" t="s">
        <v>2405</v>
      </c>
      <c r="M686" s="15"/>
      <c r="N686" s="16"/>
    </row>
    <row r="687" spans="1:14" x14ac:dyDescent="0.25">
      <c r="A687" s="13"/>
      <c r="B687" s="35" t="s">
        <v>3128</v>
      </c>
      <c r="C687" s="42" t="s">
        <v>12</v>
      </c>
      <c r="D687" s="15" t="s">
        <v>43</v>
      </c>
      <c r="E687" s="15" t="s">
        <v>1967</v>
      </c>
      <c r="F687" s="15"/>
      <c r="G687" s="15"/>
      <c r="H687" s="15"/>
      <c r="I687" s="15" t="s">
        <v>3129</v>
      </c>
      <c r="J687" s="15" t="s">
        <v>2828</v>
      </c>
      <c r="K687" s="15" t="s">
        <v>16</v>
      </c>
      <c r="L687" s="15" t="s">
        <v>2284</v>
      </c>
      <c r="M687" s="15"/>
      <c r="N687" s="16"/>
    </row>
    <row r="688" spans="1:14" x14ac:dyDescent="0.25">
      <c r="A688" s="13"/>
      <c r="B688" s="35" t="s">
        <v>3128</v>
      </c>
      <c r="C688" s="42" t="s">
        <v>12</v>
      </c>
      <c r="D688" s="15" t="s">
        <v>46</v>
      </c>
      <c r="E688" s="15" t="s">
        <v>1969</v>
      </c>
      <c r="F688" s="15"/>
      <c r="G688" s="15"/>
      <c r="H688" s="15"/>
      <c r="I688" s="15" t="s">
        <v>3130</v>
      </c>
      <c r="J688" s="15" t="s">
        <v>2828</v>
      </c>
      <c r="K688" s="15" t="s">
        <v>16</v>
      </c>
      <c r="L688" s="15" t="s">
        <v>2284</v>
      </c>
      <c r="M688" s="15"/>
      <c r="N688" s="16"/>
    </row>
    <row r="689" spans="1:14" x14ac:dyDescent="0.25">
      <c r="A689" s="20"/>
      <c r="B689" s="35" t="s">
        <v>2594</v>
      </c>
      <c r="C689" s="42" t="s">
        <v>12</v>
      </c>
      <c r="D689" s="15" t="s">
        <v>72</v>
      </c>
      <c r="E689" s="15" t="s">
        <v>1971</v>
      </c>
      <c r="F689" s="15" t="s">
        <v>2559</v>
      </c>
      <c r="G689" s="15"/>
      <c r="H689" s="15"/>
      <c r="I689" s="15"/>
      <c r="J689" s="15" t="s">
        <v>2429</v>
      </c>
      <c r="K689" s="15" t="s">
        <v>16</v>
      </c>
      <c r="L689" s="15" t="s">
        <v>2284</v>
      </c>
      <c r="M689" s="15"/>
      <c r="N689" s="16" t="s">
        <v>2779</v>
      </c>
    </row>
    <row r="690" spans="1:14" x14ac:dyDescent="0.25">
      <c r="A690" s="20"/>
      <c r="B690" s="35" t="s">
        <v>2584</v>
      </c>
      <c r="C690" s="42" t="s">
        <v>12</v>
      </c>
      <c r="D690" s="15" t="s">
        <v>75</v>
      </c>
      <c r="E690" s="15" t="s">
        <v>1973</v>
      </c>
      <c r="F690" s="52" t="s">
        <v>2583</v>
      </c>
      <c r="G690" s="52"/>
      <c r="H690" s="52"/>
      <c r="I690" s="52"/>
      <c r="J690" s="52" t="s">
        <v>2429</v>
      </c>
      <c r="K690" s="15" t="s">
        <v>16</v>
      </c>
      <c r="L690" s="15" t="s">
        <v>2284</v>
      </c>
      <c r="M690" s="15"/>
      <c r="N690" s="16" t="s">
        <v>2779</v>
      </c>
    </row>
    <row r="691" spans="1:14" x14ac:dyDescent="0.25">
      <c r="A691" s="20"/>
      <c r="B691" s="35" t="s">
        <v>2585</v>
      </c>
      <c r="C691" s="42" t="s">
        <v>12</v>
      </c>
      <c r="D691" s="15" t="s">
        <v>77</v>
      </c>
      <c r="E691" s="15" t="s">
        <v>1975</v>
      </c>
      <c r="F691" s="52" t="s">
        <v>2559</v>
      </c>
      <c r="G691" s="52"/>
      <c r="H691" s="52"/>
      <c r="I691" s="52"/>
      <c r="J691" s="52" t="s">
        <v>2429</v>
      </c>
      <c r="K691" s="15" t="s">
        <v>16</v>
      </c>
      <c r="L691" s="15" t="s">
        <v>2284</v>
      </c>
      <c r="M691" s="15"/>
      <c r="N691" s="16" t="s">
        <v>2779</v>
      </c>
    </row>
    <row r="692" spans="1:14" x14ac:dyDescent="0.25">
      <c r="A692" s="20"/>
      <c r="B692" s="35" t="s">
        <v>2574</v>
      </c>
      <c r="C692" s="42" t="s">
        <v>12</v>
      </c>
      <c r="D692" s="15" t="s">
        <v>80</v>
      </c>
      <c r="E692" s="15" t="s">
        <v>1977</v>
      </c>
      <c r="F692" s="52" t="s">
        <v>2559</v>
      </c>
      <c r="G692" s="52"/>
      <c r="H692" s="52"/>
      <c r="I692" s="52" t="s">
        <v>2575</v>
      </c>
      <c r="J692" s="52" t="s">
        <v>2429</v>
      </c>
      <c r="K692" s="15" t="s">
        <v>16</v>
      </c>
      <c r="L692" s="15" t="s">
        <v>2284</v>
      </c>
      <c r="M692" s="15" t="s">
        <v>2573</v>
      </c>
      <c r="N692" s="16"/>
    </row>
    <row r="693" spans="1:14" x14ac:dyDescent="0.25">
      <c r="A693" s="20"/>
      <c r="B693" s="35" t="s">
        <v>2574</v>
      </c>
      <c r="C693" s="42" t="s">
        <v>12</v>
      </c>
      <c r="D693" s="15" t="s">
        <v>84</v>
      </c>
      <c r="E693" s="15" t="s">
        <v>3458</v>
      </c>
      <c r="F693" s="52" t="s">
        <v>2549</v>
      </c>
      <c r="G693" s="52"/>
      <c r="H693" s="52"/>
      <c r="I693" s="52" t="s">
        <v>2577</v>
      </c>
      <c r="J693" s="52" t="s">
        <v>2429</v>
      </c>
      <c r="K693" s="15" t="s">
        <v>16</v>
      </c>
      <c r="L693" s="15" t="s">
        <v>2284</v>
      </c>
      <c r="M693" s="15" t="s">
        <v>2573</v>
      </c>
      <c r="N693" s="16"/>
    </row>
    <row r="694" spans="1:14" x14ac:dyDescent="0.25">
      <c r="A694" s="20"/>
      <c r="B694" s="35" t="s">
        <v>2574</v>
      </c>
      <c r="C694" s="42" t="s">
        <v>12</v>
      </c>
      <c r="D694" s="15" t="s">
        <v>123</v>
      </c>
      <c r="E694" s="15" t="s">
        <v>4342</v>
      </c>
      <c r="F694" s="52" t="s">
        <v>2549</v>
      </c>
      <c r="G694" s="52"/>
      <c r="H694" s="52"/>
      <c r="I694" s="52" t="s">
        <v>2578</v>
      </c>
      <c r="J694" s="52" t="s">
        <v>2429</v>
      </c>
      <c r="K694" s="15" t="s">
        <v>16</v>
      </c>
      <c r="L694" s="15" t="s">
        <v>2284</v>
      </c>
      <c r="M694" s="15" t="s">
        <v>2573</v>
      </c>
      <c r="N694" s="16"/>
    </row>
    <row r="695" spans="1:14" x14ac:dyDescent="0.25">
      <c r="A695" s="20"/>
      <c r="B695" s="35" t="s">
        <v>2574</v>
      </c>
      <c r="C695" s="42" t="s">
        <v>12</v>
      </c>
      <c r="D695" s="15" t="s">
        <v>212</v>
      </c>
      <c r="E695" s="15" t="s">
        <v>4343</v>
      </c>
      <c r="F695" s="52" t="s">
        <v>2596</v>
      </c>
      <c r="G695" s="52"/>
      <c r="H695" s="52"/>
      <c r="I695" s="52"/>
      <c r="J695" s="52" t="s">
        <v>2429</v>
      </c>
      <c r="K695" s="15" t="s">
        <v>16</v>
      </c>
      <c r="L695" s="15" t="s">
        <v>2284</v>
      </c>
      <c r="M695" s="15"/>
      <c r="N695" s="16" t="s">
        <v>2779</v>
      </c>
    </row>
    <row r="696" spans="1:14" x14ac:dyDescent="0.25">
      <c r="A696" s="20"/>
      <c r="B696" s="35" t="s">
        <v>2574</v>
      </c>
      <c r="C696" s="42" t="s">
        <v>12</v>
      </c>
      <c r="D696" s="15" t="s">
        <v>214</v>
      </c>
      <c r="E696" s="15" t="s">
        <v>4344</v>
      </c>
      <c r="F696" s="52" t="s">
        <v>2596</v>
      </c>
      <c r="G696" s="52"/>
      <c r="H696" s="52"/>
      <c r="I696" s="52"/>
      <c r="J696" s="52" t="s">
        <v>2429</v>
      </c>
      <c r="K696" s="15" t="s">
        <v>16</v>
      </c>
      <c r="L696" s="15" t="s">
        <v>2284</v>
      </c>
      <c r="M696" s="15"/>
      <c r="N696" s="16" t="s">
        <v>2779</v>
      </c>
    </row>
    <row r="697" spans="1:14" x14ac:dyDescent="0.25">
      <c r="A697" s="20"/>
      <c r="B697" s="35" t="s">
        <v>2576</v>
      </c>
      <c r="C697" s="42" t="s">
        <v>12</v>
      </c>
      <c r="D697" s="15" t="s">
        <v>216</v>
      </c>
      <c r="E697" s="15" t="s">
        <v>4345</v>
      </c>
      <c r="F697" s="52" t="s">
        <v>2549</v>
      </c>
      <c r="G697" s="52"/>
      <c r="H697" s="52"/>
      <c r="I697" s="52"/>
      <c r="J697" s="52" t="s">
        <v>2429</v>
      </c>
      <c r="K697" s="15" t="s">
        <v>16</v>
      </c>
      <c r="L697" s="15" t="s">
        <v>2284</v>
      </c>
      <c r="M697" s="15"/>
      <c r="N697" s="16"/>
    </row>
    <row r="698" spans="1:14" x14ac:dyDescent="0.25">
      <c r="A698" s="20"/>
      <c r="B698" s="35" t="s">
        <v>2576</v>
      </c>
      <c r="C698" s="42" t="s">
        <v>12</v>
      </c>
      <c r="D698" s="15" t="s">
        <v>218</v>
      </c>
      <c r="E698" s="15" t="s">
        <v>4346</v>
      </c>
      <c r="F698" s="52" t="s">
        <v>2549</v>
      </c>
      <c r="G698" s="52"/>
      <c r="H698" s="52"/>
      <c r="I698" s="52"/>
      <c r="J698" s="52" t="s">
        <v>2429</v>
      </c>
      <c r="K698" s="15" t="s">
        <v>16</v>
      </c>
      <c r="L698" s="15" t="s">
        <v>2284</v>
      </c>
      <c r="M698" s="15"/>
      <c r="N698" s="16" t="s">
        <v>2779</v>
      </c>
    </row>
    <row r="699" spans="1:14" x14ac:dyDescent="0.25">
      <c r="A699" s="20"/>
      <c r="B699" s="35" t="s">
        <v>2593</v>
      </c>
      <c r="C699" s="42" t="s">
        <v>12</v>
      </c>
      <c r="D699" s="15" t="s">
        <v>220</v>
      </c>
      <c r="E699" s="15" t="s">
        <v>4347</v>
      </c>
      <c r="F699" s="52" t="s">
        <v>2592</v>
      </c>
      <c r="G699" s="52"/>
      <c r="H699" s="52"/>
      <c r="I699" s="52"/>
      <c r="J699" s="52" t="s">
        <v>2429</v>
      </c>
      <c r="K699" s="15" t="s">
        <v>16</v>
      </c>
      <c r="L699" s="15" t="s">
        <v>2284</v>
      </c>
      <c r="M699" s="15"/>
      <c r="N699" s="16" t="s">
        <v>2779</v>
      </c>
    </row>
    <row r="700" spans="1:14" x14ac:dyDescent="0.25">
      <c r="A700" s="20"/>
      <c r="B700" s="35" t="s">
        <v>2566</v>
      </c>
      <c r="C700" s="42" t="s">
        <v>12</v>
      </c>
      <c r="D700" s="15" t="s">
        <v>222</v>
      </c>
      <c r="E700" s="15" t="s">
        <v>4348</v>
      </c>
      <c r="F700" s="52" t="s">
        <v>2559</v>
      </c>
      <c r="G700" s="52"/>
      <c r="H700" s="52"/>
      <c r="I700" s="52" t="s">
        <v>2567</v>
      </c>
      <c r="J700" s="52" t="s">
        <v>2429</v>
      </c>
      <c r="K700" s="15" t="s">
        <v>16</v>
      </c>
      <c r="L700" s="15" t="s">
        <v>2284</v>
      </c>
      <c r="M700" s="15" t="s">
        <v>2568</v>
      </c>
      <c r="N700" s="16"/>
    </row>
    <row r="701" spans="1:14" x14ac:dyDescent="0.25">
      <c r="A701" s="20"/>
      <c r="B701" s="35" t="s">
        <v>2579</v>
      </c>
      <c r="C701" s="42" t="s">
        <v>12</v>
      </c>
      <c r="D701" s="15" t="s">
        <v>224</v>
      </c>
      <c r="E701" s="15" t="s">
        <v>4349</v>
      </c>
      <c r="F701" s="52" t="s">
        <v>2580</v>
      </c>
      <c r="G701" s="52"/>
      <c r="H701" s="52"/>
      <c r="I701" s="52" t="s">
        <v>2581</v>
      </c>
      <c r="J701" s="52" t="s">
        <v>2429</v>
      </c>
      <c r="K701" s="15" t="s">
        <v>16</v>
      </c>
      <c r="L701" s="15" t="s">
        <v>2284</v>
      </c>
      <c r="M701" s="15" t="s">
        <v>2582</v>
      </c>
      <c r="N701" s="16"/>
    </row>
    <row r="702" spans="1:14" x14ac:dyDescent="0.25">
      <c r="A702" s="20"/>
      <c r="B702" s="35" t="s">
        <v>2579</v>
      </c>
      <c r="C702" s="42" t="s">
        <v>12</v>
      </c>
      <c r="D702" s="15" t="s">
        <v>226</v>
      </c>
      <c r="E702" s="15" t="s">
        <v>4350</v>
      </c>
      <c r="F702" s="52" t="s">
        <v>2580</v>
      </c>
      <c r="G702" s="52"/>
      <c r="H702" s="52"/>
      <c r="I702" s="52"/>
      <c r="J702" s="52" t="s">
        <v>2429</v>
      </c>
      <c r="K702" s="15" t="s">
        <v>16</v>
      </c>
      <c r="L702" s="15" t="s">
        <v>2284</v>
      </c>
      <c r="M702" s="15" t="s">
        <v>2582</v>
      </c>
      <c r="N702" s="16"/>
    </row>
    <row r="703" spans="1:14" x14ac:dyDescent="0.25">
      <c r="A703" s="20"/>
      <c r="B703" s="35" t="s">
        <v>2579</v>
      </c>
      <c r="C703" s="42" t="s">
        <v>12</v>
      </c>
      <c r="D703" s="15" t="s">
        <v>228</v>
      </c>
      <c r="E703" s="15" t="s">
        <v>4351</v>
      </c>
      <c r="F703" s="52" t="s">
        <v>2586</v>
      </c>
      <c r="G703" s="52"/>
      <c r="H703" s="52"/>
      <c r="I703" s="52"/>
      <c r="J703" s="52" t="s">
        <v>2429</v>
      </c>
      <c r="K703" s="15" t="s">
        <v>16</v>
      </c>
      <c r="L703" s="15" t="s">
        <v>2284</v>
      </c>
      <c r="M703" s="15"/>
      <c r="N703" s="16" t="s">
        <v>2779</v>
      </c>
    </row>
    <row r="704" spans="1:14" x14ac:dyDescent="0.25">
      <c r="A704" s="20"/>
      <c r="B704" s="35" t="s">
        <v>2591</v>
      </c>
      <c r="C704" s="42" t="s">
        <v>12</v>
      </c>
      <c r="D704" s="15" t="s">
        <v>230</v>
      </c>
      <c r="E704" s="15" t="s">
        <v>4352</v>
      </c>
      <c r="F704" s="52" t="s">
        <v>2592</v>
      </c>
      <c r="G704" s="52"/>
      <c r="H704" s="52"/>
      <c r="I704" s="52"/>
      <c r="J704" s="52" t="s">
        <v>2429</v>
      </c>
      <c r="K704" s="15" t="s">
        <v>16</v>
      </c>
      <c r="L704" s="15" t="s">
        <v>2284</v>
      </c>
      <c r="M704" s="15"/>
      <c r="N704" s="16" t="s">
        <v>2779</v>
      </c>
    </row>
    <row r="705" spans="1:14" x14ac:dyDescent="0.25">
      <c r="A705" s="20"/>
      <c r="B705" s="35" t="s">
        <v>2597</v>
      </c>
      <c r="C705" s="42" t="s">
        <v>12</v>
      </c>
      <c r="D705" s="15" t="s">
        <v>232</v>
      </c>
      <c r="E705" s="15" t="s">
        <v>4353</v>
      </c>
      <c r="F705" s="52" t="s">
        <v>2596</v>
      </c>
      <c r="G705" s="52"/>
      <c r="H705" s="52"/>
      <c r="I705" s="52"/>
      <c r="J705" s="52" t="s">
        <v>2429</v>
      </c>
      <c r="K705" s="15" t="s">
        <v>16</v>
      </c>
      <c r="L705" s="15" t="s">
        <v>2284</v>
      </c>
      <c r="M705" s="15"/>
      <c r="N705" s="16" t="s">
        <v>2779</v>
      </c>
    </row>
    <row r="706" spans="1:14" x14ac:dyDescent="0.25">
      <c r="A706" s="20"/>
      <c r="B706" s="35" t="s">
        <v>2589</v>
      </c>
      <c r="C706" s="42" t="s">
        <v>12</v>
      </c>
      <c r="D706" s="15" t="s">
        <v>234</v>
      </c>
      <c r="E706" s="15" t="s">
        <v>4354</v>
      </c>
      <c r="F706" s="52" t="s">
        <v>2590</v>
      </c>
      <c r="G706" s="52"/>
      <c r="H706" s="52"/>
      <c r="I706" s="52"/>
      <c r="J706" s="52" t="s">
        <v>2429</v>
      </c>
      <c r="K706" s="15" t="s">
        <v>16</v>
      </c>
      <c r="L706" s="15" t="s">
        <v>2284</v>
      </c>
      <c r="M706" s="15"/>
      <c r="N706" s="16" t="s">
        <v>2779</v>
      </c>
    </row>
    <row r="707" spans="1:14" x14ac:dyDescent="0.25">
      <c r="A707" s="20"/>
      <c r="B707" s="35" t="s">
        <v>2558</v>
      </c>
      <c r="C707" s="42" t="s">
        <v>12</v>
      </c>
      <c r="D707" s="15" t="s">
        <v>236</v>
      </c>
      <c r="E707" s="15" t="s">
        <v>4355</v>
      </c>
      <c r="F707" s="52" t="s">
        <v>2559</v>
      </c>
      <c r="G707" s="52"/>
      <c r="H707" s="52"/>
      <c r="I707" s="52" t="s">
        <v>2560</v>
      </c>
      <c r="J707" s="52" t="s">
        <v>2429</v>
      </c>
      <c r="K707" s="15" t="s">
        <v>16</v>
      </c>
      <c r="L707" s="15" t="s">
        <v>2284</v>
      </c>
      <c r="M707" s="15" t="s">
        <v>2561</v>
      </c>
      <c r="N707" s="16"/>
    </row>
    <row r="708" spans="1:14" x14ac:dyDescent="0.25">
      <c r="A708" s="20"/>
      <c r="B708" s="35" t="s">
        <v>2558</v>
      </c>
      <c r="C708" s="42" t="s">
        <v>12</v>
      </c>
      <c r="D708" s="15" t="s">
        <v>238</v>
      </c>
      <c r="E708" s="15" t="s">
        <v>4356</v>
      </c>
      <c r="F708" s="52" t="s">
        <v>2559</v>
      </c>
      <c r="G708" s="52"/>
      <c r="H708" s="52"/>
      <c r="I708" s="52" t="s">
        <v>2562</v>
      </c>
      <c r="J708" s="52" t="s">
        <v>2429</v>
      </c>
      <c r="K708" s="15" t="s">
        <v>16</v>
      </c>
      <c r="L708" s="15" t="s">
        <v>2284</v>
      </c>
      <c r="M708" s="15" t="s">
        <v>2561</v>
      </c>
      <c r="N708" s="16"/>
    </row>
    <row r="709" spans="1:14" x14ac:dyDescent="0.25">
      <c r="A709" s="20"/>
      <c r="B709" s="35" t="s">
        <v>2558</v>
      </c>
      <c r="C709" s="42" t="s">
        <v>12</v>
      </c>
      <c r="D709" s="15" t="s">
        <v>240</v>
      </c>
      <c r="E709" s="15" t="s">
        <v>4357</v>
      </c>
      <c r="F709" s="52" t="s">
        <v>2559</v>
      </c>
      <c r="G709" s="52"/>
      <c r="H709" s="52"/>
      <c r="I709" s="52" t="s">
        <v>2563</v>
      </c>
      <c r="J709" s="52" t="s">
        <v>2429</v>
      </c>
      <c r="K709" s="15" t="s">
        <v>16</v>
      </c>
      <c r="L709" s="15" t="s">
        <v>2284</v>
      </c>
      <c r="M709" s="15" t="s">
        <v>2561</v>
      </c>
      <c r="N709" s="16"/>
    </row>
    <row r="710" spans="1:14" x14ac:dyDescent="0.25">
      <c r="A710" s="20"/>
      <c r="B710" s="35" t="s">
        <v>2558</v>
      </c>
      <c r="C710" s="42" t="s">
        <v>12</v>
      </c>
      <c r="D710" s="15" t="s">
        <v>334</v>
      </c>
      <c r="E710" s="15" t="s">
        <v>4358</v>
      </c>
      <c r="F710" s="52" t="s">
        <v>2559</v>
      </c>
      <c r="G710" s="52"/>
      <c r="H710" s="52"/>
      <c r="I710" s="52" t="s">
        <v>2564</v>
      </c>
      <c r="J710" s="52" t="s">
        <v>2429</v>
      </c>
      <c r="K710" s="15" t="s">
        <v>16</v>
      </c>
      <c r="L710" s="15" t="s">
        <v>2284</v>
      </c>
      <c r="M710" s="15" t="s">
        <v>2561</v>
      </c>
      <c r="N710" s="16"/>
    </row>
    <row r="711" spans="1:14" x14ac:dyDescent="0.25">
      <c r="A711" s="20"/>
      <c r="B711" s="35" t="s">
        <v>2558</v>
      </c>
      <c r="C711" s="42" t="s">
        <v>12</v>
      </c>
      <c r="D711" s="15" t="s">
        <v>337</v>
      </c>
      <c r="E711" s="15" t="s">
        <v>4359</v>
      </c>
      <c r="F711" s="52" t="s">
        <v>2559</v>
      </c>
      <c r="G711" s="52"/>
      <c r="H711" s="52"/>
      <c r="I711" s="52" t="s">
        <v>2565</v>
      </c>
      <c r="J711" s="52" t="s">
        <v>2429</v>
      </c>
      <c r="K711" s="15" t="s">
        <v>16</v>
      </c>
      <c r="L711" s="15" t="s">
        <v>2284</v>
      </c>
      <c r="M711" s="15" t="s">
        <v>2561</v>
      </c>
      <c r="N711" s="16"/>
    </row>
    <row r="712" spans="1:14" x14ac:dyDescent="0.25">
      <c r="A712" s="20"/>
      <c r="B712" s="35" t="s">
        <v>2558</v>
      </c>
      <c r="C712" s="42" t="s">
        <v>12</v>
      </c>
      <c r="D712" s="15" t="s">
        <v>340</v>
      </c>
      <c r="E712" s="15" t="s">
        <v>4360</v>
      </c>
      <c r="F712" s="52" t="s">
        <v>2559</v>
      </c>
      <c r="G712" s="52"/>
      <c r="H712" s="52"/>
      <c r="I712" s="52" t="s">
        <v>2569</v>
      </c>
      <c r="J712" s="52" t="s">
        <v>2429</v>
      </c>
      <c r="K712" s="15" t="s">
        <v>16</v>
      </c>
      <c r="L712" s="15" t="s">
        <v>2284</v>
      </c>
      <c r="M712" s="15" t="s">
        <v>2568</v>
      </c>
      <c r="N712" s="16"/>
    </row>
    <row r="713" spans="1:14" x14ac:dyDescent="0.25">
      <c r="A713" s="20"/>
      <c r="B713" s="35" t="s">
        <v>2558</v>
      </c>
      <c r="C713" s="42" t="s">
        <v>12</v>
      </c>
      <c r="D713" s="15" t="s">
        <v>343</v>
      </c>
      <c r="E713" s="15" t="s">
        <v>4361</v>
      </c>
      <c r="F713" s="52" t="s">
        <v>2559</v>
      </c>
      <c r="G713" s="52"/>
      <c r="H713" s="52"/>
      <c r="I713" s="52" t="s">
        <v>2570</v>
      </c>
      <c r="J713" s="52" t="s">
        <v>2429</v>
      </c>
      <c r="K713" s="15" t="s">
        <v>16</v>
      </c>
      <c r="L713" s="15" t="s">
        <v>2284</v>
      </c>
      <c r="M713" s="15" t="s">
        <v>2568</v>
      </c>
      <c r="N713" s="16"/>
    </row>
    <row r="714" spans="1:14" x14ac:dyDescent="0.25">
      <c r="A714" s="20"/>
      <c r="B714" s="35" t="s">
        <v>2587</v>
      </c>
      <c r="C714" s="42" t="s">
        <v>12</v>
      </c>
      <c r="D714" s="15" t="s">
        <v>345</v>
      </c>
      <c r="E714" s="15" t="s">
        <v>4362</v>
      </c>
      <c r="F714" s="52" t="s">
        <v>2588</v>
      </c>
      <c r="G714" s="52"/>
      <c r="H714" s="52"/>
      <c r="I714" s="52"/>
      <c r="J714" s="52" t="s">
        <v>2429</v>
      </c>
      <c r="K714" s="15" t="s">
        <v>16</v>
      </c>
      <c r="L714" s="15" t="s">
        <v>2284</v>
      </c>
      <c r="M714" s="15"/>
      <c r="N714" s="16" t="s">
        <v>2779</v>
      </c>
    </row>
    <row r="715" spans="1:14" x14ac:dyDescent="0.25">
      <c r="A715" s="20"/>
      <c r="B715" s="35" t="s">
        <v>2587</v>
      </c>
      <c r="C715" s="42" t="s">
        <v>12</v>
      </c>
      <c r="D715" s="15" t="s">
        <v>348</v>
      </c>
      <c r="E715" s="15" t="s">
        <v>4363</v>
      </c>
      <c r="F715" s="52" t="s">
        <v>2559</v>
      </c>
      <c r="G715" s="52"/>
      <c r="H715" s="52"/>
      <c r="I715" s="52"/>
      <c r="J715" s="52" t="s">
        <v>2429</v>
      </c>
      <c r="K715" s="15" t="s">
        <v>16</v>
      </c>
      <c r="L715" s="15" t="s">
        <v>2284</v>
      </c>
      <c r="M715" s="15"/>
      <c r="N715" s="16" t="s">
        <v>2779</v>
      </c>
    </row>
    <row r="716" spans="1:14" x14ac:dyDescent="0.25">
      <c r="A716" s="20"/>
      <c r="B716" s="35" t="s">
        <v>2555</v>
      </c>
      <c r="C716" s="42" t="s">
        <v>12</v>
      </c>
      <c r="D716" s="15" t="s">
        <v>351</v>
      </c>
      <c r="E716" s="15" t="s">
        <v>4364</v>
      </c>
      <c r="F716" s="52" t="s">
        <v>2549</v>
      </c>
      <c r="G716" s="52"/>
      <c r="H716" s="52"/>
      <c r="I716" s="52" t="s">
        <v>2556</v>
      </c>
      <c r="J716" s="52" t="s">
        <v>2429</v>
      </c>
      <c r="K716" s="15" t="s">
        <v>16</v>
      </c>
      <c r="L716" s="15" t="s">
        <v>2284</v>
      </c>
      <c r="M716" s="15"/>
      <c r="N716" s="16"/>
    </row>
    <row r="717" spans="1:14" x14ac:dyDescent="0.25">
      <c r="A717" s="20"/>
      <c r="B717" s="35" t="s">
        <v>2555</v>
      </c>
      <c r="C717" s="42" t="s">
        <v>12</v>
      </c>
      <c r="D717" s="15" t="s">
        <v>431</v>
      </c>
      <c r="E717" s="15" t="s">
        <v>4365</v>
      </c>
      <c r="F717" s="52" t="s">
        <v>2549</v>
      </c>
      <c r="G717" s="52"/>
      <c r="H717" s="52"/>
      <c r="I717" s="52" t="s">
        <v>2557</v>
      </c>
      <c r="J717" s="52" t="s">
        <v>2429</v>
      </c>
      <c r="K717" s="15" t="s">
        <v>16</v>
      </c>
      <c r="L717" s="15" t="s">
        <v>2284</v>
      </c>
      <c r="M717" s="15"/>
      <c r="N717" s="16"/>
    </row>
    <row r="718" spans="1:14" x14ac:dyDescent="0.25">
      <c r="A718" s="20"/>
      <c r="B718" s="35" t="s">
        <v>2555</v>
      </c>
      <c r="C718" s="42" t="s">
        <v>12</v>
      </c>
      <c r="D718" s="15" t="s">
        <v>434</v>
      </c>
      <c r="E718" s="15" t="s">
        <v>4366</v>
      </c>
      <c r="F718" s="52" t="s">
        <v>2583</v>
      </c>
      <c r="G718" s="52"/>
      <c r="H718" s="52"/>
      <c r="I718" s="52"/>
      <c r="J718" s="52" t="s">
        <v>2429</v>
      </c>
      <c r="K718" s="15" t="s">
        <v>16</v>
      </c>
      <c r="L718" s="15" t="s">
        <v>2284</v>
      </c>
      <c r="M718" s="15"/>
      <c r="N718" s="16" t="s">
        <v>2779</v>
      </c>
    </row>
    <row r="719" spans="1:14" x14ac:dyDescent="0.25">
      <c r="A719" s="20"/>
      <c r="B719" s="35" t="s">
        <v>2571</v>
      </c>
      <c r="C719" s="42" t="s">
        <v>12</v>
      </c>
      <c r="D719" s="15" t="s">
        <v>437</v>
      </c>
      <c r="E719" s="15" t="s">
        <v>4367</v>
      </c>
      <c r="F719" s="52" t="s">
        <v>2559</v>
      </c>
      <c r="G719" s="52"/>
      <c r="H719" s="52"/>
      <c r="I719" s="52" t="s">
        <v>2572</v>
      </c>
      <c r="J719" s="52" t="s">
        <v>2429</v>
      </c>
      <c r="K719" s="15" t="s">
        <v>16</v>
      </c>
      <c r="L719" s="15" t="s">
        <v>2284</v>
      </c>
      <c r="M719" s="15" t="s">
        <v>2573</v>
      </c>
      <c r="N719" s="16"/>
    </row>
    <row r="720" spans="1:14" x14ac:dyDescent="0.25">
      <c r="A720" s="20"/>
      <c r="B720" s="35" t="s">
        <v>2571</v>
      </c>
      <c r="C720" s="42" t="s">
        <v>12</v>
      </c>
      <c r="D720" s="15" t="s">
        <v>440</v>
      </c>
      <c r="E720" s="15" t="s">
        <v>4368</v>
      </c>
      <c r="F720" s="52" t="s">
        <v>2559</v>
      </c>
      <c r="G720" s="52"/>
      <c r="H720" s="52"/>
      <c r="I720" s="52" t="s">
        <v>2595</v>
      </c>
      <c r="J720" s="52" t="s">
        <v>2429</v>
      </c>
      <c r="K720" s="15" t="s">
        <v>16</v>
      </c>
      <c r="L720" s="15" t="s">
        <v>2284</v>
      </c>
      <c r="M720" s="15"/>
      <c r="N720" s="16" t="s">
        <v>2779</v>
      </c>
    </row>
    <row r="721" spans="1:14" x14ac:dyDescent="0.25">
      <c r="A721" s="20"/>
      <c r="B721" s="35" t="s">
        <v>2550</v>
      </c>
      <c r="C721" s="42" t="s">
        <v>12</v>
      </c>
      <c r="D721" s="15" t="s">
        <v>443</v>
      </c>
      <c r="E721" s="15" t="s">
        <v>4369</v>
      </c>
      <c r="F721" s="52" t="s">
        <v>2549</v>
      </c>
      <c r="G721" s="52"/>
      <c r="H721" s="52"/>
      <c r="I721" s="52" t="s">
        <v>2552</v>
      </c>
      <c r="J721" s="52" t="s">
        <v>2429</v>
      </c>
      <c r="K721" s="15" t="s">
        <v>16</v>
      </c>
      <c r="L721" s="15" t="s">
        <v>2284</v>
      </c>
      <c r="M721" s="15"/>
      <c r="N721" s="16"/>
    </row>
    <row r="722" spans="1:14" x14ac:dyDescent="0.25">
      <c r="A722" s="20"/>
      <c r="B722" s="35" t="s">
        <v>2550</v>
      </c>
      <c r="C722" s="42" t="s">
        <v>12</v>
      </c>
      <c r="D722" s="15" t="s">
        <v>446</v>
      </c>
      <c r="E722" s="15" t="s">
        <v>4370</v>
      </c>
      <c r="F722" s="52" t="s">
        <v>2549</v>
      </c>
      <c r="G722" s="52"/>
      <c r="H722" s="52"/>
      <c r="I722" s="52" t="s">
        <v>2551</v>
      </c>
      <c r="J722" s="52" t="s">
        <v>2429</v>
      </c>
      <c r="K722" s="15" t="s">
        <v>16</v>
      </c>
      <c r="L722" s="15" t="s">
        <v>2284</v>
      </c>
      <c r="M722" s="15"/>
      <c r="N722" s="16"/>
    </row>
    <row r="723" spans="1:14" x14ac:dyDescent="0.25">
      <c r="A723" s="20"/>
      <c r="B723" s="35" t="s">
        <v>2553</v>
      </c>
      <c r="C723" s="42" t="s">
        <v>12</v>
      </c>
      <c r="D723" s="15" t="s">
        <v>449</v>
      </c>
      <c r="E723" s="15" t="s">
        <v>4371</v>
      </c>
      <c r="F723" s="52" t="s">
        <v>2549</v>
      </c>
      <c r="G723" s="52"/>
      <c r="H723" s="52"/>
      <c r="I723" s="52" t="s">
        <v>2554</v>
      </c>
      <c r="J723" s="52" t="s">
        <v>2429</v>
      </c>
      <c r="K723" s="15" t="s">
        <v>16</v>
      </c>
      <c r="L723" s="15" t="s">
        <v>2284</v>
      </c>
      <c r="M723" s="15"/>
      <c r="N723" s="16"/>
    </row>
    <row r="724" spans="1:14" x14ac:dyDescent="0.25">
      <c r="A724" s="20"/>
      <c r="B724" s="35" t="s">
        <v>3349</v>
      </c>
      <c r="C724" s="42" t="s">
        <v>12</v>
      </c>
      <c r="D724" s="15" t="s">
        <v>452</v>
      </c>
      <c r="E724" s="15" t="s">
        <v>4372</v>
      </c>
      <c r="F724" s="52" t="s">
        <v>2596</v>
      </c>
      <c r="G724" s="52"/>
      <c r="H724" s="52"/>
      <c r="I724" s="52"/>
      <c r="J724" s="52" t="s">
        <v>2429</v>
      </c>
      <c r="K724" s="15" t="s">
        <v>16</v>
      </c>
      <c r="L724" s="15" t="s">
        <v>2402</v>
      </c>
      <c r="M724" s="15"/>
      <c r="N724" s="16" t="s">
        <v>3250</v>
      </c>
    </row>
    <row r="725" spans="1:14" x14ac:dyDescent="0.25">
      <c r="A725" s="20"/>
      <c r="B725" s="35" t="s">
        <v>3350</v>
      </c>
      <c r="C725" s="42" t="s">
        <v>12</v>
      </c>
      <c r="D725" s="15" t="s">
        <v>455</v>
      </c>
      <c r="E725" s="15" t="s">
        <v>4373</v>
      </c>
      <c r="F725" s="52" t="s">
        <v>2596</v>
      </c>
      <c r="G725" s="52"/>
      <c r="H725" s="52"/>
      <c r="I725" s="52"/>
      <c r="J725" s="52" t="s">
        <v>2429</v>
      </c>
      <c r="K725" s="15" t="s">
        <v>16</v>
      </c>
      <c r="L725" s="15" t="s">
        <v>2393</v>
      </c>
      <c r="M725" s="15"/>
      <c r="N725" s="16" t="s">
        <v>3250</v>
      </c>
    </row>
    <row r="726" spans="1:14" x14ac:dyDescent="0.25">
      <c r="A726" s="20"/>
      <c r="B726" s="35" t="s">
        <v>3351</v>
      </c>
      <c r="C726" s="42" t="s">
        <v>12</v>
      </c>
      <c r="D726" s="15" t="s">
        <v>458</v>
      </c>
      <c r="E726" s="15" t="s">
        <v>4374</v>
      </c>
      <c r="F726" s="52" t="s">
        <v>2559</v>
      </c>
      <c r="G726" s="52"/>
      <c r="H726" s="52"/>
      <c r="I726" s="52"/>
      <c r="J726" s="52" t="s">
        <v>2429</v>
      </c>
      <c r="K726" s="15" t="s">
        <v>16</v>
      </c>
      <c r="L726" s="15" t="s">
        <v>2252</v>
      </c>
      <c r="M726" s="15"/>
      <c r="N726" s="16" t="s">
        <v>3250</v>
      </c>
    </row>
    <row r="727" spans="1:14" x14ac:dyDescent="0.25">
      <c r="A727" s="20"/>
      <c r="B727" s="35" t="s">
        <v>3352</v>
      </c>
      <c r="C727" s="42" t="s">
        <v>12</v>
      </c>
      <c r="D727" s="15" t="s">
        <v>461</v>
      </c>
      <c r="E727" s="15" t="s">
        <v>4375</v>
      </c>
      <c r="F727" s="52" t="s">
        <v>2596</v>
      </c>
      <c r="G727" s="52"/>
      <c r="H727" s="52"/>
      <c r="I727" s="52"/>
      <c r="J727" s="52" t="s">
        <v>2429</v>
      </c>
      <c r="K727" s="15" t="s">
        <v>16</v>
      </c>
      <c r="L727" s="15" t="s">
        <v>2405</v>
      </c>
      <c r="M727" s="15"/>
      <c r="N727" s="16" t="s">
        <v>3250</v>
      </c>
    </row>
    <row r="728" spans="1:14" x14ac:dyDescent="0.25">
      <c r="A728" s="20"/>
      <c r="B728" s="35" t="s">
        <v>3349</v>
      </c>
      <c r="C728" s="42" t="s">
        <v>12</v>
      </c>
      <c r="D728" s="15" t="s">
        <v>464</v>
      </c>
      <c r="E728" s="15" t="s">
        <v>4376</v>
      </c>
      <c r="F728" s="52" t="s">
        <v>2549</v>
      </c>
      <c r="G728" s="52"/>
      <c r="H728" s="52"/>
      <c r="I728" s="52"/>
      <c r="J728" s="52" t="s">
        <v>2429</v>
      </c>
      <c r="K728" s="15" t="s">
        <v>16</v>
      </c>
      <c r="L728" s="15" t="s">
        <v>2402</v>
      </c>
      <c r="M728" s="15"/>
      <c r="N728" s="16" t="s">
        <v>3250</v>
      </c>
    </row>
    <row r="729" spans="1:14" x14ac:dyDescent="0.25">
      <c r="A729" s="20"/>
      <c r="B729" s="35" t="s">
        <v>3353</v>
      </c>
      <c r="C729" s="42" t="s">
        <v>12</v>
      </c>
      <c r="D729" s="15" t="s">
        <v>467</v>
      </c>
      <c r="E729" s="15" t="s">
        <v>4377</v>
      </c>
      <c r="F729" s="52" t="s">
        <v>2596</v>
      </c>
      <c r="G729" s="52"/>
      <c r="H729" s="52"/>
      <c r="I729" s="52"/>
      <c r="J729" s="52" t="s">
        <v>2429</v>
      </c>
      <c r="K729" s="15" t="s">
        <v>16</v>
      </c>
      <c r="L729" s="15" t="s">
        <v>2284</v>
      </c>
      <c r="M729" s="15"/>
      <c r="N729" s="16" t="s">
        <v>3250</v>
      </c>
    </row>
    <row r="730" spans="1:14" x14ac:dyDescent="0.25">
      <c r="A730" s="20"/>
      <c r="B730" s="35" t="s">
        <v>3352</v>
      </c>
      <c r="C730" s="42" t="s">
        <v>12</v>
      </c>
      <c r="D730" s="15" t="s">
        <v>470</v>
      </c>
      <c r="E730" s="15" t="s">
        <v>4378</v>
      </c>
      <c r="F730" s="52" t="s">
        <v>2559</v>
      </c>
      <c r="G730" s="52"/>
      <c r="H730" s="52"/>
      <c r="I730" s="52"/>
      <c r="J730" s="52" t="s">
        <v>2429</v>
      </c>
      <c r="K730" s="15" t="s">
        <v>16</v>
      </c>
      <c r="L730" s="15" t="s">
        <v>2405</v>
      </c>
      <c r="M730" s="15"/>
      <c r="N730" s="16" t="s">
        <v>3250</v>
      </c>
    </row>
    <row r="731" spans="1:14" x14ac:dyDescent="0.25">
      <c r="A731" s="20"/>
      <c r="B731" s="35" t="s">
        <v>3354</v>
      </c>
      <c r="C731" s="42" t="s">
        <v>12</v>
      </c>
      <c r="D731" s="15" t="s">
        <v>473</v>
      </c>
      <c r="E731" s="15" t="s">
        <v>4379</v>
      </c>
      <c r="F731" s="52" t="s">
        <v>2559</v>
      </c>
      <c r="G731" s="52"/>
      <c r="H731" s="52"/>
      <c r="I731" s="52"/>
      <c r="J731" s="52" t="s">
        <v>2429</v>
      </c>
      <c r="K731" s="15" t="s">
        <v>16</v>
      </c>
      <c r="L731" s="15" t="s">
        <v>2254</v>
      </c>
      <c r="M731" s="15"/>
      <c r="N731" s="16" t="s">
        <v>3250</v>
      </c>
    </row>
    <row r="732" spans="1:14" x14ac:dyDescent="0.25">
      <c r="A732" s="20"/>
      <c r="B732" s="35" t="s">
        <v>3353</v>
      </c>
      <c r="C732" s="42" t="s">
        <v>12</v>
      </c>
      <c r="D732" s="15" t="s">
        <v>476</v>
      </c>
      <c r="E732" s="15" t="s">
        <v>4380</v>
      </c>
      <c r="F732" s="52" t="s">
        <v>2559</v>
      </c>
      <c r="G732" s="52"/>
      <c r="H732" s="52"/>
      <c r="I732" s="52"/>
      <c r="J732" s="52" t="s">
        <v>2429</v>
      </c>
      <c r="K732" s="15" t="s">
        <v>16</v>
      </c>
      <c r="L732" s="15" t="s">
        <v>2405</v>
      </c>
      <c r="M732" s="15"/>
      <c r="N732" s="16" t="s">
        <v>3250</v>
      </c>
    </row>
    <row r="733" spans="1:14" x14ac:dyDescent="0.25">
      <c r="A733" s="20"/>
      <c r="B733" s="35" t="s">
        <v>3355</v>
      </c>
      <c r="C733" s="42" t="s">
        <v>12</v>
      </c>
      <c r="D733" s="15" t="s">
        <v>479</v>
      </c>
      <c r="E733" s="15" t="s">
        <v>4381</v>
      </c>
      <c r="F733" s="52" t="s">
        <v>2588</v>
      </c>
      <c r="G733" s="52"/>
      <c r="H733" s="52"/>
      <c r="I733" s="52"/>
      <c r="J733" s="52" t="s">
        <v>2429</v>
      </c>
      <c r="K733" s="15" t="s">
        <v>16</v>
      </c>
      <c r="L733" s="15" t="s">
        <v>2263</v>
      </c>
      <c r="M733" s="15"/>
      <c r="N733" s="16" t="s">
        <v>3250</v>
      </c>
    </row>
    <row r="734" spans="1:14" x14ac:dyDescent="0.25">
      <c r="A734" s="20"/>
      <c r="B734" s="35" t="s">
        <v>3356</v>
      </c>
      <c r="C734" s="42" t="s">
        <v>12</v>
      </c>
      <c r="D734" s="15" t="s">
        <v>482</v>
      </c>
      <c r="E734" s="15" t="s">
        <v>4382</v>
      </c>
      <c r="F734" s="52" t="s">
        <v>2559</v>
      </c>
      <c r="G734" s="52"/>
      <c r="H734" s="52"/>
      <c r="I734" s="52"/>
      <c r="J734" s="52" t="s">
        <v>2429</v>
      </c>
      <c r="K734" s="15" t="s">
        <v>16</v>
      </c>
      <c r="L734" s="15" t="s">
        <v>2405</v>
      </c>
      <c r="M734" s="15"/>
      <c r="N734" s="16" t="s">
        <v>3250</v>
      </c>
    </row>
    <row r="735" spans="1:14" x14ac:dyDescent="0.25">
      <c r="A735" s="20"/>
      <c r="B735" s="35" t="s">
        <v>3357</v>
      </c>
      <c r="C735" s="42" t="s">
        <v>12</v>
      </c>
      <c r="D735" s="15" t="s">
        <v>485</v>
      </c>
      <c r="E735" s="15" t="s">
        <v>4383</v>
      </c>
      <c r="F735" s="52" t="s">
        <v>3358</v>
      </c>
      <c r="G735" s="52"/>
      <c r="H735" s="52"/>
      <c r="I735" s="52"/>
      <c r="J735" s="52" t="s">
        <v>2429</v>
      </c>
      <c r="K735" s="15" t="s">
        <v>16</v>
      </c>
      <c r="L735" s="15" t="s">
        <v>2401</v>
      </c>
      <c r="M735" s="15"/>
      <c r="N735" s="16" t="s">
        <v>3250</v>
      </c>
    </row>
    <row r="736" spans="1:14" x14ac:dyDescent="0.25">
      <c r="A736" s="20"/>
      <c r="B736" s="35" t="s">
        <v>3359</v>
      </c>
      <c r="C736" s="42" t="s">
        <v>12</v>
      </c>
      <c r="D736" s="15" t="s">
        <v>488</v>
      </c>
      <c r="E736" s="15" t="s">
        <v>4384</v>
      </c>
      <c r="F736" s="52" t="s">
        <v>2583</v>
      </c>
      <c r="G736" s="52"/>
      <c r="H736" s="52"/>
      <c r="I736" s="52"/>
      <c r="J736" s="52" t="s">
        <v>2429</v>
      </c>
      <c r="K736" s="15" t="s">
        <v>16</v>
      </c>
      <c r="L736" s="15" t="s">
        <v>2233</v>
      </c>
      <c r="M736" s="15"/>
      <c r="N736" s="16" t="s">
        <v>3250</v>
      </c>
    </row>
    <row r="737" spans="1:14" x14ac:dyDescent="0.25">
      <c r="A737" s="20"/>
      <c r="B737" s="35" t="s">
        <v>3348</v>
      </c>
      <c r="C737" s="42" t="s">
        <v>12</v>
      </c>
      <c r="D737" s="15" t="s">
        <v>491</v>
      </c>
      <c r="E737" s="15" t="s">
        <v>4385</v>
      </c>
      <c r="F737" s="52" t="s">
        <v>2583</v>
      </c>
      <c r="G737" s="52"/>
      <c r="H737" s="52"/>
      <c r="I737" s="52"/>
      <c r="J737" s="52" t="s">
        <v>2429</v>
      </c>
      <c r="K737" s="15" t="s">
        <v>16</v>
      </c>
      <c r="L737" s="15" t="s">
        <v>2393</v>
      </c>
      <c r="M737" s="15"/>
      <c r="N737" s="16" t="s">
        <v>3250</v>
      </c>
    </row>
    <row r="738" spans="1:14" x14ac:dyDescent="0.25">
      <c r="A738" s="20"/>
      <c r="B738" s="35" t="s">
        <v>3360</v>
      </c>
      <c r="C738" s="42" t="s">
        <v>12</v>
      </c>
      <c r="D738" s="15" t="s">
        <v>494</v>
      </c>
      <c r="E738" s="15" t="s">
        <v>4386</v>
      </c>
      <c r="F738" s="52" t="s">
        <v>3361</v>
      </c>
      <c r="G738" s="52"/>
      <c r="H738" s="52"/>
      <c r="I738" s="52"/>
      <c r="J738" s="52" t="s">
        <v>2429</v>
      </c>
      <c r="K738" s="15" t="s">
        <v>16</v>
      </c>
      <c r="L738" s="15" t="s">
        <v>2419</v>
      </c>
      <c r="M738" s="15"/>
      <c r="N738" s="16" t="s">
        <v>3250</v>
      </c>
    </row>
    <row r="739" spans="1:14" x14ac:dyDescent="0.25">
      <c r="A739" s="20"/>
      <c r="B739" s="35" t="s">
        <v>3362</v>
      </c>
      <c r="C739" s="42" t="s">
        <v>12</v>
      </c>
      <c r="D739" s="15" t="s">
        <v>497</v>
      </c>
      <c r="E739" s="15" t="s">
        <v>4387</v>
      </c>
      <c r="F739" s="52" t="s">
        <v>2583</v>
      </c>
      <c r="G739" s="52"/>
      <c r="H739" s="52"/>
      <c r="I739" s="52"/>
      <c r="J739" s="52" t="s">
        <v>2429</v>
      </c>
      <c r="K739" s="15" t="s">
        <v>16</v>
      </c>
      <c r="L739" s="15" t="s">
        <v>2524</v>
      </c>
      <c r="M739" s="15"/>
      <c r="N739" s="16" t="s">
        <v>3250</v>
      </c>
    </row>
    <row r="740" spans="1:14" x14ac:dyDescent="0.25">
      <c r="A740" s="20"/>
      <c r="B740" s="35" t="s">
        <v>3363</v>
      </c>
      <c r="C740" s="42" t="s">
        <v>12</v>
      </c>
      <c r="D740" s="15" t="s">
        <v>500</v>
      </c>
      <c r="E740" s="15" t="s">
        <v>4388</v>
      </c>
      <c r="F740" s="52" t="s">
        <v>2583</v>
      </c>
      <c r="G740" s="52"/>
      <c r="H740" s="52"/>
      <c r="I740" s="52"/>
      <c r="J740" s="52" t="s">
        <v>2429</v>
      </c>
      <c r="K740" s="15" t="s">
        <v>16</v>
      </c>
      <c r="L740" s="15" t="s">
        <v>2419</v>
      </c>
      <c r="M740" s="15"/>
      <c r="N740" s="16" t="s">
        <v>3250</v>
      </c>
    </row>
    <row r="741" spans="1:14" x14ac:dyDescent="0.25">
      <c r="A741" s="20"/>
      <c r="B741" s="35" t="s">
        <v>3364</v>
      </c>
      <c r="C741" s="42" t="s">
        <v>12</v>
      </c>
      <c r="D741" s="15" t="s">
        <v>503</v>
      </c>
      <c r="E741" s="15" t="s">
        <v>4389</v>
      </c>
      <c r="F741" s="52" t="s">
        <v>2549</v>
      </c>
      <c r="G741" s="52"/>
      <c r="H741" s="52"/>
      <c r="I741" s="52"/>
      <c r="J741" s="52" t="s">
        <v>2429</v>
      </c>
      <c r="K741" s="15" t="s">
        <v>16</v>
      </c>
      <c r="L741" s="15" t="s">
        <v>2405</v>
      </c>
      <c r="M741" s="15"/>
      <c r="N741" s="16" t="s">
        <v>3250</v>
      </c>
    </row>
    <row r="742" spans="1:14" x14ac:dyDescent="0.25">
      <c r="A742" s="20"/>
      <c r="B742" s="35" t="s">
        <v>2553</v>
      </c>
      <c r="C742" s="42" t="s">
        <v>12</v>
      </c>
      <c r="D742" s="15" t="s">
        <v>506</v>
      </c>
      <c r="E742" s="15" t="s">
        <v>4390</v>
      </c>
      <c r="F742" s="52" t="s">
        <v>3365</v>
      </c>
      <c r="G742" s="52"/>
      <c r="H742" s="52"/>
      <c r="I742" s="52"/>
      <c r="J742" s="52" t="s">
        <v>2429</v>
      </c>
      <c r="K742" s="15" t="s">
        <v>16</v>
      </c>
      <c r="L742" s="15" t="s">
        <v>2233</v>
      </c>
      <c r="M742" s="15"/>
      <c r="N742" s="16" t="s">
        <v>3250</v>
      </c>
    </row>
    <row r="743" spans="1:14" x14ac:dyDescent="0.25">
      <c r="A743" s="20"/>
      <c r="B743" s="35" t="s">
        <v>3366</v>
      </c>
      <c r="C743" s="42" t="s">
        <v>12</v>
      </c>
      <c r="D743" s="15" t="s">
        <v>509</v>
      </c>
      <c r="E743" s="15" t="s">
        <v>4391</v>
      </c>
      <c r="F743" s="52" t="s">
        <v>2596</v>
      </c>
      <c r="G743" s="52"/>
      <c r="H743" s="52"/>
      <c r="I743" s="52" t="s">
        <v>3367</v>
      </c>
      <c r="J743" s="52" t="s">
        <v>2429</v>
      </c>
      <c r="K743" s="15" t="s">
        <v>16</v>
      </c>
      <c r="L743" s="15" t="s">
        <v>2284</v>
      </c>
      <c r="M743" s="15"/>
      <c r="N743" s="16" t="s">
        <v>3250</v>
      </c>
    </row>
    <row r="744" spans="1:14" x14ac:dyDescent="0.25">
      <c r="A744" s="20"/>
      <c r="B744" s="35" t="s">
        <v>3368</v>
      </c>
      <c r="C744" s="42" t="s">
        <v>12</v>
      </c>
      <c r="D744" s="15" t="s">
        <v>512</v>
      </c>
      <c r="E744" s="15" t="s">
        <v>4392</v>
      </c>
      <c r="F744" s="52" t="s">
        <v>3361</v>
      </c>
      <c r="G744" s="52"/>
      <c r="H744" s="52"/>
      <c r="I744" s="52"/>
      <c r="J744" s="52" t="s">
        <v>2429</v>
      </c>
      <c r="K744" s="15" t="s">
        <v>16</v>
      </c>
      <c r="L744" s="15" t="s">
        <v>2419</v>
      </c>
      <c r="M744" s="15"/>
      <c r="N744" s="16" t="s">
        <v>3250</v>
      </c>
    </row>
    <row r="745" spans="1:14" x14ac:dyDescent="0.25">
      <c r="A745" s="20"/>
      <c r="B745" s="35" t="s">
        <v>3369</v>
      </c>
      <c r="C745" s="42" t="s">
        <v>12</v>
      </c>
      <c r="D745" s="15" t="s">
        <v>515</v>
      </c>
      <c r="E745" s="15" t="s">
        <v>4393</v>
      </c>
      <c r="F745" s="52" t="s">
        <v>2559</v>
      </c>
      <c r="G745" s="52"/>
      <c r="H745" s="52"/>
      <c r="I745" s="52"/>
      <c r="J745" s="52" t="s">
        <v>2429</v>
      </c>
      <c r="K745" s="15" t="s">
        <v>16</v>
      </c>
      <c r="L745" s="15" t="s">
        <v>2402</v>
      </c>
      <c r="M745" s="15"/>
      <c r="N745" s="16" t="s">
        <v>3250</v>
      </c>
    </row>
    <row r="746" spans="1:14" x14ac:dyDescent="0.25">
      <c r="A746" s="20"/>
      <c r="B746" s="35" t="s">
        <v>3370</v>
      </c>
      <c r="C746" s="42" t="s">
        <v>12</v>
      </c>
      <c r="D746" s="15" t="s">
        <v>518</v>
      </c>
      <c r="E746" s="15" t="s">
        <v>4394</v>
      </c>
      <c r="F746" s="52" t="s">
        <v>3371</v>
      </c>
      <c r="G746" s="52"/>
      <c r="H746" s="52"/>
      <c r="I746" s="52"/>
      <c r="J746" s="52" t="s">
        <v>2429</v>
      </c>
      <c r="K746" s="15" t="s">
        <v>16</v>
      </c>
      <c r="L746" s="15" t="s">
        <v>2284</v>
      </c>
      <c r="M746" s="15"/>
      <c r="N746" s="16" t="s">
        <v>3250</v>
      </c>
    </row>
    <row r="747" spans="1:14" x14ac:dyDescent="0.25">
      <c r="A747" s="20"/>
      <c r="B747" s="35" t="s">
        <v>3372</v>
      </c>
      <c r="C747" s="42" t="s">
        <v>12</v>
      </c>
      <c r="D747" s="15" t="s">
        <v>521</v>
      </c>
      <c r="E747" s="15" t="s">
        <v>4395</v>
      </c>
      <c r="F747" s="52" t="s">
        <v>2559</v>
      </c>
      <c r="G747" s="52"/>
      <c r="H747" s="52"/>
      <c r="I747" s="52" t="s">
        <v>3373</v>
      </c>
      <c r="J747" s="52" t="s">
        <v>2429</v>
      </c>
      <c r="K747" s="15" t="s">
        <v>16</v>
      </c>
      <c r="L747" s="15" t="s">
        <v>2419</v>
      </c>
      <c r="M747" s="15"/>
      <c r="N747" s="16" t="s">
        <v>3250</v>
      </c>
    </row>
    <row r="748" spans="1:14" x14ac:dyDescent="0.25">
      <c r="A748" s="20"/>
      <c r="B748" s="35" t="s">
        <v>3369</v>
      </c>
      <c r="C748" s="42" t="s">
        <v>12</v>
      </c>
      <c r="D748" s="15" t="s">
        <v>524</v>
      </c>
      <c r="E748" s="15" t="s">
        <v>4396</v>
      </c>
      <c r="F748" s="52" t="s">
        <v>3374</v>
      </c>
      <c r="G748" s="52"/>
      <c r="H748" s="52"/>
      <c r="I748" s="52"/>
      <c r="J748" s="52" t="s">
        <v>2429</v>
      </c>
      <c r="K748" s="15" t="s">
        <v>16</v>
      </c>
      <c r="L748" s="15" t="s">
        <v>2404</v>
      </c>
      <c r="M748" s="15"/>
      <c r="N748" s="16" t="s">
        <v>3250</v>
      </c>
    </row>
    <row r="749" spans="1:14" x14ac:dyDescent="0.25">
      <c r="A749" s="20"/>
      <c r="B749" s="35" t="s">
        <v>3375</v>
      </c>
      <c r="C749" s="42" t="s">
        <v>12</v>
      </c>
      <c r="D749" s="15" t="s">
        <v>527</v>
      </c>
      <c r="E749" s="15" t="s">
        <v>4397</v>
      </c>
      <c r="F749" s="52" t="s">
        <v>2559</v>
      </c>
      <c r="G749" s="52"/>
      <c r="H749" s="52"/>
      <c r="I749" s="52"/>
      <c r="J749" s="52" t="s">
        <v>2429</v>
      </c>
      <c r="K749" s="15" t="s">
        <v>16</v>
      </c>
      <c r="L749" s="15" t="s">
        <v>2402</v>
      </c>
      <c r="M749" s="15"/>
      <c r="N749" s="16" t="s">
        <v>3250</v>
      </c>
    </row>
    <row r="750" spans="1:14" x14ac:dyDescent="0.25">
      <c r="A750" s="20"/>
      <c r="B750" s="35" t="s">
        <v>3369</v>
      </c>
      <c r="C750" s="42" t="s">
        <v>12</v>
      </c>
      <c r="D750" s="15" t="s">
        <v>530</v>
      </c>
      <c r="E750" s="15" t="s">
        <v>4398</v>
      </c>
      <c r="F750" s="52"/>
      <c r="G750" s="52"/>
      <c r="H750" s="52"/>
      <c r="I750" s="52" t="s">
        <v>3377</v>
      </c>
      <c r="J750" s="52" t="s">
        <v>2429</v>
      </c>
      <c r="K750" s="15" t="s">
        <v>16</v>
      </c>
      <c r="L750" s="15" t="s">
        <v>2284</v>
      </c>
      <c r="M750" s="15"/>
      <c r="N750" s="16" t="s">
        <v>3376</v>
      </c>
    </row>
    <row r="751" spans="1:14" x14ac:dyDescent="0.25">
      <c r="A751" s="20"/>
      <c r="B751" s="35" t="s">
        <v>3369</v>
      </c>
      <c r="C751" s="42" t="s">
        <v>12</v>
      </c>
      <c r="D751" s="15" t="s">
        <v>533</v>
      </c>
      <c r="E751" s="15" t="s">
        <v>4399</v>
      </c>
      <c r="F751" s="52"/>
      <c r="G751" s="52"/>
      <c r="H751" s="52"/>
      <c r="I751" s="52"/>
      <c r="J751" s="52" t="s">
        <v>2429</v>
      </c>
      <c r="K751" s="15" t="s">
        <v>16</v>
      </c>
      <c r="L751" s="15" t="s">
        <v>2284</v>
      </c>
      <c r="M751" s="15"/>
      <c r="N751" s="16" t="s">
        <v>3376</v>
      </c>
    </row>
    <row r="752" spans="1:14" x14ac:dyDescent="0.25">
      <c r="A752" s="20"/>
      <c r="B752" s="35" t="s">
        <v>3378</v>
      </c>
      <c r="C752" s="42" t="s">
        <v>12</v>
      </c>
      <c r="D752" s="15" t="s">
        <v>536</v>
      </c>
      <c r="E752" s="15" t="s">
        <v>4400</v>
      </c>
      <c r="F752" s="52" t="s">
        <v>2583</v>
      </c>
      <c r="G752" s="52"/>
      <c r="H752" s="52"/>
      <c r="I752" s="52"/>
      <c r="J752" s="52" t="s">
        <v>2429</v>
      </c>
      <c r="K752" s="15" t="s">
        <v>16</v>
      </c>
      <c r="L752" s="15" t="s">
        <v>2402</v>
      </c>
      <c r="M752" s="15"/>
      <c r="N752" s="16" t="s">
        <v>3250</v>
      </c>
    </row>
    <row r="753" spans="1:14" x14ac:dyDescent="0.25">
      <c r="A753" s="20"/>
      <c r="B753" s="35" t="s">
        <v>3379</v>
      </c>
      <c r="C753" s="42" t="s">
        <v>12</v>
      </c>
      <c r="D753" s="15" t="s">
        <v>539</v>
      </c>
      <c r="E753" s="15" t="s">
        <v>4401</v>
      </c>
      <c r="F753" s="52" t="s">
        <v>2583</v>
      </c>
      <c r="G753" s="52"/>
      <c r="H753" s="52"/>
      <c r="I753" s="52"/>
      <c r="J753" s="52" t="s">
        <v>2429</v>
      </c>
      <c r="K753" s="15" t="s">
        <v>16</v>
      </c>
      <c r="L753" s="15" t="s">
        <v>2405</v>
      </c>
      <c r="M753" s="15"/>
      <c r="N753" s="16" t="s">
        <v>3250</v>
      </c>
    </row>
    <row r="754" spans="1:14" x14ac:dyDescent="0.25">
      <c r="A754" s="20"/>
      <c r="B754" s="35" t="s">
        <v>3380</v>
      </c>
      <c r="C754" s="42" t="s">
        <v>12</v>
      </c>
      <c r="D754" s="15" t="s">
        <v>542</v>
      </c>
      <c r="E754" s="15" t="s">
        <v>4402</v>
      </c>
      <c r="F754" s="52" t="s">
        <v>3358</v>
      </c>
      <c r="G754" s="52"/>
      <c r="H754" s="52"/>
      <c r="I754" s="52"/>
      <c r="J754" s="52" t="s">
        <v>2429</v>
      </c>
      <c r="K754" s="15" t="s">
        <v>16</v>
      </c>
      <c r="L754" s="15" t="s">
        <v>2284</v>
      </c>
      <c r="M754" s="15"/>
      <c r="N754" s="16" t="s">
        <v>3250</v>
      </c>
    </row>
    <row r="755" spans="1:14" x14ac:dyDescent="0.25">
      <c r="A755" s="20"/>
      <c r="B755" s="35" t="s">
        <v>3381</v>
      </c>
      <c r="C755" s="42" t="s">
        <v>12</v>
      </c>
      <c r="D755" s="15" t="s">
        <v>545</v>
      </c>
      <c r="E755" s="15" t="s">
        <v>4403</v>
      </c>
      <c r="F755" s="52" t="s">
        <v>2583</v>
      </c>
      <c r="G755" s="52"/>
      <c r="H755" s="52"/>
      <c r="I755" s="52"/>
      <c r="J755" s="52" t="s">
        <v>2429</v>
      </c>
      <c r="K755" s="15" t="s">
        <v>16</v>
      </c>
      <c r="L755" s="15" t="s">
        <v>2284</v>
      </c>
      <c r="M755" s="15"/>
      <c r="N755" s="16" t="s">
        <v>3250</v>
      </c>
    </row>
    <row r="756" spans="1:14" x14ac:dyDescent="0.25">
      <c r="A756" s="20"/>
      <c r="B756" s="35" t="s">
        <v>3382</v>
      </c>
      <c r="C756" s="42" t="s">
        <v>12</v>
      </c>
      <c r="D756" s="15" t="s">
        <v>548</v>
      </c>
      <c r="E756" s="15" t="s">
        <v>4404</v>
      </c>
      <c r="F756" s="52" t="s">
        <v>3383</v>
      </c>
      <c r="G756" s="52"/>
      <c r="H756" s="52"/>
      <c r="I756" s="52"/>
      <c r="J756" s="52" t="s">
        <v>2429</v>
      </c>
      <c r="K756" s="15" t="s">
        <v>16</v>
      </c>
      <c r="L756" s="15" t="s">
        <v>2405</v>
      </c>
      <c r="M756" s="15"/>
      <c r="N756" s="16" t="s">
        <v>3250</v>
      </c>
    </row>
    <row r="757" spans="1:14" x14ac:dyDescent="0.25">
      <c r="A757" s="20"/>
      <c r="B757" s="35" t="s">
        <v>3384</v>
      </c>
      <c r="C757" s="42" t="s">
        <v>12</v>
      </c>
      <c r="D757" s="15" t="s">
        <v>551</v>
      </c>
      <c r="E757" s="15" t="s">
        <v>4405</v>
      </c>
      <c r="F757" s="52" t="s">
        <v>3383</v>
      </c>
      <c r="G757" s="52"/>
      <c r="H757" s="52"/>
      <c r="I757" s="52"/>
      <c r="J757" s="52" t="s">
        <v>2429</v>
      </c>
      <c r="K757" s="15" t="s">
        <v>16</v>
      </c>
      <c r="L757" s="15" t="s">
        <v>2284</v>
      </c>
      <c r="M757" s="15"/>
      <c r="N757" s="16" t="s">
        <v>3250</v>
      </c>
    </row>
    <row r="758" spans="1:14" x14ac:dyDescent="0.25">
      <c r="A758" s="20"/>
      <c r="B758" s="35" t="s">
        <v>3363</v>
      </c>
      <c r="C758" s="42" t="s">
        <v>12</v>
      </c>
      <c r="D758" s="15" t="s">
        <v>554</v>
      </c>
      <c r="E758" s="15" t="s">
        <v>4406</v>
      </c>
      <c r="F758" s="52" t="s">
        <v>3361</v>
      </c>
      <c r="G758" s="52"/>
      <c r="H758" s="52"/>
      <c r="I758" s="52"/>
      <c r="J758" s="52" t="s">
        <v>2429</v>
      </c>
      <c r="K758" s="15" t="s">
        <v>16</v>
      </c>
      <c r="L758" s="15" t="s">
        <v>2284</v>
      </c>
      <c r="M758" s="15"/>
      <c r="N758" s="16" t="s">
        <v>3250</v>
      </c>
    </row>
    <row r="759" spans="1:14" x14ac:dyDescent="0.25">
      <c r="A759" s="20"/>
      <c r="B759" s="35" t="s">
        <v>3385</v>
      </c>
      <c r="C759" s="42" t="s">
        <v>12</v>
      </c>
      <c r="D759" s="15" t="s">
        <v>557</v>
      </c>
      <c r="E759" s="15" t="s">
        <v>4407</v>
      </c>
      <c r="F759" s="52" t="s">
        <v>3361</v>
      </c>
      <c r="G759" s="52"/>
      <c r="H759" s="52"/>
      <c r="I759" s="52"/>
      <c r="J759" s="52" t="s">
        <v>2429</v>
      </c>
      <c r="K759" s="15" t="s">
        <v>16</v>
      </c>
      <c r="L759" s="15" t="s">
        <v>2284</v>
      </c>
      <c r="M759" s="15"/>
      <c r="N759" s="16" t="s">
        <v>3250</v>
      </c>
    </row>
    <row r="760" spans="1:14" x14ac:dyDescent="0.25">
      <c r="A760" s="20"/>
      <c r="B760" s="35" t="s">
        <v>3386</v>
      </c>
      <c r="C760" s="42" t="s">
        <v>12</v>
      </c>
      <c r="D760" s="15" t="s">
        <v>560</v>
      </c>
      <c r="E760" s="15" t="s">
        <v>4408</v>
      </c>
      <c r="F760" s="52" t="s">
        <v>3361</v>
      </c>
      <c r="G760" s="52"/>
      <c r="H760" s="52"/>
      <c r="I760" s="52"/>
      <c r="J760" s="52" t="s">
        <v>2429</v>
      </c>
      <c r="K760" s="15" t="s">
        <v>16</v>
      </c>
      <c r="L760" s="15" t="s">
        <v>2284</v>
      </c>
      <c r="M760" s="15"/>
      <c r="N760" s="16" t="s">
        <v>3250</v>
      </c>
    </row>
    <row r="761" spans="1:14" x14ac:dyDescent="0.25">
      <c r="A761" s="20"/>
      <c r="B761" s="35" t="s">
        <v>1974</v>
      </c>
      <c r="C761" s="14" t="s">
        <v>12</v>
      </c>
      <c r="D761" s="15" t="s">
        <v>563</v>
      </c>
      <c r="E761" s="15" t="s">
        <v>4409</v>
      </c>
      <c r="F761" s="52"/>
      <c r="G761" s="52"/>
      <c r="H761" s="52"/>
      <c r="I761" s="52"/>
      <c r="J761" s="52" t="s">
        <v>2389</v>
      </c>
      <c r="K761" s="15" t="s">
        <v>16</v>
      </c>
      <c r="L761" s="15" t="s">
        <v>1441</v>
      </c>
      <c r="M761" s="15"/>
      <c r="N761" s="16"/>
    </row>
    <row r="762" spans="1:14" x14ac:dyDescent="0.25">
      <c r="A762" s="13"/>
      <c r="B762" s="35" t="s">
        <v>1965</v>
      </c>
      <c r="C762" s="42" t="s">
        <v>88</v>
      </c>
      <c r="D762" s="15" t="s">
        <v>566</v>
      </c>
      <c r="E762" s="15" t="s">
        <v>4410</v>
      </c>
      <c r="F762" s="52"/>
      <c r="G762" s="52"/>
      <c r="H762" s="52"/>
      <c r="I762" s="52"/>
      <c r="J762" s="52"/>
      <c r="K762" s="15" t="s">
        <v>16</v>
      </c>
      <c r="L762" s="15"/>
      <c r="M762" s="15"/>
      <c r="N762" s="16"/>
    </row>
    <row r="763" spans="1:14" x14ac:dyDescent="0.25">
      <c r="A763" s="20"/>
      <c r="B763" s="35" t="s">
        <v>253</v>
      </c>
      <c r="C763" s="14" t="s">
        <v>88</v>
      </c>
      <c r="D763" s="15" t="s">
        <v>569</v>
      </c>
      <c r="E763" s="15" t="s">
        <v>4411</v>
      </c>
      <c r="F763" s="52"/>
      <c r="G763" s="52"/>
      <c r="H763" s="52"/>
      <c r="I763" s="52"/>
      <c r="J763" s="52"/>
      <c r="K763" s="15" t="s">
        <v>16</v>
      </c>
      <c r="L763" s="15"/>
      <c r="M763" s="15"/>
      <c r="N763" s="16"/>
    </row>
    <row r="764" spans="1:14" x14ac:dyDescent="0.25">
      <c r="A764" s="13"/>
      <c r="B764" s="35" t="s">
        <v>257</v>
      </c>
      <c r="C764" s="42" t="s">
        <v>88</v>
      </c>
      <c r="D764" s="15" t="s">
        <v>572</v>
      </c>
      <c r="E764" s="15" t="s">
        <v>4412</v>
      </c>
      <c r="F764" s="52"/>
      <c r="G764" s="52"/>
      <c r="H764" s="52"/>
      <c r="I764" s="52"/>
      <c r="J764" s="52"/>
      <c r="K764" s="15" t="s">
        <v>16</v>
      </c>
      <c r="L764" s="15"/>
      <c r="M764" s="15"/>
      <c r="N764" s="16"/>
    </row>
    <row r="765" spans="1:14" x14ac:dyDescent="0.25">
      <c r="A765" s="20"/>
      <c r="B765" s="35" t="s">
        <v>251</v>
      </c>
      <c r="C765" s="14" t="s">
        <v>88</v>
      </c>
      <c r="D765" s="15" t="s">
        <v>575</v>
      </c>
      <c r="E765" s="15" t="s">
        <v>4413</v>
      </c>
      <c r="F765" s="52"/>
      <c r="G765" s="52"/>
      <c r="H765" s="52"/>
      <c r="I765" s="52"/>
      <c r="J765" s="52"/>
      <c r="K765" s="15" t="s">
        <v>16</v>
      </c>
      <c r="L765" s="15"/>
      <c r="M765" s="15"/>
      <c r="N765" s="16"/>
    </row>
    <row r="766" spans="1:14" x14ac:dyDescent="0.25">
      <c r="A766" s="13"/>
      <c r="B766" s="35" t="s">
        <v>1960</v>
      </c>
      <c r="C766" s="42" t="s">
        <v>1268</v>
      </c>
      <c r="D766" s="15" t="s">
        <v>578</v>
      </c>
      <c r="E766" s="15" t="s">
        <v>4414</v>
      </c>
      <c r="F766" s="52"/>
      <c r="G766" s="52"/>
      <c r="H766" s="52"/>
      <c r="I766" s="52"/>
      <c r="J766" s="52"/>
      <c r="K766" s="15" t="s">
        <v>16</v>
      </c>
      <c r="L766" s="15"/>
      <c r="M766" s="15"/>
      <c r="N766" s="16"/>
    </row>
    <row r="767" spans="1:14" x14ac:dyDescent="0.25">
      <c r="A767" s="13"/>
      <c r="B767" s="35" t="s">
        <v>2953</v>
      </c>
      <c r="C767" s="42" t="s">
        <v>1268</v>
      </c>
      <c r="D767" s="15" t="s">
        <v>1411</v>
      </c>
      <c r="E767" s="15" t="s">
        <v>4415</v>
      </c>
      <c r="F767" s="15"/>
      <c r="G767" s="15"/>
      <c r="H767" s="15"/>
      <c r="I767" s="15"/>
      <c r="J767" s="15" t="s">
        <v>2954</v>
      </c>
      <c r="K767" s="15" t="s">
        <v>16</v>
      </c>
      <c r="L767" s="15" t="s">
        <v>2405</v>
      </c>
      <c r="M767" s="15"/>
      <c r="N767" s="16"/>
    </row>
    <row r="768" spans="1:14" x14ac:dyDescent="0.25">
      <c r="A768" s="13"/>
      <c r="B768" s="35" t="s">
        <v>3301</v>
      </c>
      <c r="C768" s="42" t="s">
        <v>1268</v>
      </c>
      <c r="D768" s="15" t="s">
        <v>1414</v>
      </c>
      <c r="E768" s="15" t="s">
        <v>4416</v>
      </c>
      <c r="F768" s="15"/>
      <c r="G768" s="15"/>
      <c r="H768" s="15"/>
      <c r="I768" s="15"/>
      <c r="J768" s="15" t="s">
        <v>2398</v>
      </c>
      <c r="K768" s="15" t="s">
        <v>16</v>
      </c>
      <c r="L768" s="15" t="s">
        <v>2402</v>
      </c>
      <c r="M768" s="15"/>
      <c r="N768" s="16"/>
    </row>
    <row r="769" spans="1:14" x14ac:dyDescent="0.25">
      <c r="A769" s="13"/>
      <c r="B769" s="35" t="s">
        <v>1954</v>
      </c>
      <c r="C769" s="42" t="s">
        <v>12</v>
      </c>
      <c r="D769" s="15" t="s">
        <v>1417</v>
      </c>
      <c r="E769" s="15" t="s">
        <v>4417</v>
      </c>
      <c r="F769" s="15"/>
      <c r="G769" s="15"/>
      <c r="H769" s="15"/>
      <c r="I769" s="15"/>
      <c r="J769" s="15"/>
      <c r="K769" s="15" t="s">
        <v>16</v>
      </c>
      <c r="L769" s="15"/>
      <c r="M769" s="15"/>
      <c r="N769" s="16"/>
    </row>
    <row r="770" spans="1:14" x14ac:dyDescent="0.25">
      <c r="A770" s="13"/>
      <c r="B770" s="35" t="s">
        <v>1952</v>
      </c>
      <c r="C770" s="42" t="s">
        <v>1268</v>
      </c>
      <c r="D770" s="15" t="s">
        <v>1420</v>
      </c>
      <c r="E770" s="15" t="s">
        <v>4418</v>
      </c>
      <c r="F770" s="15" t="s">
        <v>2363</v>
      </c>
      <c r="G770" s="15" t="s">
        <v>2384</v>
      </c>
      <c r="H770" s="15"/>
      <c r="I770" s="15" t="s">
        <v>2385</v>
      </c>
      <c r="J770" s="15" t="s">
        <v>2353</v>
      </c>
      <c r="K770" s="15" t="s">
        <v>16</v>
      </c>
      <c r="L770" s="15" t="s">
        <v>2284</v>
      </c>
      <c r="M770" s="15"/>
      <c r="N770" s="16"/>
    </row>
    <row r="771" spans="1:14" x14ac:dyDescent="0.25">
      <c r="A771" s="13"/>
      <c r="B771" s="35" t="s">
        <v>1952</v>
      </c>
      <c r="C771" s="42" t="s">
        <v>1268</v>
      </c>
      <c r="D771" s="15" t="s">
        <v>1423</v>
      </c>
      <c r="E771" s="15" t="s">
        <v>4419</v>
      </c>
      <c r="F771" s="15" t="s">
        <v>2386</v>
      </c>
      <c r="G771" s="15" t="s">
        <v>2387</v>
      </c>
      <c r="H771" s="15"/>
      <c r="I771" s="15" t="s">
        <v>2388</v>
      </c>
      <c r="J771" s="15" t="s">
        <v>2353</v>
      </c>
      <c r="K771" s="15" t="s">
        <v>16</v>
      </c>
      <c r="L771" s="15" t="s">
        <v>2284</v>
      </c>
      <c r="M771" s="15"/>
      <c r="N771" s="16"/>
    </row>
    <row r="772" spans="1:14" x14ac:dyDescent="0.25">
      <c r="A772" s="20"/>
      <c r="B772" s="35" t="s">
        <v>1972</v>
      </c>
      <c r="C772" s="14" t="s">
        <v>12</v>
      </c>
      <c r="D772" s="15" t="s">
        <v>1426</v>
      </c>
      <c r="E772" s="15" t="s">
        <v>4420</v>
      </c>
      <c r="F772" s="15"/>
      <c r="G772" s="15"/>
      <c r="H772" s="15"/>
      <c r="I772" s="15"/>
      <c r="J772" s="15" t="s">
        <v>2389</v>
      </c>
      <c r="K772" s="15" t="s">
        <v>16</v>
      </c>
      <c r="L772" s="15" t="s">
        <v>2390</v>
      </c>
      <c r="M772" s="15"/>
      <c r="N772" s="16"/>
    </row>
    <row r="773" spans="1:14" s="94" customFormat="1" x14ac:dyDescent="0.25">
      <c r="A773" s="13"/>
      <c r="B773" s="35" t="s">
        <v>1956</v>
      </c>
      <c r="C773" s="42" t="s">
        <v>1268</v>
      </c>
      <c r="D773" s="15" t="s">
        <v>1429</v>
      </c>
      <c r="E773" s="15" t="s">
        <v>4421</v>
      </c>
      <c r="F773" s="15"/>
      <c r="G773" s="15"/>
      <c r="H773" s="15"/>
      <c r="I773" s="15"/>
      <c r="J773" s="15"/>
      <c r="K773" s="15" t="s">
        <v>16</v>
      </c>
      <c r="L773" s="15"/>
      <c r="M773" s="15"/>
      <c r="N773" s="16"/>
    </row>
    <row r="774" spans="1:14" x14ac:dyDescent="0.25">
      <c r="A774" s="16"/>
      <c r="B774" s="35" t="s">
        <v>1976</v>
      </c>
      <c r="C774" s="14" t="s">
        <v>12</v>
      </c>
      <c r="D774" s="15" t="s">
        <v>1432</v>
      </c>
      <c r="E774" s="15" t="s">
        <v>4422</v>
      </c>
      <c r="F774" s="15"/>
      <c r="G774" s="15"/>
      <c r="H774" s="15"/>
      <c r="I774" s="15"/>
      <c r="J774" s="15" t="s">
        <v>2389</v>
      </c>
      <c r="K774" s="15" t="s">
        <v>16</v>
      </c>
      <c r="L774" s="15" t="s">
        <v>2391</v>
      </c>
      <c r="M774" s="15"/>
      <c r="N774" s="16"/>
    </row>
    <row r="775" spans="1:14" x14ac:dyDescent="0.25">
      <c r="A775" s="16"/>
      <c r="B775" s="102" t="s">
        <v>4423</v>
      </c>
      <c r="C775" s="16" t="s">
        <v>12</v>
      </c>
      <c r="D775" s="15" t="s">
        <v>1435</v>
      </c>
      <c r="E775" s="15" t="s">
        <v>4424</v>
      </c>
      <c r="F775" s="15"/>
      <c r="G775" s="15"/>
      <c r="H775" s="15"/>
      <c r="I775" s="15"/>
      <c r="J775" s="15" t="s">
        <v>2833</v>
      </c>
      <c r="K775" s="15" t="s">
        <v>16</v>
      </c>
      <c r="L775" s="15" t="s">
        <v>2284</v>
      </c>
      <c r="M775" s="15"/>
      <c r="N775" s="16"/>
    </row>
    <row r="776" spans="1:14" x14ac:dyDescent="0.25">
      <c r="A776" s="16"/>
      <c r="B776" s="102" t="s">
        <v>4425</v>
      </c>
      <c r="C776" s="16" t="s">
        <v>12</v>
      </c>
      <c r="D776" s="15" t="s">
        <v>1438</v>
      </c>
      <c r="E776" s="15" t="s">
        <v>4426</v>
      </c>
      <c r="F776" s="15"/>
      <c r="G776" s="15"/>
      <c r="H776" s="15"/>
      <c r="I776" s="15"/>
      <c r="J776" s="15" t="s">
        <v>2833</v>
      </c>
      <c r="K776" s="15" t="s">
        <v>16</v>
      </c>
      <c r="L776" s="15" t="s">
        <v>2405</v>
      </c>
      <c r="M776" s="15"/>
      <c r="N776" s="16"/>
    </row>
    <row r="777" spans="1:14" x14ac:dyDescent="0.25">
      <c r="A777" s="16"/>
      <c r="B777" s="102" t="s">
        <v>4427</v>
      </c>
      <c r="C777" s="16" t="s">
        <v>12</v>
      </c>
      <c r="D777" s="15" t="s">
        <v>1441</v>
      </c>
      <c r="E777" s="15" t="s">
        <v>4428</v>
      </c>
      <c r="F777" s="15"/>
      <c r="G777" s="15"/>
      <c r="H777" s="15"/>
      <c r="I777" s="15"/>
      <c r="J777" s="15" t="s">
        <v>2833</v>
      </c>
      <c r="K777" s="15" t="s">
        <v>16</v>
      </c>
      <c r="L777" s="15" t="s">
        <v>2402</v>
      </c>
      <c r="M777" s="15"/>
      <c r="N777" s="16"/>
    </row>
    <row r="778" spans="1:14" x14ac:dyDescent="0.25">
      <c r="A778" s="16"/>
      <c r="B778" s="102" t="s">
        <v>4429</v>
      </c>
      <c r="C778" s="16" t="s">
        <v>12</v>
      </c>
      <c r="D778" s="15" t="s">
        <v>1444</v>
      </c>
      <c r="E778" s="15" t="s">
        <v>4430</v>
      </c>
      <c r="F778" s="15"/>
      <c r="G778" s="15"/>
      <c r="H778" s="15"/>
      <c r="I778" s="15"/>
      <c r="J778" s="15" t="s">
        <v>2833</v>
      </c>
      <c r="K778" s="15" t="s">
        <v>16</v>
      </c>
      <c r="L778" s="15" t="s">
        <v>2284</v>
      </c>
      <c r="M778" s="15"/>
      <c r="N778" s="16"/>
    </row>
    <row r="779" spans="1:14" x14ac:dyDescent="0.25">
      <c r="A779" s="16"/>
      <c r="B779" s="102" t="s">
        <v>4431</v>
      </c>
      <c r="C779" s="16" t="s">
        <v>12</v>
      </c>
      <c r="D779" s="15" t="s">
        <v>1447</v>
      </c>
      <c r="E779" s="15" t="s">
        <v>4432</v>
      </c>
      <c r="F779" s="15"/>
      <c r="G779" s="15"/>
      <c r="H779" s="15"/>
      <c r="I779" s="15"/>
      <c r="J779" s="15" t="s">
        <v>2833</v>
      </c>
      <c r="K779" s="15" t="s">
        <v>16</v>
      </c>
      <c r="L779" s="15" t="s">
        <v>2405</v>
      </c>
      <c r="M779" s="15"/>
      <c r="N779" s="16"/>
    </row>
    <row r="780" spans="1:14" x14ac:dyDescent="0.25">
      <c r="A780" s="16"/>
      <c r="B780" s="102" t="s">
        <v>4433</v>
      </c>
      <c r="C780" s="16" t="s">
        <v>12</v>
      </c>
      <c r="D780" s="15" t="s">
        <v>1450</v>
      </c>
      <c r="E780" s="15" t="s">
        <v>4434</v>
      </c>
      <c r="F780" s="15"/>
      <c r="G780" s="15"/>
      <c r="H780" s="15"/>
      <c r="I780" s="15"/>
      <c r="J780" s="15" t="s">
        <v>2833</v>
      </c>
      <c r="K780" s="15" t="s">
        <v>16</v>
      </c>
      <c r="L780" s="15" t="s">
        <v>2402</v>
      </c>
      <c r="M780" s="15"/>
      <c r="N780" s="16"/>
    </row>
    <row r="781" spans="1:14" x14ac:dyDescent="0.25">
      <c r="A781" s="16"/>
      <c r="B781" s="102" t="s">
        <v>4435</v>
      </c>
      <c r="C781" s="16" t="s">
        <v>12</v>
      </c>
      <c r="D781" s="15" t="s">
        <v>1453</v>
      </c>
      <c r="E781" s="15" t="s">
        <v>4436</v>
      </c>
      <c r="F781" s="15"/>
      <c r="G781" s="15"/>
      <c r="H781" s="15"/>
      <c r="I781" s="15"/>
      <c r="J781" s="15" t="s">
        <v>2833</v>
      </c>
      <c r="K781" s="15" t="s">
        <v>16</v>
      </c>
      <c r="L781" s="15" t="s">
        <v>2284</v>
      </c>
      <c r="M781" s="15"/>
      <c r="N781" s="16"/>
    </row>
    <row r="782" spans="1:14" x14ac:dyDescent="0.25">
      <c r="A782" s="16"/>
      <c r="B782" s="102" t="s">
        <v>4437</v>
      </c>
      <c r="C782" s="16" t="s">
        <v>12</v>
      </c>
      <c r="D782" s="15" t="s">
        <v>1456</v>
      </c>
      <c r="E782" s="15" t="s">
        <v>4438</v>
      </c>
      <c r="F782" s="15"/>
      <c r="G782" s="15"/>
      <c r="H782" s="15"/>
      <c r="I782" s="15"/>
      <c r="J782" s="15" t="s">
        <v>2833</v>
      </c>
      <c r="K782" s="15" t="s">
        <v>16</v>
      </c>
      <c r="L782" s="15" t="s">
        <v>2405</v>
      </c>
      <c r="M782" s="15"/>
      <c r="N782" s="16"/>
    </row>
    <row r="783" spans="1:14" x14ac:dyDescent="0.25">
      <c r="A783" s="16"/>
      <c r="B783" s="102" t="s">
        <v>4448</v>
      </c>
      <c r="C783" s="16" t="s">
        <v>12</v>
      </c>
      <c r="D783" s="15" t="s">
        <v>1459</v>
      </c>
      <c r="E783" s="15" t="s">
        <v>4439</v>
      </c>
      <c r="F783" s="15"/>
      <c r="G783" s="15"/>
      <c r="H783" s="15"/>
      <c r="I783" s="15"/>
      <c r="J783" s="15" t="s">
        <v>2833</v>
      </c>
      <c r="K783" s="15" t="s">
        <v>16</v>
      </c>
      <c r="L783" s="15" t="s">
        <v>2284</v>
      </c>
      <c r="M783" s="15"/>
      <c r="N783" s="16"/>
    </row>
    <row r="784" spans="1:14" x14ac:dyDescent="0.25">
      <c r="A784" s="16"/>
      <c r="B784" s="102" t="s">
        <v>4440</v>
      </c>
      <c r="C784" s="16" t="s">
        <v>12</v>
      </c>
      <c r="D784" s="15" t="s">
        <v>1462</v>
      </c>
      <c r="E784" s="15" t="s">
        <v>4441</v>
      </c>
      <c r="F784" s="15"/>
      <c r="G784" s="15"/>
      <c r="H784" s="15"/>
      <c r="I784" s="15"/>
      <c r="J784" s="15" t="s">
        <v>2833</v>
      </c>
      <c r="K784" s="15" t="s">
        <v>16</v>
      </c>
      <c r="L784" s="15" t="s">
        <v>2405</v>
      </c>
      <c r="M784" s="15"/>
      <c r="N784" s="16"/>
    </row>
    <row r="785" spans="1:14" x14ac:dyDescent="0.25">
      <c r="A785" s="16"/>
      <c r="B785" s="102" t="s">
        <v>4442</v>
      </c>
      <c r="C785" s="16" t="s">
        <v>12</v>
      </c>
      <c r="D785" s="15" t="s">
        <v>1465</v>
      </c>
      <c r="E785" s="15" t="s">
        <v>4443</v>
      </c>
      <c r="F785" s="15"/>
      <c r="G785" s="15"/>
      <c r="H785" s="15"/>
      <c r="I785" s="15"/>
      <c r="J785" s="15" t="s">
        <v>2833</v>
      </c>
      <c r="K785" s="15" t="s">
        <v>16</v>
      </c>
      <c r="L785" s="15" t="s">
        <v>2284</v>
      </c>
      <c r="M785" s="15"/>
      <c r="N785" s="16"/>
    </row>
    <row r="786" spans="1:14" x14ac:dyDescent="0.25">
      <c r="A786" s="16"/>
      <c r="B786" s="102" t="s">
        <v>4444</v>
      </c>
      <c r="C786" s="16" t="s">
        <v>12</v>
      </c>
      <c r="D786" s="15" t="s">
        <v>1468</v>
      </c>
      <c r="E786" s="15" t="s">
        <v>4445</v>
      </c>
      <c r="F786" s="15"/>
      <c r="G786" s="15"/>
      <c r="H786" s="15"/>
      <c r="I786" s="15"/>
      <c r="J786" s="15" t="s">
        <v>2833</v>
      </c>
      <c r="K786" s="15" t="s">
        <v>16</v>
      </c>
      <c r="L786" s="15" t="s">
        <v>2284</v>
      </c>
      <c r="M786" s="15"/>
      <c r="N786" s="16"/>
    </row>
    <row r="787" spans="1:14" x14ac:dyDescent="0.25">
      <c r="A787" s="16"/>
      <c r="B787" s="102" t="s">
        <v>4446</v>
      </c>
      <c r="C787" s="16" t="s">
        <v>12</v>
      </c>
      <c r="D787" s="15" t="s">
        <v>1471</v>
      </c>
      <c r="E787" s="15" t="s">
        <v>4447</v>
      </c>
      <c r="F787" s="15"/>
      <c r="G787" s="15"/>
      <c r="H787" s="15"/>
      <c r="I787" s="15"/>
      <c r="J787" s="15" t="s">
        <v>2833</v>
      </c>
      <c r="K787" s="15" t="s">
        <v>16</v>
      </c>
      <c r="L787" s="15" t="s">
        <v>2284</v>
      </c>
      <c r="M787" s="15"/>
      <c r="N787" s="16"/>
    </row>
    <row r="788" spans="1:14" x14ac:dyDescent="0.25">
      <c r="A788" s="16"/>
      <c r="B788" s="102" t="s">
        <v>4449</v>
      </c>
      <c r="C788" s="16" t="s">
        <v>12</v>
      </c>
      <c r="D788" s="15" t="s">
        <v>1474</v>
      </c>
      <c r="E788" s="15" t="s">
        <v>4450</v>
      </c>
      <c r="F788" s="15"/>
      <c r="G788" s="15"/>
      <c r="H788" s="15"/>
      <c r="I788" s="15"/>
      <c r="J788" s="15" t="s">
        <v>2833</v>
      </c>
      <c r="K788" s="15" t="s">
        <v>16</v>
      </c>
      <c r="L788" s="15" t="s">
        <v>2284</v>
      </c>
      <c r="M788" s="15"/>
      <c r="N788" s="16"/>
    </row>
    <row r="789" spans="1:14" x14ac:dyDescent="0.25">
      <c r="A789" s="16"/>
      <c r="B789" s="102" t="s">
        <v>4451</v>
      </c>
      <c r="C789" s="16" t="s">
        <v>88</v>
      </c>
      <c r="D789" s="15" t="s">
        <v>1477</v>
      </c>
      <c r="E789" s="15" t="s">
        <v>4452</v>
      </c>
      <c r="F789" s="15"/>
      <c r="G789" s="15"/>
      <c r="H789" s="15"/>
      <c r="I789" s="15"/>
      <c r="J789" s="15" t="s">
        <v>2833</v>
      </c>
      <c r="K789" s="15" t="s">
        <v>16</v>
      </c>
      <c r="L789" s="15" t="s">
        <v>2284</v>
      </c>
      <c r="M789" s="15"/>
      <c r="N789" s="16"/>
    </row>
    <row r="790" spans="1:14" x14ac:dyDescent="0.25">
      <c r="A790" s="16"/>
      <c r="B790" s="102" t="s">
        <v>4453</v>
      </c>
      <c r="C790" s="16" t="s">
        <v>88</v>
      </c>
      <c r="D790" s="15" t="s">
        <v>1480</v>
      </c>
      <c r="E790" s="15" t="s">
        <v>4454</v>
      </c>
      <c r="F790" s="15"/>
      <c r="G790" s="15"/>
      <c r="H790" s="15"/>
      <c r="I790" s="15"/>
      <c r="J790" s="15" t="s">
        <v>2833</v>
      </c>
      <c r="K790" s="15" t="s">
        <v>16</v>
      </c>
      <c r="L790" s="15" t="s">
        <v>2284</v>
      </c>
      <c r="M790" s="15"/>
      <c r="N790" s="16"/>
    </row>
    <row r="791" spans="1:14" x14ac:dyDescent="0.25">
      <c r="A791" s="16"/>
      <c r="B791" s="102" t="s">
        <v>4455</v>
      </c>
      <c r="C791" s="16" t="s">
        <v>88</v>
      </c>
      <c r="D791" s="15" t="s">
        <v>1483</v>
      </c>
      <c r="E791" s="15" t="s">
        <v>4456</v>
      </c>
      <c r="F791" s="15"/>
      <c r="G791" s="15"/>
      <c r="H791" s="15"/>
      <c r="I791" s="15"/>
      <c r="J791" s="15" t="s">
        <v>2833</v>
      </c>
      <c r="K791" s="15" t="s">
        <v>16</v>
      </c>
      <c r="L791" s="15" t="s">
        <v>2284</v>
      </c>
      <c r="M791" s="15"/>
      <c r="N791" s="16"/>
    </row>
    <row r="792" spans="1:14" x14ac:dyDescent="0.25">
      <c r="A792" s="16"/>
      <c r="B792" s="102" t="s">
        <v>4457</v>
      </c>
      <c r="C792" s="16" t="s">
        <v>12</v>
      </c>
      <c r="D792" s="15" t="s">
        <v>1486</v>
      </c>
      <c r="E792" s="15" t="s">
        <v>4458</v>
      </c>
      <c r="F792" s="15"/>
      <c r="G792" s="15"/>
      <c r="H792" s="15"/>
      <c r="I792" s="15"/>
      <c r="J792" s="15" t="s">
        <v>2833</v>
      </c>
      <c r="K792" s="15" t="s">
        <v>16</v>
      </c>
      <c r="L792" s="15" t="s">
        <v>2405</v>
      </c>
      <c r="M792" s="15"/>
      <c r="N792" s="16"/>
    </row>
    <row r="793" spans="1:14" x14ac:dyDescent="0.25">
      <c r="A793" s="16"/>
      <c r="B793" s="102" t="s">
        <v>4459</v>
      </c>
      <c r="C793" s="16" t="s">
        <v>12</v>
      </c>
      <c r="D793" s="15" t="s">
        <v>1489</v>
      </c>
      <c r="E793" s="15" t="s">
        <v>4460</v>
      </c>
      <c r="F793" s="15"/>
      <c r="G793" s="15"/>
      <c r="H793" s="15"/>
      <c r="I793" s="15"/>
      <c r="J793" s="15" t="s">
        <v>2833</v>
      </c>
      <c r="K793" s="15" t="s">
        <v>16</v>
      </c>
      <c r="L793" s="15" t="s">
        <v>2284</v>
      </c>
      <c r="M793" s="15"/>
      <c r="N793" s="16"/>
    </row>
    <row r="794" spans="1:14" x14ac:dyDescent="0.25">
      <c r="A794" s="16"/>
      <c r="B794" s="102" t="s">
        <v>4461</v>
      </c>
      <c r="C794" s="16" t="s">
        <v>12</v>
      </c>
      <c r="D794" s="15" t="s">
        <v>1492</v>
      </c>
      <c r="E794" s="15" t="s">
        <v>4462</v>
      </c>
      <c r="F794" s="15" t="s">
        <v>4463</v>
      </c>
      <c r="G794" s="15"/>
      <c r="H794" s="15"/>
      <c r="I794" s="15"/>
      <c r="J794" s="15" t="s">
        <v>2833</v>
      </c>
      <c r="K794" s="15" t="s">
        <v>16</v>
      </c>
      <c r="L794" s="15" t="s">
        <v>2284</v>
      </c>
      <c r="M794" s="15"/>
      <c r="N794" s="16"/>
    </row>
    <row r="795" spans="1:14" x14ac:dyDescent="0.25">
      <c r="A795" s="16"/>
      <c r="B795" s="102" t="s">
        <v>4465</v>
      </c>
      <c r="C795" s="16" t="s">
        <v>12</v>
      </c>
      <c r="D795" s="15" t="s">
        <v>1495</v>
      </c>
      <c r="E795" s="15" t="s">
        <v>4464</v>
      </c>
      <c r="F795" s="15"/>
      <c r="G795" s="15"/>
      <c r="H795" s="15"/>
      <c r="I795" s="15"/>
      <c r="J795" s="15" t="s">
        <v>2828</v>
      </c>
      <c r="K795" s="15" t="s">
        <v>16</v>
      </c>
      <c r="L795" s="15" t="s">
        <v>2284</v>
      </c>
      <c r="M795" s="15"/>
      <c r="N795" s="16"/>
    </row>
    <row r="796" spans="1:14" x14ac:dyDescent="0.25">
      <c r="A796" s="16"/>
      <c r="B796" s="102" t="s">
        <v>4466</v>
      </c>
      <c r="C796" s="16" t="s">
        <v>12</v>
      </c>
      <c r="D796" s="15" t="s">
        <v>1498</v>
      </c>
      <c r="E796" s="15" t="s">
        <v>4467</v>
      </c>
      <c r="F796" s="15"/>
      <c r="G796" s="15"/>
      <c r="H796" s="15"/>
      <c r="I796" s="15"/>
      <c r="J796" s="15" t="s">
        <v>2828</v>
      </c>
      <c r="K796" s="15" t="s">
        <v>16</v>
      </c>
      <c r="L796" s="15" t="s">
        <v>2284</v>
      </c>
      <c r="M796" s="15"/>
      <c r="N796" s="16"/>
    </row>
    <row r="797" spans="1:14" x14ac:dyDescent="0.25">
      <c r="A797" s="16"/>
      <c r="B797" s="102" t="s">
        <v>4468</v>
      </c>
      <c r="C797" s="16" t="s">
        <v>12</v>
      </c>
      <c r="D797" s="15" t="s">
        <v>1501</v>
      </c>
      <c r="E797" s="15" t="s">
        <v>4469</v>
      </c>
      <c r="F797" s="15"/>
      <c r="G797" s="15"/>
      <c r="H797" s="15"/>
      <c r="I797" s="15"/>
      <c r="J797" s="15" t="s">
        <v>2828</v>
      </c>
      <c r="K797" s="88" t="s">
        <v>16</v>
      </c>
      <c r="L797" s="15" t="s">
        <v>2284</v>
      </c>
      <c r="M797" s="15"/>
      <c r="N797" s="16"/>
    </row>
    <row r="798" spans="1:14" ht="30" x14ac:dyDescent="0.25">
      <c r="A798" s="16"/>
      <c r="B798" s="122" t="s">
        <v>4470</v>
      </c>
      <c r="C798" s="16" t="s">
        <v>12</v>
      </c>
      <c r="D798" s="15" t="s">
        <v>1504</v>
      </c>
      <c r="E798" s="15" t="s">
        <v>4471</v>
      </c>
      <c r="F798" s="15"/>
      <c r="G798" s="15"/>
      <c r="H798" s="15"/>
      <c r="I798" s="15"/>
      <c r="J798" s="15" t="s">
        <v>2830</v>
      </c>
      <c r="K798" s="15" t="s">
        <v>16</v>
      </c>
      <c r="L798" s="15" t="s">
        <v>2284</v>
      </c>
      <c r="M798" s="15"/>
      <c r="N798" s="16"/>
    </row>
    <row r="799" spans="1:14" x14ac:dyDescent="0.25">
      <c r="A799" s="16"/>
      <c r="B799" s="122" t="s">
        <v>4551</v>
      </c>
      <c r="C799" s="16" t="s">
        <v>12</v>
      </c>
      <c r="D799" s="15" t="s">
        <v>1507</v>
      </c>
      <c r="E799" s="15" t="s">
        <v>4552</v>
      </c>
      <c r="F799" s="15"/>
      <c r="G799" s="15"/>
      <c r="H799" s="15"/>
      <c r="I799" s="15"/>
      <c r="J799" s="15" t="s">
        <v>2932</v>
      </c>
      <c r="K799" s="15" t="s">
        <v>16</v>
      </c>
      <c r="L799" s="15" t="s">
        <v>2393</v>
      </c>
      <c r="M799" s="15"/>
      <c r="N799" s="16"/>
    </row>
    <row r="800" spans="1:14" x14ac:dyDescent="0.25">
      <c r="A800" s="16"/>
      <c r="B800" s="122" t="s">
        <v>4606</v>
      </c>
      <c r="C800" s="16" t="s">
        <v>12</v>
      </c>
      <c r="D800" s="15" t="s">
        <v>1509</v>
      </c>
      <c r="E800" s="15" t="s">
        <v>4607</v>
      </c>
      <c r="F800" s="15"/>
      <c r="G800" s="15"/>
      <c r="H800" s="15"/>
      <c r="I800" s="15"/>
      <c r="J800" s="15" t="s">
        <v>4583</v>
      </c>
      <c r="K800" s="15" t="s">
        <v>16</v>
      </c>
      <c r="L800" s="15" t="s">
        <v>2263</v>
      </c>
      <c r="M800" s="15"/>
      <c r="N800" s="16"/>
    </row>
    <row r="801" spans="1:14" x14ac:dyDescent="0.25">
      <c r="A801" s="16"/>
      <c r="B801" s="122" t="s">
        <v>4608</v>
      </c>
      <c r="C801" s="16" t="s">
        <v>12</v>
      </c>
      <c r="D801" s="15" t="s">
        <v>1512</v>
      </c>
      <c r="E801" s="15" t="s">
        <v>4609</v>
      </c>
      <c r="F801" s="15"/>
      <c r="G801" s="15"/>
      <c r="H801" s="15"/>
      <c r="I801" s="15"/>
      <c r="J801" s="15" t="s">
        <v>4583</v>
      </c>
      <c r="K801" s="15" t="s">
        <v>16</v>
      </c>
      <c r="L801" s="15" t="s">
        <v>2284</v>
      </c>
      <c r="M801" s="15"/>
      <c r="N801" s="16"/>
    </row>
    <row r="802" spans="1:14" x14ac:dyDescent="0.25">
      <c r="A802" s="16"/>
      <c r="B802" s="122" t="s">
        <v>4610</v>
      </c>
      <c r="C802" s="16" t="s">
        <v>12</v>
      </c>
      <c r="D802" s="15" t="s">
        <v>1515</v>
      </c>
      <c r="E802" s="15" t="s">
        <v>4611</v>
      </c>
      <c r="F802" s="15"/>
      <c r="G802" s="15"/>
      <c r="H802" s="15"/>
      <c r="I802" s="15"/>
      <c r="J802" s="15" t="s">
        <v>4583</v>
      </c>
      <c r="K802" s="15" t="s">
        <v>16</v>
      </c>
      <c r="L802" s="15" t="s">
        <v>2284</v>
      </c>
      <c r="M802" s="15"/>
      <c r="N802" s="16"/>
    </row>
    <row r="803" spans="1:14" x14ac:dyDescent="0.25">
      <c r="A803" s="16"/>
      <c r="B803" s="122"/>
      <c r="C803" s="16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6"/>
    </row>
    <row r="804" spans="1:14" x14ac:dyDescent="0.25">
      <c r="A804" s="16"/>
      <c r="B804" s="122"/>
      <c r="C804" s="16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6"/>
    </row>
    <row r="805" spans="1:14" x14ac:dyDescent="0.25">
      <c r="A805" s="16"/>
      <c r="B805" s="122"/>
      <c r="C805" s="16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6"/>
    </row>
    <row r="806" spans="1:14" x14ac:dyDescent="0.25">
      <c r="A806" s="16"/>
      <c r="B806" s="122"/>
      <c r="C806" s="16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6"/>
    </row>
    <row r="807" spans="1:14" x14ac:dyDescent="0.25">
      <c r="A807" s="16"/>
      <c r="B807" s="122"/>
      <c r="C807" s="16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6"/>
    </row>
    <row r="808" spans="1:14" x14ac:dyDescent="0.25">
      <c r="A808" s="16"/>
      <c r="B808" s="122"/>
      <c r="C808" s="16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6"/>
    </row>
    <row r="809" spans="1:14" x14ac:dyDescent="0.25">
      <c r="A809" s="16"/>
      <c r="B809" s="102"/>
      <c r="C809" s="16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6"/>
    </row>
  </sheetData>
  <autoFilter ref="A4:N802" xr:uid="{00000000-0009-0000-0000-000002000000}"/>
  <mergeCells count="4">
    <mergeCell ref="A1:N1"/>
    <mergeCell ref="A2:N2"/>
    <mergeCell ref="A3:B3"/>
    <mergeCell ref="K3:N3"/>
  </mergeCells>
  <conditionalFormatting sqref="B640:C640 B551:C551 B493:C493 B4:C5 B37:C37 B93:C93 B400:C400 B677:C677">
    <cfRule type="duplicateValues" dxfId="5" priority="108"/>
    <cfRule type="duplicateValues" dxfId="4" priority="109"/>
    <cfRule type="duplicateValues" dxfId="3" priority="110"/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2"/>
  <sheetViews>
    <sheetView workbookViewId="0">
      <pane ySplit="4" topLeftCell="A19" activePane="bottomLeft" state="frozen"/>
      <selection pane="bottomLeft" activeCell="B28" sqref="B28"/>
    </sheetView>
  </sheetViews>
  <sheetFormatPr defaultColWidth="9.140625" defaultRowHeight="15" x14ac:dyDescent="0.25"/>
  <cols>
    <col min="1" max="1" width="13.7109375" style="1" customWidth="1"/>
    <col min="2" max="2" width="54.5703125" style="23" customWidth="1"/>
    <col min="3" max="3" width="16.5703125" style="1" customWidth="1"/>
    <col min="4" max="4" width="13.42578125" style="50" customWidth="1"/>
    <col min="5" max="8" width="17.85546875" style="50" customWidth="1"/>
    <col min="9" max="9" width="21.85546875" style="50" customWidth="1"/>
    <col min="10" max="10" width="17.85546875" style="50" customWidth="1"/>
    <col min="11" max="13" width="15.85546875" style="50" customWidth="1"/>
    <col min="14" max="14" width="21.28515625" style="1" customWidth="1"/>
    <col min="15" max="15" width="9.140625" style="1"/>
    <col min="16" max="16" width="16.7109375" style="1" customWidth="1"/>
    <col min="17" max="16384" width="9.140625" style="1"/>
  </cols>
  <sheetData>
    <row r="1" spans="1:14" ht="28.5" x14ac:dyDescent="0.2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4"/>
    </row>
    <row r="2" spans="1:14" ht="21" x14ac:dyDescent="0.25">
      <c r="A2" s="135" t="s">
        <v>1978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1:14" ht="21" x14ac:dyDescent="0.25">
      <c r="A3" s="138" t="s">
        <v>1138</v>
      </c>
      <c r="B3" s="139"/>
      <c r="C3" s="2"/>
      <c r="D3" s="2"/>
      <c r="E3" s="2"/>
      <c r="F3" s="51"/>
      <c r="G3" s="51"/>
      <c r="H3" s="87"/>
      <c r="I3" s="87"/>
      <c r="J3" s="51"/>
      <c r="K3" s="136" t="s">
        <v>1139</v>
      </c>
      <c r="L3" s="136"/>
      <c r="M3" s="136"/>
      <c r="N3" s="137"/>
    </row>
    <row r="4" spans="1:14" ht="47.25" x14ac:dyDescent="0.25">
      <c r="A4" s="3" t="s">
        <v>4</v>
      </c>
      <c r="B4" s="3" t="s">
        <v>5</v>
      </c>
      <c r="C4" s="3" t="s">
        <v>6</v>
      </c>
      <c r="D4" s="4" t="s">
        <v>7</v>
      </c>
      <c r="E4" s="4" t="s">
        <v>8</v>
      </c>
      <c r="F4" s="4" t="s">
        <v>2275</v>
      </c>
      <c r="G4" s="4" t="s">
        <v>2276</v>
      </c>
      <c r="H4" s="4" t="s">
        <v>2278</v>
      </c>
      <c r="I4" s="4" t="s">
        <v>2277</v>
      </c>
      <c r="J4" s="4" t="s">
        <v>2274</v>
      </c>
      <c r="K4" s="4" t="s">
        <v>9</v>
      </c>
      <c r="L4" s="4" t="s">
        <v>2273</v>
      </c>
      <c r="M4" s="4" t="s">
        <v>2285</v>
      </c>
      <c r="N4" s="3" t="s">
        <v>10</v>
      </c>
    </row>
    <row r="5" spans="1:14" x14ac:dyDescent="0.25">
      <c r="A5" s="20">
        <v>1</v>
      </c>
      <c r="B5" s="54" t="s">
        <v>1979</v>
      </c>
      <c r="C5" s="20" t="s">
        <v>1268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</row>
    <row r="6" spans="1:14" x14ac:dyDescent="0.25">
      <c r="A6" s="14"/>
      <c r="B6" s="54" t="s">
        <v>1980</v>
      </c>
      <c r="C6" s="20" t="s">
        <v>1981</v>
      </c>
      <c r="D6" s="15" t="s">
        <v>14</v>
      </c>
      <c r="E6" s="15" t="s">
        <v>1982</v>
      </c>
      <c r="F6" s="15"/>
      <c r="G6" s="15"/>
      <c r="H6" s="15"/>
      <c r="I6" s="15"/>
      <c r="J6" s="15"/>
      <c r="K6" s="15" t="s">
        <v>16</v>
      </c>
      <c r="L6" s="15"/>
      <c r="M6" s="15"/>
      <c r="N6" s="16"/>
    </row>
    <row r="7" spans="1:14" x14ac:dyDescent="0.25">
      <c r="A7" s="20"/>
      <c r="B7" s="54" t="s">
        <v>1983</v>
      </c>
      <c r="C7" s="20" t="s">
        <v>1981</v>
      </c>
      <c r="D7" s="15" t="s">
        <v>19</v>
      </c>
      <c r="E7" s="15" t="s">
        <v>1984</v>
      </c>
      <c r="F7" s="15"/>
      <c r="G7" s="15"/>
      <c r="H7" s="15"/>
      <c r="I7" s="15"/>
      <c r="J7" s="15"/>
      <c r="K7" s="15" t="s">
        <v>16</v>
      </c>
      <c r="L7" s="15"/>
      <c r="M7" s="15"/>
      <c r="N7" s="16"/>
    </row>
    <row r="8" spans="1:14" x14ac:dyDescent="0.25">
      <c r="A8" s="20"/>
      <c r="B8" s="54" t="s">
        <v>1985</v>
      </c>
      <c r="C8" s="20" t="s">
        <v>1981</v>
      </c>
      <c r="D8" s="15" t="s">
        <v>22</v>
      </c>
      <c r="E8" s="15" t="s">
        <v>1986</v>
      </c>
      <c r="F8" s="15"/>
      <c r="G8" s="15"/>
      <c r="H8" s="15"/>
      <c r="I8" s="15"/>
      <c r="J8" s="15"/>
      <c r="K8" s="15" t="s">
        <v>16</v>
      </c>
      <c r="L8" s="15"/>
      <c r="M8" s="15"/>
      <c r="N8" s="16"/>
    </row>
    <row r="9" spans="1:14" x14ac:dyDescent="0.25">
      <c r="A9" s="20"/>
      <c r="B9" s="54" t="s">
        <v>1987</v>
      </c>
      <c r="C9" s="20" t="s">
        <v>1981</v>
      </c>
      <c r="D9" s="15" t="s">
        <v>25</v>
      </c>
      <c r="E9" s="15" t="s">
        <v>1988</v>
      </c>
      <c r="F9" s="15"/>
      <c r="G9" s="15"/>
      <c r="H9" s="15"/>
      <c r="I9" s="15"/>
      <c r="J9" s="15"/>
      <c r="K9" s="15" t="s">
        <v>16</v>
      </c>
      <c r="L9" s="15"/>
      <c r="M9" s="15"/>
      <c r="N9" s="16"/>
    </row>
    <row r="10" spans="1:14" x14ac:dyDescent="0.25">
      <c r="A10" s="20"/>
      <c r="B10" s="54" t="s">
        <v>1989</v>
      </c>
      <c r="C10" s="20" t="s">
        <v>1981</v>
      </c>
      <c r="D10" s="15" t="s">
        <v>28</v>
      </c>
      <c r="E10" s="15" t="s">
        <v>1990</v>
      </c>
      <c r="F10" s="15"/>
      <c r="G10" s="15"/>
      <c r="H10" s="15"/>
      <c r="I10" s="15"/>
      <c r="J10" s="15"/>
      <c r="K10" s="15" t="s">
        <v>16</v>
      </c>
      <c r="L10" s="15"/>
      <c r="M10" s="15"/>
      <c r="N10" s="16"/>
    </row>
    <row r="11" spans="1:14" x14ac:dyDescent="0.25">
      <c r="A11" s="20"/>
      <c r="B11" s="54" t="s">
        <v>2651</v>
      </c>
      <c r="C11" s="20" t="s">
        <v>1981</v>
      </c>
      <c r="D11" s="15" t="s">
        <v>31</v>
      </c>
      <c r="E11" s="15" t="s">
        <v>1991</v>
      </c>
      <c r="F11" s="15"/>
      <c r="G11" s="15"/>
      <c r="H11" s="15"/>
      <c r="I11" s="15"/>
      <c r="J11" s="15"/>
      <c r="K11" s="15" t="s">
        <v>16</v>
      </c>
      <c r="L11" s="15"/>
      <c r="M11" s="15"/>
      <c r="N11" s="16"/>
    </row>
    <row r="12" spans="1:14" x14ac:dyDescent="0.25">
      <c r="A12" s="20">
        <v>2</v>
      </c>
      <c r="B12" s="54" t="s">
        <v>1992</v>
      </c>
      <c r="C12" s="20" t="s">
        <v>1981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</row>
    <row r="13" spans="1:14" x14ac:dyDescent="0.25">
      <c r="A13" s="20"/>
      <c r="B13" s="22" t="s">
        <v>1993</v>
      </c>
      <c r="C13" s="14" t="s">
        <v>12</v>
      </c>
      <c r="D13" s="15" t="s">
        <v>14</v>
      </c>
      <c r="E13" s="15" t="s">
        <v>1994</v>
      </c>
      <c r="F13" s="15"/>
      <c r="G13" s="15"/>
      <c r="H13" s="15"/>
      <c r="I13" s="15"/>
      <c r="J13" s="15"/>
      <c r="K13" s="15" t="s">
        <v>16</v>
      </c>
      <c r="L13" s="15"/>
      <c r="M13" s="15"/>
      <c r="N13" s="16"/>
    </row>
    <row r="14" spans="1:14" x14ac:dyDescent="0.25">
      <c r="A14" s="20"/>
      <c r="B14" s="22" t="s">
        <v>1995</v>
      </c>
      <c r="C14" s="14" t="s">
        <v>12</v>
      </c>
      <c r="D14" s="15" t="s">
        <v>19</v>
      </c>
      <c r="E14" s="15" t="s">
        <v>1996</v>
      </c>
      <c r="F14" s="15"/>
      <c r="G14" s="15"/>
      <c r="H14" s="15"/>
      <c r="I14" s="15"/>
      <c r="J14" s="15"/>
      <c r="K14" s="15" t="s">
        <v>16</v>
      </c>
      <c r="L14" s="15"/>
      <c r="M14" s="15"/>
      <c r="N14" s="16"/>
    </row>
    <row r="15" spans="1:14" x14ac:dyDescent="0.25">
      <c r="A15" s="20"/>
      <c r="B15" s="22" t="s">
        <v>1997</v>
      </c>
      <c r="C15" s="14" t="s">
        <v>12</v>
      </c>
      <c r="D15" s="15" t="s">
        <v>22</v>
      </c>
      <c r="E15" s="15" t="s">
        <v>1998</v>
      </c>
      <c r="F15" s="15"/>
      <c r="G15" s="15"/>
      <c r="H15" s="15"/>
      <c r="I15" s="15"/>
      <c r="J15" s="15"/>
      <c r="K15" s="15" t="s">
        <v>16</v>
      </c>
      <c r="L15" s="15"/>
      <c r="M15" s="15"/>
      <c r="N15" s="16"/>
    </row>
    <row r="16" spans="1:14" x14ac:dyDescent="0.25">
      <c r="A16" s="20"/>
      <c r="B16" s="22" t="s">
        <v>1999</v>
      </c>
      <c r="C16" s="14" t="s">
        <v>12</v>
      </c>
      <c r="D16" s="15" t="s">
        <v>25</v>
      </c>
      <c r="E16" s="15" t="s">
        <v>2000</v>
      </c>
      <c r="F16" s="15"/>
      <c r="G16" s="15"/>
      <c r="H16" s="15"/>
      <c r="I16" s="15"/>
      <c r="J16" s="15"/>
      <c r="K16" s="15" t="s">
        <v>16</v>
      </c>
      <c r="L16" s="15"/>
      <c r="M16" s="15"/>
      <c r="N16" s="16"/>
    </row>
    <row r="17" spans="1:14" x14ac:dyDescent="0.25">
      <c r="A17" s="20"/>
      <c r="B17" s="22" t="s">
        <v>2001</v>
      </c>
      <c r="C17" s="14" t="s">
        <v>12</v>
      </c>
      <c r="D17" s="15" t="s">
        <v>28</v>
      </c>
      <c r="E17" s="15" t="s">
        <v>2002</v>
      </c>
      <c r="F17" s="15"/>
      <c r="G17" s="15"/>
      <c r="H17" s="15"/>
      <c r="I17" s="15"/>
      <c r="J17" s="15"/>
      <c r="K17" s="15" t="s">
        <v>16</v>
      </c>
      <c r="L17" s="15"/>
      <c r="M17" s="15"/>
      <c r="N17" s="16"/>
    </row>
    <row r="18" spans="1:14" x14ac:dyDescent="0.25">
      <c r="A18" s="20"/>
      <c r="B18" s="22" t="s">
        <v>2003</v>
      </c>
      <c r="C18" s="14" t="s">
        <v>12</v>
      </c>
      <c r="D18" s="15" t="s">
        <v>31</v>
      </c>
      <c r="E18" s="15" t="s">
        <v>2004</v>
      </c>
      <c r="F18" s="15"/>
      <c r="G18" s="15"/>
      <c r="H18" s="15"/>
      <c r="I18" s="15"/>
      <c r="J18" s="15"/>
      <c r="K18" s="15" t="s">
        <v>16</v>
      </c>
      <c r="L18" s="15"/>
      <c r="M18" s="15"/>
      <c r="N18" s="16"/>
    </row>
    <row r="19" spans="1:14" x14ac:dyDescent="0.25">
      <c r="A19" s="20"/>
      <c r="B19" s="22" t="s">
        <v>2005</v>
      </c>
      <c r="C19" s="14" t="s">
        <v>12</v>
      </c>
      <c r="D19" s="15" t="s">
        <v>34</v>
      </c>
      <c r="E19" s="15" t="s">
        <v>2006</v>
      </c>
      <c r="F19" s="15"/>
      <c r="G19" s="15"/>
      <c r="H19" s="15"/>
      <c r="I19" s="15"/>
      <c r="J19" s="15"/>
      <c r="K19" s="15" t="s">
        <v>16</v>
      </c>
      <c r="L19" s="15"/>
      <c r="M19" s="15"/>
      <c r="N19" s="16"/>
    </row>
    <row r="20" spans="1:14" x14ac:dyDescent="0.25">
      <c r="A20" s="20"/>
      <c r="B20" s="22" t="s">
        <v>2007</v>
      </c>
      <c r="C20" s="14" t="s">
        <v>1268</v>
      </c>
      <c r="D20" s="15" t="s">
        <v>37</v>
      </c>
      <c r="E20" s="15" t="s">
        <v>2008</v>
      </c>
      <c r="F20" s="15"/>
      <c r="G20" s="15"/>
      <c r="H20" s="15"/>
      <c r="I20" s="15"/>
      <c r="J20" s="15"/>
      <c r="K20" s="15" t="s">
        <v>16</v>
      </c>
      <c r="L20" s="15"/>
      <c r="M20" s="15"/>
      <c r="N20" s="16"/>
    </row>
    <row r="21" spans="1:14" x14ac:dyDescent="0.25">
      <c r="A21" s="20"/>
      <c r="B21" s="22" t="s">
        <v>2009</v>
      </c>
      <c r="C21" s="14" t="s">
        <v>12</v>
      </c>
      <c r="D21" s="15" t="s">
        <v>40</v>
      </c>
      <c r="E21" s="15" t="s">
        <v>2010</v>
      </c>
      <c r="F21" s="15"/>
      <c r="G21" s="15"/>
      <c r="H21" s="15"/>
      <c r="I21" s="15"/>
      <c r="J21" s="15"/>
      <c r="K21" s="15" t="s">
        <v>16</v>
      </c>
      <c r="L21" s="15"/>
      <c r="M21" s="15"/>
      <c r="N21" s="16"/>
    </row>
    <row r="22" spans="1:14" x14ac:dyDescent="0.25">
      <c r="A22" s="20"/>
      <c r="B22" s="22" t="s">
        <v>2011</v>
      </c>
      <c r="C22" s="14" t="s">
        <v>88</v>
      </c>
      <c r="D22" s="15" t="s">
        <v>43</v>
      </c>
      <c r="E22" s="15" t="s">
        <v>2012</v>
      </c>
      <c r="F22" s="15"/>
      <c r="G22" s="15"/>
      <c r="H22" s="15"/>
      <c r="I22" s="15"/>
      <c r="J22" s="15"/>
      <c r="K22" s="15" t="s">
        <v>16</v>
      </c>
      <c r="L22" s="15"/>
      <c r="M22" s="15"/>
      <c r="N22" s="16"/>
    </row>
    <row r="23" spans="1:14" x14ac:dyDescent="0.25">
      <c r="A23" s="20"/>
      <c r="B23" s="22" t="s">
        <v>2013</v>
      </c>
      <c r="C23" s="14" t="s">
        <v>88</v>
      </c>
      <c r="D23" s="15" t="s">
        <v>46</v>
      </c>
      <c r="E23" s="15" t="s">
        <v>2014</v>
      </c>
      <c r="F23" s="15"/>
      <c r="G23" s="15"/>
      <c r="H23" s="15"/>
      <c r="I23" s="15"/>
      <c r="J23" s="15"/>
      <c r="K23" s="15" t="s">
        <v>16</v>
      </c>
      <c r="L23" s="15"/>
      <c r="M23" s="15"/>
      <c r="N23" s="16"/>
    </row>
    <row r="24" spans="1:14" x14ac:dyDescent="0.25">
      <c r="A24" s="20"/>
      <c r="B24" s="22" t="s">
        <v>2015</v>
      </c>
      <c r="C24" s="14" t="s">
        <v>88</v>
      </c>
      <c r="D24" s="15" t="s">
        <v>72</v>
      </c>
      <c r="E24" s="15" t="s">
        <v>2016</v>
      </c>
      <c r="F24" s="15"/>
      <c r="G24" s="15"/>
      <c r="H24" s="15"/>
      <c r="I24" s="15"/>
      <c r="J24" s="15"/>
      <c r="K24" s="15" t="s">
        <v>16</v>
      </c>
      <c r="L24" s="15"/>
      <c r="M24" s="15"/>
      <c r="N24" s="16"/>
    </row>
    <row r="25" spans="1:14" x14ac:dyDescent="0.25">
      <c r="A25" s="20"/>
      <c r="B25" s="22" t="s">
        <v>2017</v>
      </c>
      <c r="C25" s="14" t="s">
        <v>88</v>
      </c>
      <c r="D25" s="15" t="s">
        <v>75</v>
      </c>
      <c r="E25" s="15" t="s">
        <v>2018</v>
      </c>
      <c r="F25" s="15"/>
      <c r="G25" s="15"/>
      <c r="H25" s="15"/>
      <c r="I25" s="15"/>
      <c r="J25" s="15"/>
      <c r="K25" s="15" t="s">
        <v>16</v>
      </c>
      <c r="L25" s="15"/>
      <c r="M25" s="15"/>
      <c r="N25" s="16"/>
    </row>
    <row r="26" spans="1:14" x14ac:dyDescent="0.25">
      <c r="A26" s="20"/>
      <c r="B26" s="22" t="s">
        <v>2019</v>
      </c>
      <c r="C26" s="14" t="s">
        <v>12</v>
      </c>
      <c r="D26" s="15" t="s">
        <v>77</v>
      </c>
      <c r="E26" s="15" t="s">
        <v>2020</v>
      </c>
      <c r="F26" s="15"/>
      <c r="G26" s="15"/>
      <c r="H26" s="15"/>
      <c r="I26" s="15"/>
      <c r="J26" s="15"/>
      <c r="K26" s="15" t="s">
        <v>16</v>
      </c>
      <c r="L26" s="15"/>
      <c r="M26" s="15"/>
      <c r="N26" s="16"/>
    </row>
    <row r="27" spans="1:14" x14ac:dyDescent="0.25">
      <c r="A27" s="20"/>
      <c r="B27" s="22" t="s">
        <v>2021</v>
      </c>
      <c r="C27" s="14" t="s">
        <v>12</v>
      </c>
      <c r="D27" s="15" t="s">
        <v>80</v>
      </c>
      <c r="E27" s="15" t="s">
        <v>2022</v>
      </c>
      <c r="F27" s="15"/>
      <c r="G27" s="15"/>
      <c r="H27" s="15"/>
      <c r="I27" s="15"/>
      <c r="J27" s="15"/>
      <c r="K27" s="15" t="s">
        <v>16</v>
      </c>
      <c r="L27" s="15"/>
      <c r="M27" s="15"/>
      <c r="N27" s="16"/>
    </row>
    <row r="28" spans="1:14" x14ac:dyDescent="0.25">
      <c r="A28" s="20"/>
      <c r="B28" s="22" t="s">
        <v>2023</v>
      </c>
      <c r="C28" s="14" t="s">
        <v>12</v>
      </c>
      <c r="D28" s="15" t="s">
        <v>84</v>
      </c>
      <c r="E28" s="15" t="s">
        <v>2024</v>
      </c>
      <c r="F28" s="15"/>
      <c r="G28" s="15"/>
      <c r="H28" s="15"/>
      <c r="I28" s="15"/>
      <c r="J28" s="15"/>
      <c r="K28" s="15" t="s">
        <v>16</v>
      </c>
      <c r="L28" s="15"/>
      <c r="M28" s="15"/>
      <c r="N28" s="16"/>
    </row>
    <row r="29" spans="1:14" x14ac:dyDescent="0.25">
      <c r="A29" s="20">
        <v>3</v>
      </c>
      <c r="B29" s="54" t="s">
        <v>2025</v>
      </c>
      <c r="C29" s="20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</row>
    <row r="30" spans="1:14" x14ac:dyDescent="0.25">
      <c r="A30" s="20"/>
      <c r="B30" s="22" t="s">
        <v>2026</v>
      </c>
      <c r="C30" s="14" t="s">
        <v>12</v>
      </c>
      <c r="D30" s="15" t="s">
        <v>14</v>
      </c>
      <c r="E30" s="15" t="s">
        <v>2027</v>
      </c>
      <c r="F30" s="15" t="s">
        <v>2363</v>
      </c>
      <c r="G30" s="15" t="s">
        <v>2378</v>
      </c>
      <c r="H30" s="15"/>
      <c r="I30" s="15" t="s">
        <v>2379</v>
      </c>
      <c r="J30" s="15" t="s">
        <v>2353</v>
      </c>
      <c r="K30" s="15" t="s">
        <v>16</v>
      </c>
      <c r="L30" s="15" t="s">
        <v>2284</v>
      </c>
      <c r="M30" s="15"/>
      <c r="N30" s="16"/>
    </row>
    <row r="31" spans="1:14" x14ac:dyDescent="0.25">
      <c r="A31" s="20"/>
      <c r="B31" s="22" t="s">
        <v>2026</v>
      </c>
      <c r="C31" s="14" t="s">
        <v>12</v>
      </c>
      <c r="D31" s="15" t="s">
        <v>19</v>
      </c>
      <c r="E31" s="15" t="s">
        <v>2029</v>
      </c>
      <c r="F31" s="15" t="s">
        <v>2363</v>
      </c>
      <c r="G31" s="15" t="s">
        <v>2378</v>
      </c>
      <c r="H31" s="15"/>
      <c r="I31" s="15" t="s">
        <v>2380</v>
      </c>
      <c r="J31" s="15" t="s">
        <v>2353</v>
      </c>
      <c r="K31" s="15" t="s">
        <v>16</v>
      </c>
      <c r="L31" s="15" t="s">
        <v>2284</v>
      </c>
      <c r="M31" s="15"/>
      <c r="N31" s="16"/>
    </row>
    <row r="32" spans="1:14" x14ac:dyDescent="0.25">
      <c r="A32" s="20"/>
      <c r="B32" s="22" t="s">
        <v>2028</v>
      </c>
      <c r="C32" s="14" t="s">
        <v>1268</v>
      </c>
      <c r="D32" s="15" t="s">
        <v>22</v>
      </c>
      <c r="E32" s="15" t="s">
        <v>2031</v>
      </c>
      <c r="F32" s="15"/>
      <c r="G32" s="15"/>
      <c r="H32" s="15"/>
      <c r="I32" s="15"/>
      <c r="J32" s="15"/>
      <c r="K32" s="15" t="s">
        <v>16</v>
      </c>
      <c r="L32" s="15"/>
      <c r="M32" s="15"/>
      <c r="N32" s="16"/>
    </row>
    <row r="33" spans="1:14" x14ac:dyDescent="0.25">
      <c r="A33" s="20"/>
      <c r="B33" s="22" t="s">
        <v>2030</v>
      </c>
      <c r="C33" s="14" t="s">
        <v>88</v>
      </c>
      <c r="D33" s="15" t="s">
        <v>25</v>
      </c>
      <c r="E33" s="15" t="s">
        <v>2033</v>
      </c>
      <c r="F33" s="15" t="s">
        <v>2605</v>
      </c>
      <c r="G33" s="15"/>
      <c r="H33" s="15"/>
      <c r="I33" s="15"/>
      <c r="J33" s="15" t="s">
        <v>3011</v>
      </c>
      <c r="K33" s="15" t="s">
        <v>16</v>
      </c>
      <c r="L33" s="15" t="s">
        <v>2231</v>
      </c>
      <c r="M33" s="15"/>
      <c r="N33" s="16"/>
    </row>
    <row r="34" spans="1:14" x14ac:dyDescent="0.25">
      <c r="A34" s="20"/>
      <c r="B34" s="22" t="s">
        <v>2032</v>
      </c>
      <c r="C34" s="14" t="s">
        <v>88</v>
      </c>
      <c r="D34" s="15" t="s">
        <v>28</v>
      </c>
      <c r="E34" s="15" t="s">
        <v>2035</v>
      </c>
      <c r="F34" s="15" t="s">
        <v>2605</v>
      </c>
      <c r="G34" s="15"/>
      <c r="H34" s="15"/>
      <c r="I34" s="15"/>
      <c r="J34" s="15" t="s">
        <v>3011</v>
      </c>
      <c r="K34" s="15" t="s">
        <v>16</v>
      </c>
      <c r="L34" s="15" t="s">
        <v>2394</v>
      </c>
      <c r="M34" s="15"/>
      <c r="N34" s="16"/>
    </row>
    <row r="35" spans="1:14" x14ac:dyDescent="0.25">
      <c r="A35" s="20"/>
      <c r="B35" s="22" t="s">
        <v>2034</v>
      </c>
      <c r="C35" s="14" t="s">
        <v>88</v>
      </c>
      <c r="D35" s="15" t="s">
        <v>31</v>
      </c>
      <c r="E35" s="15" t="s">
        <v>2037</v>
      </c>
      <c r="F35" s="15"/>
      <c r="G35" s="15"/>
      <c r="H35" s="15"/>
      <c r="I35" s="15"/>
      <c r="J35" s="15"/>
      <c r="K35" s="15" t="s">
        <v>16</v>
      </c>
      <c r="L35" s="15"/>
      <c r="M35" s="15"/>
      <c r="N35" s="16"/>
    </row>
    <row r="36" spans="1:14" x14ac:dyDescent="0.25">
      <c r="A36" s="20"/>
      <c r="B36" s="22" t="s">
        <v>3438</v>
      </c>
      <c r="C36" s="14" t="s">
        <v>88</v>
      </c>
      <c r="D36" s="15" t="s">
        <v>34</v>
      </c>
      <c r="E36" s="15" t="s">
        <v>2039</v>
      </c>
      <c r="F36" s="15"/>
      <c r="G36" s="15"/>
      <c r="H36" s="15"/>
      <c r="I36" s="15"/>
      <c r="J36" s="15" t="s">
        <v>3415</v>
      </c>
      <c r="K36" s="15" t="s">
        <v>16</v>
      </c>
      <c r="L36" s="15" t="s">
        <v>2284</v>
      </c>
      <c r="M36" s="15"/>
      <c r="N36" s="16" t="s">
        <v>3442</v>
      </c>
    </row>
    <row r="37" spans="1:14" x14ac:dyDescent="0.25">
      <c r="A37" s="20"/>
      <c r="B37" s="22" t="s">
        <v>2032</v>
      </c>
      <c r="C37" s="14" t="s">
        <v>88</v>
      </c>
      <c r="D37" s="15" t="s">
        <v>37</v>
      </c>
      <c r="E37" s="15" t="s">
        <v>2041</v>
      </c>
      <c r="F37" s="15"/>
      <c r="G37" s="15"/>
      <c r="H37" s="15"/>
      <c r="I37" s="15"/>
      <c r="J37" s="15" t="s">
        <v>3415</v>
      </c>
      <c r="K37" s="15" t="s">
        <v>16</v>
      </c>
      <c r="L37" s="15" t="s">
        <v>2284</v>
      </c>
      <c r="M37" s="15"/>
      <c r="N37" s="16" t="s">
        <v>3442</v>
      </c>
    </row>
    <row r="38" spans="1:14" x14ac:dyDescent="0.25">
      <c r="A38" s="20"/>
      <c r="B38" s="22" t="s">
        <v>3440</v>
      </c>
      <c r="C38" s="14" t="s">
        <v>88</v>
      </c>
      <c r="D38" s="15" t="s">
        <v>40</v>
      </c>
      <c r="E38" s="15" t="s">
        <v>2043</v>
      </c>
      <c r="F38" s="15"/>
      <c r="G38" s="15"/>
      <c r="H38" s="15"/>
      <c r="I38" s="15"/>
      <c r="J38" s="15" t="s">
        <v>3415</v>
      </c>
      <c r="K38" s="15" t="s">
        <v>16</v>
      </c>
      <c r="L38" s="15" t="s">
        <v>2284</v>
      </c>
      <c r="M38" s="15"/>
      <c r="N38" s="16" t="s">
        <v>3442</v>
      </c>
    </row>
    <row r="39" spans="1:14" x14ac:dyDescent="0.25">
      <c r="A39" s="20"/>
      <c r="B39" s="22" t="s">
        <v>3440</v>
      </c>
      <c r="C39" s="14" t="s">
        <v>88</v>
      </c>
      <c r="D39" s="15" t="s">
        <v>43</v>
      </c>
      <c r="E39" s="15" t="s">
        <v>2045</v>
      </c>
      <c r="F39" s="15"/>
      <c r="G39" s="15"/>
      <c r="H39" s="15"/>
      <c r="I39" s="15"/>
      <c r="J39" s="15" t="s">
        <v>2970</v>
      </c>
      <c r="K39" s="15" t="s">
        <v>16</v>
      </c>
      <c r="L39" s="15" t="s">
        <v>2252</v>
      </c>
      <c r="M39" s="15"/>
      <c r="N39" s="16"/>
    </row>
    <row r="40" spans="1:14" x14ac:dyDescent="0.25">
      <c r="A40" s="20"/>
      <c r="B40" s="22" t="s">
        <v>2030</v>
      </c>
      <c r="C40" s="14" t="s">
        <v>88</v>
      </c>
      <c r="D40" s="15" t="s">
        <v>46</v>
      </c>
      <c r="E40" s="15" t="s">
        <v>2047</v>
      </c>
      <c r="F40" s="15"/>
      <c r="G40" s="15"/>
      <c r="H40" s="15"/>
      <c r="I40" s="15"/>
      <c r="J40" s="15" t="s">
        <v>3415</v>
      </c>
      <c r="K40" s="15" t="s">
        <v>16</v>
      </c>
      <c r="L40" s="15" t="s">
        <v>2284</v>
      </c>
      <c r="M40" s="15"/>
      <c r="N40" s="16" t="s">
        <v>3441</v>
      </c>
    </row>
    <row r="41" spans="1:14" x14ac:dyDescent="0.25">
      <c r="A41" s="20"/>
      <c r="B41" s="22" t="s">
        <v>3438</v>
      </c>
      <c r="C41" s="14" t="s">
        <v>88</v>
      </c>
      <c r="D41" s="15" t="s">
        <v>72</v>
      </c>
      <c r="E41" s="15" t="s">
        <v>2049</v>
      </c>
      <c r="F41" s="15"/>
      <c r="G41" s="15"/>
      <c r="H41" s="15"/>
      <c r="I41" s="15"/>
      <c r="J41" s="15" t="s">
        <v>3415</v>
      </c>
      <c r="K41" s="15" t="s">
        <v>16</v>
      </c>
      <c r="L41" s="15" t="s">
        <v>2284</v>
      </c>
      <c r="M41" s="15"/>
      <c r="N41" s="16" t="s">
        <v>3443</v>
      </c>
    </row>
    <row r="42" spans="1:14" x14ac:dyDescent="0.25">
      <c r="A42" s="20"/>
      <c r="B42" s="22" t="s">
        <v>2032</v>
      </c>
      <c r="C42" s="14" t="s">
        <v>88</v>
      </c>
      <c r="D42" s="15" t="s">
        <v>75</v>
      </c>
      <c r="E42" s="15" t="s">
        <v>2051</v>
      </c>
      <c r="F42" s="15"/>
      <c r="G42" s="15"/>
      <c r="H42" s="15"/>
      <c r="I42" s="15"/>
      <c r="J42" s="15" t="s">
        <v>3415</v>
      </c>
      <c r="K42" s="15" t="s">
        <v>16</v>
      </c>
      <c r="L42" s="15" t="s">
        <v>2284</v>
      </c>
      <c r="M42" s="15"/>
      <c r="N42" s="16" t="s">
        <v>3443</v>
      </c>
    </row>
    <row r="43" spans="1:14" x14ac:dyDescent="0.25">
      <c r="A43" s="20"/>
      <c r="B43" s="22" t="s">
        <v>2030</v>
      </c>
      <c r="C43" s="14" t="s">
        <v>88</v>
      </c>
      <c r="D43" s="15" t="s">
        <v>77</v>
      </c>
      <c r="E43" s="15" t="s">
        <v>2053</v>
      </c>
      <c r="F43" s="15"/>
      <c r="G43" s="15"/>
      <c r="H43" s="15"/>
      <c r="I43" s="15"/>
      <c r="J43" s="15" t="s">
        <v>3415</v>
      </c>
      <c r="K43" s="15" t="s">
        <v>16</v>
      </c>
      <c r="L43" s="15" t="s">
        <v>2284</v>
      </c>
      <c r="M43" s="15"/>
      <c r="N43" s="16" t="s">
        <v>3444</v>
      </c>
    </row>
    <row r="44" spans="1:14" x14ac:dyDescent="0.25">
      <c r="A44" s="20"/>
      <c r="B44" s="22" t="s">
        <v>2030</v>
      </c>
      <c r="C44" s="14" t="s">
        <v>88</v>
      </c>
      <c r="D44" s="15" t="s">
        <v>80</v>
      </c>
      <c r="E44" s="15" t="s">
        <v>2055</v>
      </c>
      <c r="F44" s="15"/>
      <c r="G44" s="15"/>
      <c r="H44" s="15"/>
      <c r="I44" s="15"/>
      <c r="J44" s="15" t="s">
        <v>3415</v>
      </c>
      <c r="K44" s="15" t="s">
        <v>16</v>
      </c>
      <c r="L44" s="15" t="s">
        <v>2284</v>
      </c>
      <c r="M44" s="15"/>
      <c r="N44" s="16" t="s">
        <v>3445</v>
      </c>
    </row>
    <row r="45" spans="1:14" x14ac:dyDescent="0.25">
      <c r="A45" s="20"/>
      <c r="B45" s="22" t="s">
        <v>2976</v>
      </c>
      <c r="C45" s="14" t="s">
        <v>88</v>
      </c>
      <c r="D45" s="15" t="s">
        <v>84</v>
      </c>
      <c r="E45" s="15" t="s">
        <v>2057</v>
      </c>
      <c r="F45" s="15"/>
      <c r="G45" s="15"/>
      <c r="H45" s="15"/>
      <c r="I45" s="15"/>
      <c r="J45" s="15" t="s">
        <v>3415</v>
      </c>
      <c r="K45" s="15" t="s">
        <v>16</v>
      </c>
      <c r="L45" s="15" t="s">
        <v>2284</v>
      </c>
      <c r="M45" s="15"/>
      <c r="N45" s="16" t="s">
        <v>3445</v>
      </c>
    </row>
    <row r="46" spans="1:14" x14ac:dyDescent="0.25">
      <c r="A46" s="20"/>
      <c r="B46" s="22" t="s">
        <v>2976</v>
      </c>
      <c r="C46" s="14" t="s">
        <v>88</v>
      </c>
      <c r="D46" s="15" t="s">
        <v>123</v>
      </c>
      <c r="E46" s="15" t="s">
        <v>2059</v>
      </c>
      <c r="F46" s="15"/>
      <c r="G46" s="15"/>
      <c r="H46" s="15"/>
      <c r="I46" s="15"/>
      <c r="J46" s="15" t="s">
        <v>2970</v>
      </c>
      <c r="K46" s="15" t="s">
        <v>16</v>
      </c>
      <c r="L46" s="15" t="s">
        <v>2419</v>
      </c>
      <c r="M46" s="15"/>
      <c r="N46" s="16"/>
    </row>
    <row r="47" spans="1:14" x14ac:dyDescent="0.25">
      <c r="A47" s="20"/>
      <c r="B47" s="22" t="s">
        <v>2030</v>
      </c>
      <c r="C47" s="14" t="s">
        <v>88</v>
      </c>
      <c r="D47" s="15" t="s">
        <v>212</v>
      </c>
      <c r="E47" s="15" t="s">
        <v>2061</v>
      </c>
      <c r="F47" s="15"/>
      <c r="G47" s="15"/>
      <c r="H47" s="15"/>
      <c r="I47" s="15"/>
      <c r="J47" s="15" t="s">
        <v>3415</v>
      </c>
      <c r="K47" s="15" t="s">
        <v>16</v>
      </c>
      <c r="L47" s="15" t="s">
        <v>2284</v>
      </c>
      <c r="M47" s="15"/>
      <c r="N47" s="16" t="s">
        <v>3446</v>
      </c>
    </row>
    <row r="48" spans="1:14" x14ac:dyDescent="0.25">
      <c r="A48" s="20"/>
      <c r="B48" s="22" t="s">
        <v>3438</v>
      </c>
      <c r="C48" s="14" t="s">
        <v>88</v>
      </c>
      <c r="D48" s="15" t="s">
        <v>214</v>
      </c>
      <c r="E48" s="15" t="s">
        <v>2063</v>
      </c>
      <c r="F48" s="15"/>
      <c r="G48" s="15"/>
      <c r="H48" s="15"/>
      <c r="I48" s="15"/>
      <c r="J48" s="15" t="s">
        <v>3447</v>
      </c>
      <c r="K48" s="15" t="s">
        <v>16</v>
      </c>
      <c r="L48" s="15" t="s">
        <v>2284</v>
      </c>
      <c r="M48" s="15"/>
      <c r="N48" s="16" t="s">
        <v>3448</v>
      </c>
    </row>
    <row r="49" spans="1:14" x14ac:dyDescent="0.25">
      <c r="A49" s="20"/>
      <c r="B49" s="22" t="s">
        <v>3438</v>
      </c>
      <c r="C49" s="14" t="s">
        <v>88</v>
      </c>
      <c r="D49" s="15" t="s">
        <v>216</v>
      </c>
      <c r="E49" s="15" t="s">
        <v>2065</v>
      </c>
      <c r="F49" s="15"/>
      <c r="G49" s="15"/>
      <c r="H49" s="15"/>
      <c r="I49" s="15"/>
      <c r="J49" s="15" t="s">
        <v>3447</v>
      </c>
      <c r="K49" s="15" t="s">
        <v>16</v>
      </c>
      <c r="L49" s="15" t="s">
        <v>2284</v>
      </c>
      <c r="M49" s="15"/>
      <c r="N49" s="16" t="s">
        <v>3449</v>
      </c>
    </row>
    <row r="50" spans="1:14" x14ac:dyDescent="0.25">
      <c r="A50" s="20"/>
      <c r="B50" s="22" t="s">
        <v>2030</v>
      </c>
      <c r="C50" s="14" t="s">
        <v>88</v>
      </c>
      <c r="D50" s="15" t="s">
        <v>218</v>
      </c>
      <c r="E50" s="15" t="s">
        <v>2067</v>
      </c>
      <c r="F50" s="15"/>
      <c r="G50" s="15"/>
      <c r="H50" s="15"/>
      <c r="I50" s="15"/>
      <c r="J50" s="15" t="s">
        <v>3447</v>
      </c>
      <c r="K50" s="15" t="s">
        <v>16</v>
      </c>
      <c r="L50" s="15" t="s">
        <v>2284</v>
      </c>
      <c r="M50" s="15"/>
      <c r="N50" s="16" t="s">
        <v>3449</v>
      </c>
    </row>
    <row r="51" spans="1:14" x14ac:dyDescent="0.25">
      <c r="A51" s="20"/>
      <c r="B51" s="22" t="s">
        <v>3438</v>
      </c>
      <c r="C51" s="14" t="s">
        <v>88</v>
      </c>
      <c r="D51" s="15" t="s">
        <v>220</v>
      </c>
      <c r="E51" s="15" t="s">
        <v>2069</v>
      </c>
      <c r="F51" s="15"/>
      <c r="G51" s="15"/>
      <c r="H51" s="15"/>
      <c r="I51" s="15"/>
      <c r="J51" s="15" t="s">
        <v>3450</v>
      </c>
      <c r="K51" s="15" t="s">
        <v>16</v>
      </c>
      <c r="L51" s="15" t="s">
        <v>2284</v>
      </c>
      <c r="M51" s="15"/>
      <c r="N51" s="16" t="s">
        <v>3451</v>
      </c>
    </row>
    <row r="52" spans="1:14" x14ac:dyDescent="0.25">
      <c r="A52" s="20"/>
      <c r="B52" s="22" t="s">
        <v>2032</v>
      </c>
      <c r="C52" s="14" t="s">
        <v>88</v>
      </c>
      <c r="D52" s="15" t="s">
        <v>222</v>
      </c>
      <c r="E52" s="15" t="s">
        <v>2071</v>
      </c>
      <c r="F52" s="15"/>
      <c r="G52" s="15"/>
      <c r="H52" s="15"/>
      <c r="I52" s="15"/>
      <c r="J52" s="15" t="s">
        <v>3450</v>
      </c>
      <c r="K52" s="15" t="s">
        <v>16</v>
      </c>
      <c r="L52" s="15" t="s">
        <v>2284</v>
      </c>
      <c r="M52" s="15"/>
      <c r="N52" s="16" t="s">
        <v>3452</v>
      </c>
    </row>
    <row r="53" spans="1:14" x14ac:dyDescent="0.25">
      <c r="A53" s="20"/>
      <c r="B53" s="22" t="s">
        <v>3438</v>
      </c>
      <c r="C53" s="14" t="s">
        <v>88</v>
      </c>
      <c r="D53" s="15" t="s">
        <v>224</v>
      </c>
      <c r="E53" s="15" t="s">
        <v>2073</v>
      </c>
      <c r="F53" s="15"/>
      <c r="G53" s="15"/>
      <c r="H53" s="15"/>
      <c r="I53" s="15"/>
      <c r="J53" s="15" t="s">
        <v>2970</v>
      </c>
      <c r="K53" s="15" t="s">
        <v>16</v>
      </c>
      <c r="L53" s="15" t="s">
        <v>2256</v>
      </c>
      <c r="M53" s="15"/>
      <c r="N53" s="16"/>
    </row>
    <row r="54" spans="1:14" x14ac:dyDescent="0.25">
      <c r="A54" s="20"/>
      <c r="B54" s="22" t="s">
        <v>2032</v>
      </c>
      <c r="C54" s="14" t="s">
        <v>88</v>
      </c>
      <c r="D54" s="15" t="s">
        <v>226</v>
      </c>
      <c r="E54" s="15" t="s">
        <v>2075</v>
      </c>
      <c r="F54" s="15"/>
      <c r="G54" s="15"/>
      <c r="H54" s="15"/>
      <c r="I54" s="15"/>
      <c r="J54" s="15" t="s">
        <v>2970</v>
      </c>
      <c r="K54" s="15" t="s">
        <v>16</v>
      </c>
      <c r="L54" s="15" t="s">
        <v>2529</v>
      </c>
      <c r="M54" s="15"/>
      <c r="N54" s="16"/>
    </row>
    <row r="55" spans="1:14" x14ac:dyDescent="0.25">
      <c r="A55" s="20"/>
      <c r="B55" s="22" t="s">
        <v>2030</v>
      </c>
      <c r="C55" s="14" t="s">
        <v>88</v>
      </c>
      <c r="D55" s="15" t="s">
        <v>228</v>
      </c>
      <c r="E55" s="15" t="s">
        <v>2077</v>
      </c>
      <c r="F55" s="15"/>
      <c r="G55" s="15"/>
      <c r="H55" s="15"/>
      <c r="I55" s="15"/>
      <c r="J55" s="15" t="s">
        <v>2970</v>
      </c>
      <c r="K55" s="15" t="s">
        <v>16</v>
      </c>
      <c r="L55" s="15" t="s">
        <v>2267</v>
      </c>
      <c r="M55" s="15"/>
      <c r="N55" s="16"/>
    </row>
    <row r="56" spans="1:14" x14ac:dyDescent="0.25">
      <c r="A56" s="20"/>
      <c r="B56" s="22" t="s">
        <v>2030</v>
      </c>
      <c r="C56" s="14" t="s">
        <v>88</v>
      </c>
      <c r="D56" s="15" t="s">
        <v>230</v>
      </c>
      <c r="E56" s="15" t="s">
        <v>2079</v>
      </c>
      <c r="F56" s="15"/>
      <c r="G56" s="15"/>
      <c r="H56" s="15"/>
      <c r="I56" s="15"/>
      <c r="J56" s="15" t="s">
        <v>3398</v>
      </c>
      <c r="K56" s="15" t="s">
        <v>16</v>
      </c>
      <c r="L56" s="15" t="s">
        <v>2252</v>
      </c>
      <c r="M56" s="15"/>
      <c r="N56" s="16"/>
    </row>
    <row r="57" spans="1:14" x14ac:dyDescent="0.25">
      <c r="A57" s="20"/>
      <c r="B57" s="22" t="s">
        <v>2030</v>
      </c>
      <c r="C57" s="14" t="s">
        <v>88</v>
      </c>
      <c r="D57" s="15" t="s">
        <v>232</v>
      </c>
      <c r="E57" s="15" t="s">
        <v>2081</v>
      </c>
      <c r="F57" s="15"/>
      <c r="G57" s="15"/>
      <c r="H57" s="15"/>
      <c r="I57" s="15"/>
      <c r="J57" s="15" t="s">
        <v>3398</v>
      </c>
      <c r="K57" s="15" t="s">
        <v>16</v>
      </c>
      <c r="L57" s="15" t="s">
        <v>2394</v>
      </c>
      <c r="M57" s="15"/>
      <c r="N57" s="16" t="s">
        <v>3437</v>
      </c>
    </row>
    <row r="58" spans="1:14" x14ac:dyDescent="0.25">
      <c r="A58" s="20"/>
      <c r="B58" s="22" t="s">
        <v>2032</v>
      </c>
      <c r="C58" s="14" t="s">
        <v>88</v>
      </c>
      <c r="D58" s="15" t="s">
        <v>234</v>
      </c>
      <c r="E58" s="15" t="s">
        <v>2083</v>
      </c>
      <c r="F58" s="15"/>
      <c r="G58" s="15"/>
      <c r="H58" s="15"/>
      <c r="I58" s="15"/>
      <c r="J58" s="15" t="s">
        <v>3398</v>
      </c>
      <c r="K58" s="15" t="s">
        <v>16</v>
      </c>
      <c r="L58" s="15" t="s">
        <v>2257</v>
      </c>
      <c r="M58" s="15"/>
      <c r="N58" s="16"/>
    </row>
    <row r="59" spans="1:14" x14ac:dyDescent="0.25">
      <c r="A59" s="20"/>
      <c r="B59" s="22" t="s">
        <v>2032</v>
      </c>
      <c r="C59" s="14" t="s">
        <v>88</v>
      </c>
      <c r="D59" s="15" t="s">
        <v>236</v>
      </c>
      <c r="E59" s="15" t="s">
        <v>2085</v>
      </c>
      <c r="F59" s="15"/>
      <c r="G59" s="15"/>
      <c r="H59" s="15"/>
      <c r="I59" s="15"/>
      <c r="J59" s="15" t="s">
        <v>3398</v>
      </c>
      <c r="K59" s="15" t="s">
        <v>16</v>
      </c>
      <c r="L59" s="15" t="s">
        <v>2284</v>
      </c>
      <c r="M59" s="15"/>
      <c r="N59" s="16" t="s">
        <v>3437</v>
      </c>
    </row>
    <row r="60" spans="1:14" x14ac:dyDescent="0.25">
      <c r="A60" s="20"/>
      <c r="B60" s="22" t="s">
        <v>2036</v>
      </c>
      <c r="C60" s="14" t="s">
        <v>88</v>
      </c>
      <c r="D60" s="15" t="s">
        <v>238</v>
      </c>
      <c r="E60" s="15" t="s">
        <v>2086</v>
      </c>
      <c r="F60" s="15"/>
      <c r="G60" s="15"/>
      <c r="H60" s="15"/>
      <c r="I60" s="15"/>
      <c r="J60" s="15" t="s">
        <v>3398</v>
      </c>
      <c r="K60" s="15" t="s">
        <v>16</v>
      </c>
      <c r="L60" s="15" t="s">
        <v>2259</v>
      </c>
      <c r="M60" s="15"/>
      <c r="N60" s="16"/>
    </row>
    <row r="61" spans="1:14" x14ac:dyDescent="0.25">
      <c r="A61" s="20"/>
      <c r="B61" s="22" t="s">
        <v>2036</v>
      </c>
      <c r="C61" s="14" t="s">
        <v>88</v>
      </c>
      <c r="D61" s="15" t="s">
        <v>240</v>
      </c>
      <c r="E61" s="15" t="s">
        <v>2088</v>
      </c>
      <c r="F61" s="15"/>
      <c r="G61" s="15"/>
      <c r="H61" s="15"/>
      <c r="I61" s="15"/>
      <c r="J61" s="15" t="s">
        <v>3398</v>
      </c>
      <c r="K61" s="15" t="s">
        <v>16</v>
      </c>
      <c r="L61" s="15" t="s">
        <v>2402</v>
      </c>
      <c r="M61" s="15"/>
      <c r="N61" s="16" t="s">
        <v>3437</v>
      </c>
    </row>
    <row r="62" spans="1:14" x14ac:dyDescent="0.25">
      <c r="A62" s="20"/>
      <c r="B62" s="22" t="s">
        <v>2036</v>
      </c>
      <c r="C62" s="14" t="s">
        <v>88</v>
      </c>
      <c r="D62" s="15" t="s">
        <v>334</v>
      </c>
      <c r="E62" s="15" t="s">
        <v>2090</v>
      </c>
      <c r="F62" s="15" t="s">
        <v>3012</v>
      </c>
      <c r="G62" s="15"/>
      <c r="H62" s="15"/>
      <c r="I62" s="15"/>
      <c r="J62" s="15" t="s">
        <v>2932</v>
      </c>
      <c r="K62" s="15" t="s">
        <v>16</v>
      </c>
      <c r="L62" s="15" t="s">
        <v>2402</v>
      </c>
      <c r="M62" s="15"/>
      <c r="N62" s="16"/>
    </row>
    <row r="63" spans="1:14" x14ac:dyDescent="0.25">
      <c r="A63" s="20"/>
      <c r="B63" s="22" t="s">
        <v>2036</v>
      </c>
      <c r="C63" s="14" t="s">
        <v>88</v>
      </c>
      <c r="D63" s="15" t="s">
        <v>337</v>
      </c>
      <c r="E63" s="15" t="s">
        <v>2092</v>
      </c>
      <c r="F63" s="15" t="s">
        <v>2605</v>
      </c>
      <c r="G63" s="15"/>
      <c r="H63" s="15"/>
      <c r="I63" s="15"/>
      <c r="J63" s="15" t="s">
        <v>2932</v>
      </c>
      <c r="K63" s="15" t="s">
        <v>16</v>
      </c>
      <c r="L63" s="15" t="s">
        <v>2231</v>
      </c>
      <c r="M63" s="15"/>
      <c r="N63" s="16"/>
    </row>
    <row r="64" spans="1:14" x14ac:dyDescent="0.25">
      <c r="A64" s="20"/>
      <c r="B64" s="22" t="s">
        <v>2036</v>
      </c>
      <c r="C64" s="14" t="s">
        <v>88</v>
      </c>
      <c r="D64" s="15" t="s">
        <v>340</v>
      </c>
      <c r="E64" s="15" t="s">
        <v>2094</v>
      </c>
      <c r="F64" s="15"/>
      <c r="G64" s="15"/>
      <c r="H64" s="15"/>
      <c r="I64" s="15"/>
      <c r="J64" s="15" t="s">
        <v>2970</v>
      </c>
      <c r="K64" s="15" t="s">
        <v>16</v>
      </c>
      <c r="L64" s="15" t="s">
        <v>2426</v>
      </c>
      <c r="M64" s="15"/>
      <c r="N64" s="16"/>
    </row>
    <row r="65" spans="1:14" x14ac:dyDescent="0.25">
      <c r="A65" s="20"/>
      <c r="B65" s="22" t="s">
        <v>2038</v>
      </c>
      <c r="C65" s="14" t="s">
        <v>88</v>
      </c>
      <c r="D65" s="15" t="s">
        <v>343</v>
      </c>
      <c r="E65" s="15" t="s">
        <v>2095</v>
      </c>
      <c r="F65" s="15" t="s">
        <v>2605</v>
      </c>
      <c r="G65" s="15"/>
      <c r="H65" s="15"/>
      <c r="I65" s="15"/>
      <c r="J65" s="15" t="s">
        <v>2932</v>
      </c>
      <c r="K65" s="15" t="s">
        <v>16</v>
      </c>
      <c r="L65" s="15" t="s">
        <v>2284</v>
      </c>
      <c r="M65" s="15"/>
      <c r="N65" s="16"/>
    </row>
    <row r="66" spans="1:14" x14ac:dyDescent="0.25">
      <c r="A66" s="20"/>
      <c r="B66" s="22" t="s">
        <v>2040</v>
      </c>
      <c r="C66" s="14" t="s">
        <v>88</v>
      </c>
      <c r="D66" s="15" t="s">
        <v>345</v>
      </c>
      <c r="E66" s="15" t="s">
        <v>2097</v>
      </c>
      <c r="F66" s="15"/>
      <c r="G66" s="15"/>
      <c r="H66" s="15"/>
      <c r="I66" s="15"/>
      <c r="J66" s="15"/>
      <c r="K66" s="15" t="s">
        <v>16</v>
      </c>
      <c r="L66" s="15"/>
      <c r="M66" s="15"/>
      <c r="N66" s="16"/>
    </row>
    <row r="67" spans="1:14" x14ac:dyDescent="0.25">
      <c r="A67" s="20"/>
      <c r="B67" s="22" t="s">
        <v>2042</v>
      </c>
      <c r="C67" s="14" t="s">
        <v>88</v>
      </c>
      <c r="D67" s="15" t="s">
        <v>348</v>
      </c>
      <c r="E67" s="15" t="s">
        <v>2099</v>
      </c>
      <c r="F67" s="15"/>
      <c r="G67" s="15"/>
      <c r="H67" s="15"/>
      <c r="I67" s="15"/>
      <c r="J67" s="15"/>
      <c r="K67" s="15" t="s">
        <v>16</v>
      </c>
      <c r="L67" s="15"/>
      <c r="M67" s="15"/>
      <c r="N67" s="16"/>
    </row>
    <row r="68" spans="1:14" x14ac:dyDescent="0.25">
      <c r="A68" s="20"/>
      <c r="B68" s="22" t="s">
        <v>2608</v>
      </c>
      <c r="C68" s="14" t="s">
        <v>88</v>
      </c>
      <c r="D68" s="15" t="s">
        <v>351</v>
      </c>
      <c r="E68" s="15" t="s">
        <v>2101</v>
      </c>
      <c r="F68" s="15" t="s">
        <v>2598</v>
      </c>
      <c r="G68" s="15" t="s">
        <v>2599</v>
      </c>
      <c r="H68" s="15"/>
      <c r="I68" s="15" t="s">
        <v>2600</v>
      </c>
      <c r="J68" s="15" t="s">
        <v>2353</v>
      </c>
      <c r="K68" s="15" t="s">
        <v>16</v>
      </c>
      <c r="L68" s="15" t="s">
        <v>2284</v>
      </c>
      <c r="M68" s="15"/>
      <c r="N68" s="16"/>
    </row>
    <row r="69" spans="1:14" x14ac:dyDescent="0.25">
      <c r="A69" s="20"/>
      <c r="B69" s="22" t="s">
        <v>2608</v>
      </c>
      <c r="C69" s="14" t="s">
        <v>88</v>
      </c>
      <c r="D69" s="15" t="s">
        <v>431</v>
      </c>
      <c r="E69" s="15" t="s">
        <v>2103</v>
      </c>
      <c r="F69" s="15" t="s">
        <v>2601</v>
      </c>
      <c r="G69" s="15" t="s">
        <v>2602</v>
      </c>
      <c r="H69" s="15"/>
      <c r="I69" s="15" t="s">
        <v>2603</v>
      </c>
      <c r="J69" s="15" t="s">
        <v>2353</v>
      </c>
      <c r="K69" s="15" t="s">
        <v>16</v>
      </c>
      <c r="L69" s="15" t="s">
        <v>2284</v>
      </c>
      <c r="M69" s="15"/>
      <c r="N69" s="16"/>
    </row>
    <row r="70" spans="1:14" x14ac:dyDescent="0.25">
      <c r="A70" s="20"/>
      <c r="B70" s="22" t="s">
        <v>2604</v>
      </c>
      <c r="C70" s="14" t="s">
        <v>88</v>
      </c>
      <c r="D70" s="15" t="s">
        <v>434</v>
      </c>
      <c r="E70" s="15" t="s">
        <v>2105</v>
      </c>
      <c r="F70" s="15" t="s">
        <v>2605</v>
      </c>
      <c r="G70" s="15" t="s">
        <v>2606</v>
      </c>
      <c r="H70" s="15"/>
      <c r="I70" s="15" t="s">
        <v>2607</v>
      </c>
      <c r="J70" s="15" t="s">
        <v>2353</v>
      </c>
      <c r="K70" s="15" t="s">
        <v>16</v>
      </c>
      <c r="L70" s="15" t="s">
        <v>2284</v>
      </c>
      <c r="M70" s="15"/>
      <c r="N70" s="16"/>
    </row>
    <row r="71" spans="1:14" x14ac:dyDescent="0.25">
      <c r="A71" s="20"/>
      <c r="B71" s="22" t="s">
        <v>2044</v>
      </c>
      <c r="C71" s="14" t="s">
        <v>88</v>
      </c>
      <c r="D71" s="15" t="s">
        <v>437</v>
      </c>
      <c r="E71" s="15" t="s">
        <v>2107</v>
      </c>
      <c r="F71" s="15" t="s">
        <v>2605</v>
      </c>
      <c r="G71" s="15"/>
      <c r="H71" s="15"/>
      <c r="I71" s="15"/>
      <c r="J71" s="15" t="s">
        <v>2801</v>
      </c>
      <c r="K71" s="15" t="s">
        <v>16</v>
      </c>
      <c r="L71" s="15" t="s">
        <v>2419</v>
      </c>
      <c r="M71" s="15"/>
      <c r="N71" s="16"/>
    </row>
    <row r="72" spans="1:14" x14ac:dyDescent="0.25">
      <c r="A72" s="20"/>
      <c r="B72" s="22" t="s">
        <v>3439</v>
      </c>
      <c r="C72" s="14" t="s">
        <v>88</v>
      </c>
      <c r="D72" s="15" t="s">
        <v>440</v>
      </c>
      <c r="E72" s="15" t="s">
        <v>2108</v>
      </c>
      <c r="F72" s="15"/>
      <c r="G72" s="15"/>
      <c r="H72" s="15"/>
      <c r="I72" s="15"/>
      <c r="J72" s="15" t="s">
        <v>3398</v>
      </c>
      <c r="K72" s="15" t="s">
        <v>16</v>
      </c>
      <c r="L72" s="15" t="s">
        <v>2254</v>
      </c>
      <c r="M72" s="15"/>
      <c r="N72" s="16"/>
    </row>
    <row r="73" spans="1:14" x14ac:dyDescent="0.25">
      <c r="A73" s="20"/>
      <c r="B73" s="22" t="s">
        <v>2046</v>
      </c>
      <c r="C73" s="14" t="s">
        <v>88</v>
      </c>
      <c r="D73" s="15" t="s">
        <v>443</v>
      </c>
      <c r="E73" s="15" t="s">
        <v>2110</v>
      </c>
      <c r="F73" s="15"/>
      <c r="G73" s="15"/>
      <c r="H73" s="15"/>
      <c r="I73" s="15"/>
      <c r="J73" s="15"/>
      <c r="K73" s="15" t="s">
        <v>16</v>
      </c>
      <c r="L73" s="15"/>
      <c r="M73" s="15"/>
      <c r="N73" s="16"/>
    </row>
    <row r="74" spans="1:14" x14ac:dyDescent="0.25">
      <c r="A74" s="20"/>
      <c r="B74" s="22" t="s">
        <v>2048</v>
      </c>
      <c r="C74" s="14" t="s">
        <v>88</v>
      </c>
      <c r="D74" s="15" t="s">
        <v>446</v>
      </c>
      <c r="E74" s="15" t="s">
        <v>2112</v>
      </c>
      <c r="F74" s="15"/>
      <c r="G74" s="15"/>
      <c r="H74" s="15"/>
      <c r="I74" s="15"/>
      <c r="J74" s="15"/>
      <c r="K74" s="15" t="s">
        <v>16</v>
      </c>
      <c r="L74" s="15"/>
      <c r="M74" s="15"/>
      <c r="N74" s="16"/>
    </row>
    <row r="75" spans="1:14" x14ac:dyDescent="0.25">
      <c r="A75" s="20"/>
      <c r="B75" s="22" t="s">
        <v>2050</v>
      </c>
      <c r="C75" s="14" t="s">
        <v>1268</v>
      </c>
      <c r="D75" s="15" t="s">
        <v>449</v>
      </c>
      <c r="E75" s="15" t="s">
        <v>2537</v>
      </c>
      <c r="F75" s="15"/>
      <c r="G75" s="15"/>
      <c r="H75" s="15"/>
      <c r="I75" s="15"/>
      <c r="J75" s="15"/>
      <c r="K75" s="15" t="s">
        <v>16</v>
      </c>
      <c r="L75" s="15"/>
      <c r="M75" s="15"/>
      <c r="N75" s="16"/>
    </row>
    <row r="76" spans="1:14" x14ac:dyDescent="0.25">
      <c r="A76" s="20"/>
      <c r="B76" s="22" t="s">
        <v>2052</v>
      </c>
      <c r="C76" s="14" t="s">
        <v>88</v>
      </c>
      <c r="D76" s="15" t="s">
        <v>452</v>
      </c>
      <c r="E76" s="15" t="s">
        <v>3582</v>
      </c>
      <c r="F76" s="15"/>
      <c r="G76" s="15"/>
      <c r="H76" s="15"/>
      <c r="I76" s="15"/>
      <c r="J76" s="15"/>
      <c r="K76" s="15" t="s">
        <v>16</v>
      </c>
      <c r="L76" s="15"/>
      <c r="M76" s="15"/>
      <c r="N76" s="16"/>
    </row>
    <row r="77" spans="1:14" x14ac:dyDescent="0.25">
      <c r="A77" s="20"/>
      <c r="B77" s="22" t="s">
        <v>2054</v>
      </c>
      <c r="C77" s="14" t="s">
        <v>88</v>
      </c>
      <c r="D77" s="15" t="s">
        <v>455</v>
      </c>
      <c r="E77" s="15" t="s">
        <v>3583</v>
      </c>
      <c r="F77" s="15"/>
      <c r="G77" s="15"/>
      <c r="H77" s="15"/>
      <c r="I77" s="15"/>
      <c r="J77" s="15"/>
      <c r="K77" s="15" t="s">
        <v>16</v>
      </c>
      <c r="L77" s="15"/>
      <c r="M77" s="15"/>
      <c r="N77" s="16"/>
    </row>
    <row r="78" spans="1:14" x14ac:dyDescent="0.25">
      <c r="A78" s="20"/>
      <c r="B78" s="22" t="s">
        <v>2892</v>
      </c>
      <c r="C78" s="14" t="s">
        <v>88</v>
      </c>
      <c r="D78" s="15" t="s">
        <v>458</v>
      </c>
      <c r="E78" s="15" t="s">
        <v>3584</v>
      </c>
      <c r="F78" s="15"/>
      <c r="G78" s="15"/>
      <c r="H78" s="15"/>
      <c r="I78" s="15"/>
      <c r="J78" s="15" t="s">
        <v>2893</v>
      </c>
      <c r="K78" s="15" t="s">
        <v>16</v>
      </c>
      <c r="L78" s="15" t="s">
        <v>2419</v>
      </c>
      <c r="M78" s="15"/>
      <c r="N78" s="16"/>
    </row>
    <row r="79" spans="1:14" ht="18.75" customHeight="1" x14ac:dyDescent="0.25">
      <c r="A79" s="20"/>
      <c r="B79" s="22" t="s">
        <v>2056</v>
      </c>
      <c r="C79" s="14" t="s">
        <v>1268</v>
      </c>
      <c r="D79" s="15" t="s">
        <v>461</v>
      </c>
      <c r="E79" s="15" t="s">
        <v>3585</v>
      </c>
      <c r="F79" s="15"/>
      <c r="G79" s="15"/>
      <c r="H79" s="15"/>
      <c r="I79" s="15"/>
      <c r="J79" s="15"/>
      <c r="K79" s="15" t="s">
        <v>16</v>
      </c>
      <c r="L79" s="15"/>
      <c r="M79" s="15"/>
      <c r="N79" s="16"/>
    </row>
    <row r="80" spans="1:14" x14ac:dyDescent="0.25">
      <c r="A80" s="20"/>
      <c r="B80" s="22" t="s">
        <v>2058</v>
      </c>
      <c r="C80" s="14" t="s">
        <v>1268</v>
      </c>
      <c r="D80" s="15" t="s">
        <v>464</v>
      </c>
      <c r="E80" s="15" t="s">
        <v>3586</v>
      </c>
      <c r="F80" s="15" t="s">
        <v>2672</v>
      </c>
      <c r="G80" s="15"/>
      <c r="H80" s="15" t="s">
        <v>2673</v>
      </c>
      <c r="I80" s="15" t="s">
        <v>2674</v>
      </c>
      <c r="J80" s="15" t="s">
        <v>2429</v>
      </c>
      <c r="K80" s="15" t="s">
        <v>16</v>
      </c>
      <c r="L80" s="15" t="s">
        <v>2284</v>
      </c>
      <c r="M80" s="15"/>
      <c r="N80" s="16"/>
    </row>
    <row r="81" spans="1:14" x14ac:dyDescent="0.25">
      <c r="A81" s="20"/>
      <c r="B81" s="22" t="s">
        <v>2058</v>
      </c>
      <c r="C81" s="14" t="s">
        <v>1268</v>
      </c>
      <c r="D81" s="15" t="s">
        <v>467</v>
      </c>
      <c r="E81" s="15" t="s">
        <v>3587</v>
      </c>
      <c r="F81" s="15" t="s">
        <v>2675</v>
      </c>
      <c r="G81" s="15"/>
      <c r="H81" s="15" t="s">
        <v>2676</v>
      </c>
      <c r="I81" s="15" t="s">
        <v>2677</v>
      </c>
      <c r="J81" s="15" t="s">
        <v>2429</v>
      </c>
      <c r="K81" s="15" t="s">
        <v>16</v>
      </c>
      <c r="L81" s="15" t="s">
        <v>2284</v>
      </c>
      <c r="M81" s="15"/>
      <c r="N81" s="16"/>
    </row>
    <row r="82" spans="1:14" x14ac:dyDescent="0.25">
      <c r="A82" s="20"/>
      <c r="B82" s="22" t="s">
        <v>2058</v>
      </c>
      <c r="C82" s="14" t="s">
        <v>1268</v>
      </c>
      <c r="D82" s="15" t="s">
        <v>470</v>
      </c>
      <c r="E82" s="15" t="s">
        <v>3588</v>
      </c>
      <c r="F82" s="15" t="s">
        <v>2672</v>
      </c>
      <c r="G82" s="15"/>
      <c r="H82" s="15" t="s">
        <v>2678</v>
      </c>
      <c r="I82" s="15" t="s">
        <v>2679</v>
      </c>
      <c r="J82" s="15" t="s">
        <v>2429</v>
      </c>
      <c r="K82" s="15" t="s">
        <v>16</v>
      </c>
      <c r="L82" s="15" t="s">
        <v>2284</v>
      </c>
      <c r="M82" s="15"/>
      <c r="N82" s="16"/>
    </row>
    <row r="83" spans="1:14" x14ac:dyDescent="0.25">
      <c r="A83" s="20"/>
      <c r="B83" s="22" t="s">
        <v>2060</v>
      </c>
      <c r="C83" s="14" t="s">
        <v>1268</v>
      </c>
      <c r="D83" s="15" t="s">
        <v>473</v>
      </c>
      <c r="E83" s="15" t="s">
        <v>3589</v>
      </c>
      <c r="F83" s="15" t="s">
        <v>2680</v>
      </c>
      <c r="G83" s="15" t="s">
        <v>2681</v>
      </c>
      <c r="H83" s="15"/>
      <c r="I83" s="15" t="s">
        <v>2682</v>
      </c>
      <c r="J83" s="15" t="s">
        <v>2429</v>
      </c>
      <c r="K83" s="15" t="s">
        <v>16</v>
      </c>
      <c r="L83" s="15" t="s">
        <v>2284</v>
      </c>
      <c r="M83" s="15"/>
      <c r="N83" s="16" t="s">
        <v>2655</v>
      </c>
    </row>
    <row r="84" spans="1:14" x14ac:dyDescent="0.25">
      <c r="A84" s="20"/>
      <c r="B84" s="22" t="s">
        <v>2683</v>
      </c>
      <c r="C84" s="14" t="s">
        <v>1268</v>
      </c>
      <c r="D84" s="15" t="s">
        <v>476</v>
      </c>
      <c r="E84" s="15" t="s">
        <v>3590</v>
      </c>
      <c r="F84" s="15" t="s">
        <v>2684</v>
      </c>
      <c r="G84" s="15"/>
      <c r="H84" s="15" t="s">
        <v>2685</v>
      </c>
      <c r="I84" s="15" t="s">
        <v>2686</v>
      </c>
      <c r="J84" s="15" t="s">
        <v>2429</v>
      </c>
      <c r="K84" s="15" t="s">
        <v>16</v>
      </c>
      <c r="L84" s="15" t="s">
        <v>2284</v>
      </c>
      <c r="M84" s="15"/>
      <c r="N84" s="16"/>
    </row>
    <row r="85" spans="1:14" x14ac:dyDescent="0.25">
      <c r="A85" s="20"/>
      <c r="B85" s="22" t="s">
        <v>2683</v>
      </c>
      <c r="C85" s="14" t="s">
        <v>1268</v>
      </c>
      <c r="D85" s="15" t="s">
        <v>479</v>
      </c>
      <c r="E85" s="15" t="s">
        <v>3591</v>
      </c>
      <c r="F85" s="15" t="s">
        <v>2684</v>
      </c>
      <c r="G85" s="15"/>
      <c r="H85" s="15" t="s">
        <v>2718</v>
      </c>
      <c r="I85" s="15" t="s">
        <v>2719</v>
      </c>
      <c r="J85" s="15" t="s">
        <v>2429</v>
      </c>
      <c r="K85" s="15" t="s">
        <v>16</v>
      </c>
      <c r="L85" s="15" t="s">
        <v>2284</v>
      </c>
      <c r="M85" s="15"/>
      <c r="N85" s="16"/>
    </row>
    <row r="86" spans="1:14" x14ac:dyDescent="0.25">
      <c r="A86" s="20"/>
      <c r="B86" s="22" t="s">
        <v>2683</v>
      </c>
      <c r="C86" s="14" t="s">
        <v>1268</v>
      </c>
      <c r="D86" s="15" t="s">
        <v>482</v>
      </c>
      <c r="E86" s="15" t="s">
        <v>3592</v>
      </c>
      <c r="F86" s="15" t="s">
        <v>2684</v>
      </c>
      <c r="G86" s="15"/>
      <c r="H86" s="15" t="s">
        <v>2687</v>
      </c>
      <c r="I86" s="15" t="s">
        <v>2688</v>
      </c>
      <c r="J86" s="15" t="s">
        <v>2429</v>
      </c>
      <c r="K86" s="15" t="s">
        <v>16</v>
      </c>
      <c r="L86" s="15" t="s">
        <v>2284</v>
      </c>
      <c r="M86" s="15"/>
      <c r="N86" s="16"/>
    </row>
    <row r="87" spans="1:14" x14ac:dyDescent="0.25">
      <c r="A87" s="20"/>
      <c r="B87" s="22" t="s">
        <v>2689</v>
      </c>
      <c r="C87" s="14" t="s">
        <v>1268</v>
      </c>
      <c r="D87" s="15" t="s">
        <v>485</v>
      </c>
      <c r="E87" s="15" t="s">
        <v>3593</v>
      </c>
      <c r="F87" s="15" t="s">
        <v>2690</v>
      </c>
      <c r="G87" s="15"/>
      <c r="H87" s="15" t="s">
        <v>2691</v>
      </c>
      <c r="I87" s="15" t="s">
        <v>2692</v>
      </c>
      <c r="J87" s="15" t="s">
        <v>2429</v>
      </c>
      <c r="K87" s="15" t="s">
        <v>16</v>
      </c>
      <c r="L87" s="15" t="s">
        <v>2284</v>
      </c>
      <c r="M87" s="15"/>
      <c r="N87" s="16"/>
    </row>
    <row r="88" spans="1:14" x14ac:dyDescent="0.25">
      <c r="A88" s="20"/>
      <c r="B88" s="22" t="s">
        <v>2689</v>
      </c>
      <c r="C88" s="14" t="s">
        <v>1268</v>
      </c>
      <c r="D88" s="15" t="s">
        <v>488</v>
      </c>
      <c r="E88" s="15" t="s">
        <v>3594</v>
      </c>
      <c r="F88" s="15" t="s">
        <v>2690</v>
      </c>
      <c r="G88" s="15"/>
      <c r="H88" s="15" t="s">
        <v>2693</v>
      </c>
      <c r="I88" s="15" t="s">
        <v>2694</v>
      </c>
      <c r="J88" s="15" t="s">
        <v>2429</v>
      </c>
      <c r="K88" s="15" t="s">
        <v>16</v>
      </c>
      <c r="L88" s="15" t="s">
        <v>2284</v>
      </c>
      <c r="M88" s="15"/>
      <c r="N88" s="16"/>
    </row>
    <row r="89" spans="1:14" x14ac:dyDescent="0.25">
      <c r="A89" s="20"/>
      <c r="B89" s="22" t="s">
        <v>2062</v>
      </c>
      <c r="C89" s="14" t="s">
        <v>1268</v>
      </c>
      <c r="D89" s="15" t="s">
        <v>491</v>
      </c>
      <c r="E89" s="15" t="s">
        <v>3595</v>
      </c>
      <c r="F89" s="15" t="s">
        <v>2825</v>
      </c>
      <c r="G89" s="15"/>
      <c r="H89" s="15" t="s">
        <v>3340</v>
      </c>
      <c r="I89" s="15" t="s">
        <v>3341</v>
      </c>
      <c r="J89" s="15" t="s">
        <v>2429</v>
      </c>
      <c r="K89" s="15" t="s">
        <v>16</v>
      </c>
      <c r="L89" s="15" t="s">
        <v>2284</v>
      </c>
      <c r="M89" s="15"/>
      <c r="N89" s="16"/>
    </row>
    <row r="90" spans="1:14" x14ac:dyDescent="0.25">
      <c r="A90" s="20"/>
      <c r="B90" s="22" t="s">
        <v>2064</v>
      </c>
      <c r="C90" s="14" t="s">
        <v>88</v>
      </c>
      <c r="D90" s="15" t="s">
        <v>494</v>
      </c>
      <c r="E90" s="15" t="s">
        <v>3596</v>
      </c>
      <c r="F90" s="15"/>
      <c r="G90" s="15"/>
      <c r="H90" s="15"/>
      <c r="I90" s="15"/>
      <c r="J90" s="15"/>
      <c r="K90" s="15" t="s">
        <v>16</v>
      </c>
      <c r="L90" s="15"/>
      <c r="M90" s="15"/>
      <c r="N90" s="16"/>
    </row>
    <row r="91" spans="1:14" x14ac:dyDescent="0.25">
      <c r="A91" s="20"/>
      <c r="B91" s="22" t="s">
        <v>2660</v>
      </c>
      <c r="C91" s="14" t="s">
        <v>88</v>
      </c>
      <c r="D91" s="15" t="s">
        <v>497</v>
      </c>
      <c r="E91" s="15" t="s">
        <v>3597</v>
      </c>
      <c r="F91" s="15" t="s">
        <v>2363</v>
      </c>
      <c r="G91" s="15" t="s">
        <v>2661</v>
      </c>
      <c r="H91" s="15"/>
      <c r="I91" s="15" t="s">
        <v>2662</v>
      </c>
      <c r="J91" s="15" t="s">
        <v>2353</v>
      </c>
      <c r="K91" s="15" t="s">
        <v>16</v>
      </c>
      <c r="L91" s="15" t="s">
        <v>2284</v>
      </c>
      <c r="M91" s="15"/>
      <c r="N91" s="16"/>
    </row>
    <row r="92" spans="1:14" x14ac:dyDescent="0.25">
      <c r="A92" s="20"/>
      <c r="B92" s="22" t="s">
        <v>2824</v>
      </c>
      <c r="C92" s="14" t="s">
        <v>88</v>
      </c>
      <c r="D92" s="15" t="s">
        <v>500</v>
      </c>
      <c r="E92" s="15" t="s">
        <v>3598</v>
      </c>
      <c r="F92" s="15" t="s">
        <v>2825</v>
      </c>
      <c r="G92" s="15"/>
      <c r="H92" s="15"/>
      <c r="I92" s="15"/>
      <c r="J92" s="15" t="s">
        <v>2813</v>
      </c>
      <c r="K92" s="15" t="s">
        <v>16</v>
      </c>
      <c r="L92" s="15" t="s">
        <v>2419</v>
      </c>
      <c r="M92" s="15"/>
      <c r="N92" s="16"/>
    </row>
    <row r="93" spans="1:14" x14ac:dyDescent="0.25">
      <c r="A93" s="20"/>
      <c r="B93" s="22" t="s">
        <v>2854</v>
      </c>
      <c r="C93" s="14" t="s">
        <v>88</v>
      </c>
      <c r="D93" s="15" t="s">
        <v>503</v>
      </c>
      <c r="E93" s="15" t="s">
        <v>3599</v>
      </c>
      <c r="F93" s="15"/>
      <c r="G93" s="15"/>
      <c r="H93" s="15"/>
      <c r="I93" s="15"/>
      <c r="J93" s="15" t="s">
        <v>2813</v>
      </c>
      <c r="K93" s="15" t="s">
        <v>16</v>
      </c>
      <c r="L93" s="15" t="s">
        <v>2231</v>
      </c>
      <c r="M93" s="15"/>
      <c r="N93" s="16"/>
    </row>
    <row r="94" spans="1:14" x14ac:dyDescent="0.25">
      <c r="A94" s="20"/>
      <c r="B94" s="22" t="s">
        <v>3388</v>
      </c>
      <c r="C94" s="14" t="s">
        <v>88</v>
      </c>
      <c r="D94" s="15" t="s">
        <v>506</v>
      </c>
      <c r="E94" s="15" t="s">
        <v>3600</v>
      </c>
      <c r="F94" s="15" t="s">
        <v>2825</v>
      </c>
      <c r="G94" s="15"/>
      <c r="H94" s="15" t="s">
        <v>3389</v>
      </c>
      <c r="I94" s="15" t="s">
        <v>3390</v>
      </c>
      <c r="J94" s="15" t="s">
        <v>3398</v>
      </c>
      <c r="K94" s="15" t="s">
        <v>16</v>
      </c>
      <c r="L94" s="15" t="s">
        <v>2284</v>
      </c>
      <c r="M94" s="15"/>
      <c r="N94" s="16"/>
    </row>
    <row r="95" spans="1:14" x14ac:dyDescent="0.25">
      <c r="A95" s="20"/>
      <c r="B95" s="22" t="s">
        <v>3392</v>
      </c>
      <c r="C95" s="14" t="s">
        <v>88</v>
      </c>
      <c r="D95" s="15" t="s">
        <v>509</v>
      </c>
      <c r="E95" s="15" t="s">
        <v>3601</v>
      </c>
      <c r="F95" s="15" t="s">
        <v>3391</v>
      </c>
      <c r="G95" s="15"/>
      <c r="H95" s="15" t="s">
        <v>3393</v>
      </c>
      <c r="I95" s="15" t="s">
        <v>3394</v>
      </c>
      <c r="J95" s="15" t="s">
        <v>3398</v>
      </c>
      <c r="K95" s="15" t="s">
        <v>16</v>
      </c>
      <c r="L95" s="15" t="s">
        <v>2284</v>
      </c>
      <c r="M95" s="15"/>
      <c r="N95" s="16"/>
    </row>
    <row r="96" spans="1:14" x14ac:dyDescent="0.25">
      <c r="A96" s="20"/>
      <c r="B96" s="22" t="s">
        <v>3395</v>
      </c>
      <c r="C96" s="14" t="s">
        <v>88</v>
      </c>
      <c r="D96" s="15" t="s">
        <v>512</v>
      </c>
      <c r="E96" s="15" t="s">
        <v>3602</v>
      </c>
      <c r="F96" s="15" t="s">
        <v>2825</v>
      </c>
      <c r="G96" s="15"/>
      <c r="H96" s="15" t="s">
        <v>3396</v>
      </c>
      <c r="I96" s="15" t="s">
        <v>3397</v>
      </c>
      <c r="J96" s="15" t="s">
        <v>3398</v>
      </c>
      <c r="K96" s="15" t="s">
        <v>16</v>
      </c>
      <c r="L96" s="15" t="s">
        <v>2284</v>
      </c>
      <c r="M96" s="15"/>
      <c r="N96" s="16"/>
    </row>
    <row r="97" spans="1:14" x14ac:dyDescent="0.25">
      <c r="A97" s="20"/>
      <c r="B97" s="22" t="s">
        <v>3399</v>
      </c>
      <c r="C97" s="14" t="s">
        <v>88</v>
      </c>
      <c r="D97" s="15" t="s">
        <v>515</v>
      </c>
      <c r="E97" s="15" t="s">
        <v>3603</v>
      </c>
      <c r="F97" s="15" t="s">
        <v>3391</v>
      </c>
      <c r="G97" s="15"/>
      <c r="H97" s="15" t="s">
        <v>3400</v>
      </c>
      <c r="I97" s="15" t="s">
        <v>3401</v>
      </c>
      <c r="J97" s="15" t="s">
        <v>3398</v>
      </c>
      <c r="K97" s="15" t="s">
        <v>16</v>
      </c>
      <c r="L97" s="15" t="s">
        <v>2284</v>
      </c>
      <c r="M97" s="15"/>
      <c r="N97" s="16"/>
    </row>
    <row r="98" spans="1:14" x14ac:dyDescent="0.25">
      <c r="A98" s="20"/>
      <c r="B98" s="22" t="s">
        <v>3402</v>
      </c>
      <c r="C98" s="14" t="s">
        <v>88</v>
      </c>
      <c r="D98" s="15" t="s">
        <v>518</v>
      </c>
      <c r="E98" s="15" t="s">
        <v>3604</v>
      </c>
      <c r="F98" s="15" t="s">
        <v>2825</v>
      </c>
      <c r="G98" s="15"/>
      <c r="H98" s="15" t="s">
        <v>3403</v>
      </c>
      <c r="I98" s="15" t="s">
        <v>3404</v>
      </c>
      <c r="J98" s="15" t="s">
        <v>3398</v>
      </c>
      <c r="K98" s="15" t="s">
        <v>16</v>
      </c>
      <c r="L98" s="15" t="s">
        <v>2284</v>
      </c>
      <c r="M98" s="15"/>
      <c r="N98" s="16"/>
    </row>
    <row r="99" spans="1:14" x14ac:dyDescent="0.25">
      <c r="A99" s="20"/>
      <c r="B99" s="22" t="s">
        <v>3405</v>
      </c>
      <c r="C99" s="14" t="s">
        <v>88</v>
      </c>
      <c r="D99" s="15" t="s">
        <v>521</v>
      </c>
      <c r="E99" s="15" t="s">
        <v>3605</v>
      </c>
      <c r="F99" s="15" t="s">
        <v>2825</v>
      </c>
      <c r="G99" s="15"/>
      <c r="H99" s="15" t="s">
        <v>3406</v>
      </c>
      <c r="I99" s="15" t="s">
        <v>3407</v>
      </c>
      <c r="J99" s="15" t="s">
        <v>3398</v>
      </c>
      <c r="K99" s="15" t="s">
        <v>16</v>
      </c>
      <c r="L99" s="15" t="s">
        <v>2284</v>
      </c>
      <c r="M99" s="15"/>
      <c r="N99" s="16"/>
    </row>
    <row r="100" spans="1:14" x14ac:dyDescent="0.25">
      <c r="A100" s="20"/>
      <c r="B100" s="22" t="s">
        <v>3408</v>
      </c>
      <c r="C100" s="14" t="s">
        <v>88</v>
      </c>
      <c r="D100" s="15" t="s">
        <v>524</v>
      </c>
      <c r="E100" s="15" t="s">
        <v>3606</v>
      </c>
      <c r="F100" s="15" t="s">
        <v>2605</v>
      </c>
      <c r="G100" s="15"/>
      <c r="H100" s="15" t="s">
        <v>3409</v>
      </c>
      <c r="I100" s="15" t="s">
        <v>3410</v>
      </c>
      <c r="J100" s="15" t="s">
        <v>3398</v>
      </c>
      <c r="K100" s="15" t="s">
        <v>16</v>
      </c>
      <c r="L100" s="15" t="s">
        <v>2284</v>
      </c>
      <c r="M100" s="15"/>
      <c r="N100" s="16"/>
    </row>
    <row r="101" spans="1:14" x14ac:dyDescent="0.25">
      <c r="A101" s="20"/>
      <c r="B101" s="22" t="s">
        <v>3411</v>
      </c>
      <c r="C101" s="14" t="s">
        <v>88</v>
      </c>
      <c r="D101" s="15" t="s">
        <v>527</v>
      </c>
      <c r="E101" s="15" t="s">
        <v>3607</v>
      </c>
      <c r="F101" s="15" t="s">
        <v>2825</v>
      </c>
      <c r="G101" s="15"/>
      <c r="H101" s="15" t="s">
        <v>3412</v>
      </c>
      <c r="I101" s="15" t="s">
        <v>3413</v>
      </c>
      <c r="J101" s="15" t="s">
        <v>3398</v>
      </c>
      <c r="K101" s="15" t="s">
        <v>16</v>
      </c>
      <c r="L101" s="15" t="s">
        <v>2284</v>
      </c>
      <c r="M101" s="15"/>
      <c r="N101" s="16"/>
    </row>
    <row r="102" spans="1:14" x14ac:dyDescent="0.25">
      <c r="A102" s="20"/>
      <c r="B102" s="22" t="s">
        <v>3405</v>
      </c>
      <c r="C102" s="14" t="s">
        <v>88</v>
      </c>
      <c r="D102" s="15" t="s">
        <v>530</v>
      </c>
      <c r="E102" s="15" t="s">
        <v>3608</v>
      </c>
      <c r="F102" s="15" t="s">
        <v>2825</v>
      </c>
      <c r="G102" s="15"/>
      <c r="H102" s="15" t="s">
        <v>2330</v>
      </c>
      <c r="I102" s="15" t="s">
        <v>3414</v>
      </c>
      <c r="J102" s="15" t="s">
        <v>3415</v>
      </c>
      <c r="K102" s="15" t="s">
        <v>16</v>
      </c>
      <c r="L102" s="15" t="s">
        <v>2284</v>
      </c>
      <c r="M102" s="15"/>
      <c r="N102" s="16" t="s">
        <v>3418</v>
      </c>
    </row>
    <row r="103" spans="1:14" x14ac:dyDescent="0.25">
      <c r="A103" s="20"/>
      <c r="B103" s="22" t="s">
        <v>3405</v>
      </c>
      <c r="C103" s="14" t="s">
        <v>88</v>
      </c>
      <c r="D103" s="15" t="s">
        <v>533</v>
      </c>
      <c r="E103" s="15" t="s">
        <v>3609</v>
      </c>
      <c r="F103" s="15" t="s">
        <v>2825</v>
      </c>
      <c r="G103" s="15"/>
      <c r="H103" s="15" t="s">
        <v>3416</v>
      </c>
      <c r="I103" s="15" t="s">
        <v>3417</v>
      </c>
      <c r="J103" s="15" t="s">
        <v>3415</v>
      </c>
      <c r="K103" s="15" t="s">
        <v>16</v>
      </c>
      <c r="L103" s="15" t="s">
        <v>2284</v>
      </c>
      <c r="M103" s="15"/>
      <c r="N103" s="16" t="s">
        <v>3419</v>
      </c>
    </row>
    <row r="104" spans="1:14" x14ac:dyDescent="0.25">
      <c r="A104" s="20"/>
      <c r="B104" s="22" t="s">
        <v>3420</v>
      </c>
      <c r="C104" s="14" t="s">
        <v>88</v>
      </c>
      <c r="D104" s="15" t="s">
        <v>536</v>
      </c>
      <c r="E104" s="15" t="s">
        <v>3610</v>
      </c>
      <c r="F104" s="15" t="s">
        <v>2825</v>
      </c>
      <c r="G104" s="15"/>
      <c r="H104" s="15" t="s">
        <v>3421</v>
      </c>
      <c r="I104" s="15" t="s">
        <v>3422</v>
      </c>
      <c r="J104" s="15" t="s">
        <v>3423</v>
      </c>
      <c r="K104" s="15" t="s">
        <v>16</v>
      </c>
      <c r="L104" s="15" t="s">
        <v>2284</v>
      </c>
      <c r="M104" s="15"/>
      <c r="N104" s="16" t="s">
        <v>3424</v>
      </c>
    </row>
    <row r="105" spans="1:14" x14ac:dyDescent="0.25">
      <c r="A105" s="20"/>
      <c r="B105" s="22" t="s">
        <v>3411</v>
      </c>
      <c r="C105" s="14" t="s">
        <v>88</v>
      </c>
      <c r="D105" s="15" t="s">
        <v>539</v>
      </c>
      <c r="E105" s="15" t="s">
        <v>3611</v>
      </c>
      <c r="F105" s="15" t="s">
        <v>2825</v>
      </c>
      <c r="G105" s="15"/>
      <c r="H105" s="15" t="s">
        <v>3425</v>
      </c>
      <c r="I105" s="15" t="s">
        <v>3426</v>
      </c>
      <c r="J105" s="15" t="s">
        <v>3304</v>
      </c>
      <c r="K105" s="15" t="s">
        <v>16</v>
      </c>
      <c r="L105" s="15" t="s">
        <v>2284</v>
      </c>
      <c r="M105" s="15"/>
      <c r="N105" s="16"/>
    </row>
    <row r="106" spans="1:14" x14ac:dyDescent="0.25">
      <c r="A106" s="20"/>
      <c r="B106" s="22" t="s">
        <v>3405</v>
      </c>
      <c r="C106" s="14" t="s">
        <v>88</v>
      </c>
      <c r="D106" s="15" t="s">
        <v>542</v>
      </c>
      <c r="E106" s="15" t="s">
        <v>3612</v>
      </c>
      <c r="F106" s="15" t="s">
        <v>2825</v>
      </c>
      <c r="G106" s="15"/>
      <c r="H106" s="15" t="s">
        <v>3427</v>
      </c>
      <c r="I106" s="15" t="s">
        <v>3428</v>
      </c>
      <c r="J106" s="15" t="s">
        <v>3304</v>
      </c>
      <c r="K106" s="15" t="s">
        <v>16</v>
      </c>
      <c r="L106" s="15" t="s">
        <v>2284</v>
      </c>
      <c r="M106" s="15"/>
      <c r="N106" s="16"/>
    </row>
    <row r="107" spans="1:14" x14ac:dyDescent="0.25">
      <c r="A107" s="20"/>
      <c r="B107" s="22" t="s">
        <v>3399</v>
      </c>
      <c r="C107" s="14" t="s">
        <v>88</v>
      </c>
      <c r="D107" s="15" t="s">
        <v>545</v>
      </c>
      <c r="E107" s="15" t="s">
        <v>3613</v>
      </c>
      <c r="F107" s="15" t="s">
        <v>2825</v>
      </c>
      <c r="G107" s="15"/>
      <c r="H107" s="15" t="s">
        <v>2327</v>
      </c>
      <c r="I107" s="15" t="s">
        <v>2692</v>
      </c>
      <c r="J107" s="15" t="s">
        <v>3304</v>
      </c>
      <c r="K107" s="15" t="s">
        <v>16</v>
      </c>
      <c r="L107" s="15" t="s">
        <v>2284</v>
      </c>
      <c r="M107" s="15"/>
      <c r="N107" s="16"/>
    </row>
    <row r="108" spans="1:14" x14ac:dyDescent="0.25">
      <c r="A108" s="20"/>
      <c r="B108" s="22" t="s">
        <v>3303</v>
      </c>
      <c r="C108" s="14" t="s">
        <v>88</v>
      </c>
      <c r="D108" s="15" t="s">
        <v>548</v>
      </c>
      <c r="E108" s="15" t="s">
        <v>3614</v>
      </c>
      <c r="F108" s="15" t="s">
        <v>3429</v>
      </c>
      <c r="G108" s="15"/>
      <c r="H108" s="15" t="s">
        <v>3337</v>
      </c>
      <c r="I108" s="15" t="s">
        <v>3338</v>
      </c>
      <c r="J108" s="15" t="s">
        <v>3304</v>
      </c>
      <c r="K108" s="15" t="s">
        <v>16</v>
      </c>
      <c r="L108" s="15" t="s">
        <v>2284</v>
      </c>
      <c r="M108" s="15"/>
      <c r="N108" s="16"/>
    </row>
    <row r="109" spans="1:14" x14ac:dyDescent="0.25">
      <c r="A109" s="20"/>
      <c r="B109" s="22" t="s">
        <v>3303</v>
      </c>
      <c r="C109" s="14" t="s">
        <v>88</v>
      </c>
      <c r="D109" s="15" t="s">
        <v>551</v>
      </c>
      <c r="E109" s="15" t="s">
        <v>3615</v>
      </c>
      <c r="F109" s="15" t="s">
        <v>2825</v>
      </c>
      <c r="G109" s="15"/>
      <c r="H109" s="15" t="s">
        <v>3340</v>
      </c>
      <c r="I109" s="15" t="s">
        <v>3430</v>
      </c>
      <c r="J109" s="15" t="s">
        <v>3304</v>
      </c>
      <c r="K109" s="15" t="s">
        <v>16</v>
      </c>
      <c r="L109" s="15" t="s">
        <v>2284</v>
      </c>
      <c r="M109" s="15"/>
      <c r="N109" s="16"/>
    </row>
    <row r="110" spans="1:14" x14ac:dyDescent="0.25">
      <c r="A110" s="20"/>
      <c r="B110" s="22" t="s">
        <v>3411</v>
      </c>
      <c r="C110" s="14" t="s">
        <v>88</v>
      </c>
      <c r="D110" s="15" t="s">
        <v>554</v>
      </c>
      <c r="E110" s="15" t="s">
        <v>3616</v>
      </c>
      <c r="F110" s="15" t="s">
        <v>2825</v>
      </c>
      <c r="G110" s="15"/>
      <c r="H110" s="15" t="s">
        <v>2328</v>
      </c>
      <c r="I110" s="15" t="s">
        <v>2719</v>
      </c>
      <c r="J110" s="15" t="s">
        <v>3304</v>
      </c>
      <c r="K110" s="15" t="s">
        <v>16</v>
      </c>
      <c r="L110" s="15" t="s">
        <v>2284</v>
      </c>
      <c r="M110" s="15"/>
      <c r="N110" s="16"/>
    </row>
    <row r="111" spans="1:14" x14ac:dyDescent="0.25">
      <c r="A111" s="20"/>
      <c r="B111" s="22" t="s">
        <v>3303</v>
      </c>
      <c r="C111" s="14" t="s">
        <v>88</v>
      </c>
      <c r="D111" s="15" t="s">
        <v>557</v>
      </c>
      <c r="E111" s="15" t="s">
        <v>3617</v>
      </c>
      <c r="F111" s="15" t="s">
        <v>2825</v>
      </c>
      <c r="G111" s="15"/>
      <c r="H111" s="15" t="s">
        <v>2329</v>
      </c>
      <c r="I111" s="15" t="s">
        <v>3431</v>
      </c>
      <c r="J111" s="15" t="s">
        <v>3304</v>
      </c>
      <c r="K111" s="15" t="s">
        <v>16</v>
      </c>
      <c r="L111" s="15" t="s">
        <v>2284</v>
      </c>
      <c r="M111" s="15"/>
      <c r="N111" s="16"/>
    </row>
    <row r="112" spans="1:14" x14ac:dyDescent="0.25">
      <c r="A112" s="20"/>
      <c r="B112" s="22" t="s">
        <v>3303</v>
      </c>
      <c r="C112" s="14" t="s">
        <v>88</v>
      </c>
      <c r="D112" s="15" t="s">
        <v>560</v>
      </c>
      <c r="E112" s="15" t="s">
        <v>3618</v>
      </c>
      <c r="F112" s="15" t="s">
        <v>2825</v>
      </c>
      <c r="G112" s="15"/>
      <c r="H112" s="15" t="s">
        <v>3432</v>
      </c>
      <c r="I112" s="15" t="s">
        <v>3433</v>
      </c>
      <c r="J112" s="15" t="s">
        <v>3304</v>
      </c>
      <c r="K112" s="15" t="s">
        <v>16</v>
      </c>
      <c r="L112" s="15" t="s">
        <v>2284</v>
      </c>
      <c r="M112" s="15"/>
      <c r="N112" s="16"/>
    </row>
    <row r="113" spans="1:14" x14ac:dyDescent="0.25">
      <c r="A113" s="20"/>
      <c r="B113" s="22" t="s">
        <v>3303</v>
      </c>
      <c r="C113" s="14" t="s">
        <v>88</v>
      </c>
      <c r="D113" s="15" t="s">
        <v>563</v>
      </c>
      <c r="E113" s="15" t="s">
        <v>3619</v>
      </c>
      <c r="F113" s="15" t="s">
        <v>2825</v>
      </c>
      <c r="G113" s="15"/>
      <c r="H113" s="15" t="s">
        <v>3434</v>
      </c>
      <c r="I113" s="15" t="s">
        <v>2674</v>
      </c>
      <c r="J113" s="15" t="s">
        <v>3304</v>
      </c>
      <c r="K113" s="15" t="s">
        <v>16</v>
      </c>
      <c r="L113" s="15" t="s">
        <v>2284</v>
      </c>
      <c r="M113" s="15"/>
      <c r="N113" s="16"/>
    </row>
    <row r="114" spans="1:14" x14ac:dyDescent="0.25">
      <c r="A114" s="20"/>
      <c r="B114" s="22" t="s">
        <v>3303</v>
      </c>
      <c r="C114" s="14" t="s">
        <v>88</v>
      </c>
      <c r="D114" s="15" t="s">
        <v>566</v>
      </c>
      <c r="E114" s="15" t="s">
        <v>3620</v>
      </c>
      <c r="F114" s="15" t="s">
        <v>2825</v>
      </c>
      <c r="G114" s="15"/>
      <c r="H114" s="15" t="s">
        <v>3435</v>
      </c>
      <c r="I114" s="15" t="s">
        <v>3436</v>
      </c>
      <c r="J114" s="15" t="s">
        <v>3304</v>
      </c>
      <c r="K114" s="15" t="s">
        <v>16</v>
      </c>
      <c r="L114" s="15" t="s">
        <v>2284</v>
      </c>
      <c r="M114" s="15"/>
      <c r="N114" s="16"/>
    </row>
    <row r="115" spans="1:14" x14ac:dyDescent="0.25">
      <c r="A115" s="20"/>
      <c r="B115" s="22" t="s">
        <v>3303</v>
      </c>
      <c r="C115" s="14" t="s">
        <v>88</v>
      </c>
      <c r="D115" s="15" t="s">
        <v>569</v>
      </c>
      <c r="E115" s="15" t="s">
        <v>3621</v>
      </c>
      <c r="F115" s="15" t="s">
        <v>2825</v>
      </c>
      <c r="G115" s="15"/>
      <c r="H115" s="15" t="s">
        <v>3337</v>
      </c>
      <c r="I115" s="15" t="s">
        <v>3338</v>
      </c>
      <c r="J115" s="15" t="s">
        <v>3304</v>
      </c>
      <c r="K115" s="15" t="s">
        <v>16</v>
      </c>
      <c r="L115" s="15" t="s">
        <v>2284</v>
      </c>
      <c r="M115" s="15"/>
      <c r="N115" s="16" t="s">
        <v>3387</v>
      </c>
    </row>
    <row r="116" spans="1:14" x14ac:dyDescent="0.25">
      <c r="A116" s="20"/>
      <c r="B116" s="22" t="s">
        <v>2805</v>
      </c>
      <c r="C116" s="14" t="s">
        <v>88</v>
      </c>
      <c r="D116" s="15" t="s">
        <v>572</v>
      </c>
      <c r="E116" s="15" t="s">
        <v>3622</v>
      </c>
      <c r="F116" s="15"/>
      <c r="G116" s="15"/>
      <c r="H116" s="15"/>
      <c r="I116" s="15"/>
      <c r="J116" s="15" t="s">
        <v>2795</v>
      </c>
      <c r="K116" s="15" t="s">
        <v>2806</v>
      </c>
      <c r="L116" s="15" t="s">
        <v>2405</v>
      </c>
      <c r="M116" s="15"/>
      <c r="N116" s="16"/>
    </row>
    <row r="117" spans="1:14" x14ac:dyDescent="0.25">
      <c r="A117" s="20"/>
      <c r="B117" s="22" t="s">
        <v>2665</v>
      </c>
      <c r="C117" s="14" t="s">
        <v>88</v>
      </c>
      <c r="D117" s="15" t="s">
        <v>575</v>
      </c>
      <c r="E117" s="15" t="s">
        <v>3623</v>
      </c>
      <c r="F117" s="15" t="s">
        <v>2363</v>
      </c>
      <c r="G117" s="15" t="s">
        <v>2663</v>
      </c>
      <c r="H117" s="15"/>
      <c r="I117" s="15" t="s">
        <v>2664</v>
      </c>
      <c r="J117" s="15" t="s">
        <v>2353</v>
      </c>
      <c r="K117" s="15" t="s">
        <v>16</v>
      </c>
      <c r="L117" s="15" t="s">
        <v>2284</v>
      </c>
      <c r="M117" s="15"/>
      <c r="N117" s="16"/>
    </row>
    <row r="118" spans="1:14" x14ac:dyDescent="0.25">
      <c r="A118" s="20"/>
      <c r="B118" s="22" t="s">
        <v>2781</v>
      </c>
      <c r="C118" s="14" t="s">
        <v>88</v>
      </c>
      <c r="D118" s="15" t="s">
        <v>578</v>
      </c>
      <c r="E118" s="15" t="s">
        <v>3624</v>
      </c>
      <c r="F118" s="15"/>
      <c r="G118" s="15"/>
      <c r="H118" s="15"/>
      <c r="I118" s="15"/>
      <c r="J118" s="15" t="s">
        <v>2699</v>
      </c>
      <c r="K118" s="15" t="s">
        <v>16</v>
      </c>
      <c r="L118" s="15" t="s">
        <v>2402</v>
      </c>
      <c r="M118" s="15"/>
      <c r="N118" s="16"/>
    </row>
    <row r="119" spans="1:14" x14ac:dyDescent="0.25">
      <c r="A119" s="20"/>
      <c r="B119" s="22" t="s">
        <v>2782</v>
      </c>
      <c r="C119" s="14" t="s">
        <v>88</v>
      </c>
      <c r="D119" s="15" t="s">
        <v>1411</v>
      </c>
      <c r="E119" s="15" t="s">
        <v>3625</v>
      </c>
      <c r="F119" s="15"/>
      <c r="G119" s="15"/>
      <c r="H119" s="15"/>
      <c r="I119" s="15"/>
      <c r="J119" s="15" t="s">
        <v>2699</v>
      </c>
      <c r="K119" s="15" t="s">
        <v>16</v>
      </c>
      <c r="L119" s="15" t="s">
        <v>2402</v>
      </c>
      <c r="M119" s="15"/>
      <c r="N119" s="16"/>
    </row>
    <row r="120" spans="1:14" x14ac:dyDescent="0.25">
      <c r="A120" s="20"/>
      <c r="B120" s="22" t="s">
        <v>2783</v>
      </c>
      <c r="C120" s="14" t="s">
        <v>88</v>
      </c>
      <c r="D120" s="15" t="s">
        <v>1414</v>
      </c>
      <c r="E120" s="15" t="s">
        <v>3626</v>
      </c>
      <c r="F120" s="15"/>
      <c r="G120" s="15"/>
      <c r="H120" s="15"/>
      <c r="I120" s="15"/>
      <c r="J120" s="15" t="s">
        <v>2699</v>
      </c>
      <c r="K120" s="15" t="s">
        <v>16</v>
      </c>
      <c r="L120" s="15" t="s">
        <v>2402</v>
      </c>
      <c r="M120" s="15"/>
      <c r="N120" s="16"/>
    </row>
    <row r="121" spans="1:14" x14ac:dyDescent="0.25">
      <c r="A121" s="20"/>
      <c r="B121" s="22" t="s">
        <v>2784</v>
      </c>
      <c r="C121" s="14" t="s">
        <v>88</v>
      </c>
      <c r="D121" s="15" t="s">
        <v>1417</v>
      </c>
      <c r="E121" s="15" t="s">
        <v>3627</v>
      </c>
      <c r="F121" s="15"/>
      <c r="G121" s="15"/>
      <c r="H121" s="15"/>
      <c r="I121" s="15"/>
      <c r="J121" s="15" t="s">
        <v>2699</v>
      </c>
      <c r="K121" s="15" t="s">
        <v>16</v>
      </c>
      <c r="L121" s="15" t="s">
        <v>2402</v>
      </c>
      <c r="M121" s="15"/>
      <c r="N121" s="16"/>
    </row>
    <row r="122" spans="1:14" x14ac:dyDescent="0.25">
      <c r="A122" s="20"/>
      <c r="B122" s="22" t="s">
        <v>2785</v>
      </c>
      <c r="C122" s="14" t="s">
        <v>88</v>
      </c>
      <c r="D122" s="15" t="s">
        <v>1420</v>
      </c>
      <c r="E122" s="15" t="s">
        <v>3628</v>
      </c>
      <c r="F122" s="15"/>
      <c r="G122" s="15"/>
      <c r="H122" s="15"/>
      <c r="I122" s="15"/>
      <c r="J122" s="15" t="s">
        <v>2699</v>
      </c>
      <c r="K122" s="15" t="s">
        <v>16</v>
      </c>
      <c r="L122" s="15" t="s">
        <v>2402</v>
      </c>
      <c r="M122" s="15"/>
      <c r="N122" s="16"/>
    </row>
    <row r="123" spans="1:14" x14ac:dyDescent="0.25">
      <c r="A123" s="20"/>
      <c r="B123" s="22" t="s">
        <v>2786</v>
      </c>
      <c r="C123" s="14" t="s">
        <v>88</v>
      </c>
      <c r="D123" s="15" t="s">
        <v>1423</v>
      </c>
      <c r="E123" s="15" t="s">
        <v>3629</v>
      </c>
      <c r="F123" s="15"/>
      <c r="G123" s="15"/>
      <c r="H123" s="15"/>
      <c r="I123" s="15"/>
      <c r="J123" s="15" t="s">
        <v>2699</v>
      </c>
      <c r="K123" s="15" t="s">
        <v>16</v>
      </c>
      <c r="L123" s="15" t="s">
        <v>2402</v>
      </c>
      <c r="M123" s="15"/>
      <c r="N123" s="16"/>
    </row>
    <row r="124" spans="1:14" x14ac:dyDescent="0.25">
      <c r="A124" s="20"/>
      <c r="B124" s="22" t="s">
        <v>2787</v>
      </c>
      <c r="C124" s="14" t="s">
        <v>88</v>
      </c>
      <c r="D124" s="15" t="s">
        <v>1426</v>
      </c>
      <c r="E124" s="15" t="s">
        <v>3630</v>
      </c>
      <c r="F124" s="15"/>
      <c r="G124" s="15"/>
      <c r="H124" s="15"/>
      <c r="I124" s="15"/>
      <c r="J124" s="15" t="s">
        <v>2699</v>
      </c>
      <c r="K124" s="15" t="s">
        <v>16</v>
      </c>
      <c r="L124" s="15" t="s">
        <v>2402</v>
      </c>
      <c r="M124" s="15"/>
      <c r="N124" s="16"/>
    </row>
    <row r="125" spans="1:14" x14ac:dyDescent="0.25">
      <c r="A125" s="20"/>
      <c r="B125" s="22" t="s">
        <v>2788</v>
      </c>
      <c r="C125" s="14" t="s">
        <v>88</v>
      </c>
      <c r="D125" s="15" t="s">
        <v>1429</v>
      </c>
      <c r="E125" s="15" t="s">
        <v>3631</v>
      </c>
      <c r="F125" s="15"/>
      <c r="G125" s="15"/>
      <c r="H125" s="15"/>
      <c r="I125" s="15"/>
      <c r="J125" s="15" t="s">
        <v>2699</v>
      </c>
      <c r="K125" s="15" t="s">
        <v>16</v>
      </c>
      <c r="L125" s="15" t="s">
        <v>2402</v>
      </c>
      <c r="M125" s="15"/>
      <c r="N125" s="16"/>
    </row>
    <row r="126" spans="1:14" x14ac:dyDescent="0.25">
      <c r="A126" s="20"/>
      <c r="B126" s="22" t="s">
        <v>2789</v>
      </c>
      <c r="C126" s="14" t="s">
        <v>88</v>
      </c>
      <c r="D126" s="15" t="s">
        <v>1432</v>
      </c>
      <c r="E126" s="15" t="s">
        <v>3632</v>
      </c>
      <c r="F126" s="15"/>
      <c r="G126" s="15"/>
      <c r="H126" s="15"/>
      <c r="I126" s="15"/>
      <c r="J126" s="15" t="s">
        <v>2699</v>
      </c>
      <c r="K126" s="15" t="s">
        <v>16</v>
      </c>
      <c r="L126" s="15" t="s">
        <v>2402</v>
      </c>
      <c r="M126" s="15"/>
      <c r="N126" s="16"/>
    </row>
    <row r="127" spans="1:14" x14ac:dyDescent="0.25">
      <c r="A127" s="20"/>
      <c r="B127" s="22" t="s">
        <v>2790</v>
      </c>
      <c r="C127" s="14" t="s">
        <v>88</v>
      </c>
      <c r="D127" s="15" t="s">
        <v>1435</v>
      </c>
      <c r="E127" s="15" t="s">
        <v>3633</v>
      </c>
      <c r="F127" s="15"/>
      <c r="G127" s="15"/>
      <c r="H127" s="15"/>
      <c r="I127" s="15"/>
      <c r="J127" s="15" t="s">
        <v>2699</v>
      </c>
      <c r="K127" s="15" t="s">
        <v>16</v>
      </c>
      <c r="L127" s="15" t="s">
        <v>2402</v>
      </c>
      <c r="M127" s="15"/>
      <c r="N127" s="16"/>
    </row>
    <row r="128" spans="1:14" x14ac:dyDescent="0.25">
      <c r="A128" s="20"/>
      <c r="B128" s="22" t="s">
        <v>2791</v>
      </c>
      <c r="C128" s="14" t="s">
        <v>88</v>
      </c>
      <c r="D128" s="15" t="s">
        <v>1438</v>
      </c>
      <c r="E128" s="15" t="s">
        <v>3634</v>
      </c>
      <c r="F128" s="15"/>
      <c r="G128" s="15"/>
      <c r="H128" s="15"/>
      <c r="I128" s="15"/>
      <c r="J128" s="15" t="s">
        <v>2699</v>
      </c>
      <c r="K128" s="15" t="s">
        <v>16</v>
      </c>
      <c r="L128" s="15" t="s">
        <v>2402</v>
      </c>
      <c r="M128" s="15"/>
      <c r="N128" s="16"/>
    </row>
    <row r="129" spans="1:14" x14ac:dyDescent="0.25">
      <c r="A129" s="20"/>
      <c r="B129" s="22" t="s">
        <v>2792</v>
      </c>
      <c r="C129" s="14" t="s">
        <v>88</v>
      </c>
      <c r="D129" s="15" t="s">
        <v>1441</v>
      </c>
      <c r="E129" s="15" t="s">
        <v>3635</v>
      </c>
      <c r="F129" s="15"/>
      <c r="G129" s="15"/>
      <c r="H129" s="15"/>
      <c r="I129" s="15"/>
      <c r="J129" s="15" t="s">
        <v>2699</v>
      </c>
      <c r="K129" s="15" t="s">
        <v>16</v>
      </c>
      <c r="L129" s="15" t="s">
        <v>2402</v>
      </c>
      <c r="M129" s="15"/>
      <c r="N129" s="16"/>
    </row>
    <row r="130" spans="1:14" x14ac:dyDescent="0.25">
      <c r="A130" s="20"/>
      <c r="B130" s="22" t="s">
        <v>2793</v>
      </c>
      <c r="C130" s="14" t="s">
        <v>88</v>
      </c>
      <c r="D130" s="15" t="s">
        <v>1444</v>
      </c>
      <c r="E130" s="15" t="s">
        <v>3636</v>
      </c>
      <c r="F130" s="15"/>
      <c r="G130" s="15"/>
      <c r="H130" s="15"/>
      <c r="I130" s="15"/>
      <c r="J130" s="15" t="s">
        <v>2699</v>
      </c>
      <c r="K130" s="15" t="s">
        <v>16</v>
      </c>
      <c r="L130" s="15" t="s">
        <v>2402</v>
      </c>
      <c r="M130" s="15"/>
      <c r="N130" s="16"/>
    </row>
    <row r="131" spans="1:14" x14ac:dyDescent="0.25">
      <c r="A131" s="20"/>
      <c r="B131" s="22" t="s">
        <v>2794</v>
      </c>
      <c r="C131" s="14" t="s">
        <v>88</v>
      </c>
      <c r="D131" s="15" t="s">
        <v>1447</v>
      </c>
      <c r="E131" s="15" t="s">
        <v>3637</v>
      </c>
      <c r="F131" s="15"/>
      <c r="G131" s="15"/>
      <c r="H131" s="15"/>
      <c r="I131" s="15"/>
      <c r="J131" s="15" t="s">
        <v>2699</v>
      </c>
      <c r="K131" s="15" t="s">
        <v>16</v>
      </c>
      <c r="L131" s="15" t="s">
        <v>2402</v>
      </c>
      <c r="M131" s="15"/>
      <c r="N131" s="16"/>
    </row>
    <row r="132" spans="1:14" x14ac:dyDescent="0.25">
      <c r="A132" s="20"/>
      <c r="B132" s="22" t="s">
        <v>3242</v>
      </c>
      <c r="C132" s="14" t="s">
        <v>88</v>
      </c>
      <c r="D132" s="15" t="s">
        <v>1450</v>
      </c>
      <c r="E132" s="15" t="s">
        <v>3638</v>
      </c>
      <c r="F132" s="15" t="s">
        <v>2722</v>
      </c>
      <c r="G132" s="15"/>
      <c r="H132" s="15"/>
      <c r="I132" s="15"/>
      <c r="J132" s="15" t="s">
        <v>3236</v>
      </c>
      <c r="K132" s="15" t="s">
        <v>16</v>
      </c>
      <c r="L132" s="15" t="s">
        <v>2639</v>
      </c>
      <c r="M132" s="15"/>
      <c r="N132" s="16"/>
    </row>
    <row r="133" spans="1:14" x14ac:dyDescent="0.25">
      <c r="A133" s="20"/>
      <c r="B133" s="22" t="s">
        <v>3243</v>
      </c>
      <c r="C133" s="14" t="s">
        <v>88</v>
      </c>
      <c r="D133" s="15" t="s">
        <v>1453</v>
      </c>
      <c r="E133" s="15" t="s">
        <v>3639</v>
      </c>
      <c r="F133" s="15" t="s">
        <v>2722</v>
      </c>
      <c r="G133" s="15"/>
      <c r="H133" s="15"/>
      <c r="I133" s="15"/>
      <c r="J133" s="15" t="s">
        <v>3236</v>
      </c>
      <c r="K133" s="15" t="s">
        <v>16</v>
      </c>
      <c r="L133" s="15" t="s">
        <v>2394</v>
      </c>
      <c r="M133" s="15"/>
      <c r="N133" s="16"/>
    </row>
    <row r="134" spans="1:14" x14ac:dyDescent="0.25">
      <c r="A134" s="20"/>
      <c r="B134" s="22" t="s">
        <v>3244</v>
      </c>
      <c r="C134" s="14" t="s">
        <v>88</v>
      </c>
      <c r="D134" s="15" t="s">
        <v>1456</v>
      </c>
      <c r="E134" s="15" t="s">
        <v>3640</v>
      </c>
      <c r="F134" s="15" t="s">
        <v>2722</v>
      </c>
      <c r="G134" s="15"/>
      <c r="H134" s="15"/>
      <c r="I134" s="15"/>
      <c r="J134" s="15" t="s">
        <v>3236</v>
      </c>
      <c r="K134" s="15" t="s">
        <v>16</v>
      </c>
      <c r="L134" s="15" t="s">
        <v>2404</v>
      </c>
      <c r="M134" s="15"/>
      <c r="N134" s="16"/>
    </row>
    <row r="135" spans="1:14" x14ac:dyDescent="0.25">
      <c r="A135" s="20"/>
      <c r="B135" s="22" t="s">
        <v>3245</v>
      </c>
      <c r="C135" s="14" t="s">
        <v>88</v>
      </c>
      <c r="D135" s="15" t="s">
        <v>1459</v>
      </c>
      <c r="E135" s="15" t="s">
        <v>3641</v>
      </c>
      <c r="F135" s="15" t="s">
        <v>2722</v>
      </c>
      <c r="G135" s="15"/>
      <c r="H135" s="15"/>
      <c r="I135" s="15"/>
      <c r="J135" s="15" t="s">
        <v>3236</v>
      </c>
      <c r="K135" s="15" t="s">
        <v>16</v>
      </c>
      <c r="L135" s="15" t="s">
        <v>2402</v>
      </c>
      <c r="M135" s="15"/>
      <c r="N135" s="16"/>
    </row>
    <row r="136" spans="1:14" x14ac:dyDescent="0.25">
      <c r="A136" s="20"/>
      <c r="B136" s="22" t="s">
        <v>3246</v>
      </c>
      <c r="C136" s="14" t="s">
        <v>88</v>
      </c>
      <c r="D136" s="15" t="s">
        <v>1462</v>
      </c>
      <c r="E136" s="15" t="s">
        <v>3642</v>
      </c>
      <c r="F136" s="15" t="s">
        <v>2722</v>
      </c>
      <c r="G136" s="15"/>
      <c r="H136" s="15"/>
      <c r="I136" s="15"/>
      <c r="J136" s="15" t="s">
        <v>3236</v>
      </c>
      <c r="K136" s="15" t="s">
        <v>16</v>
      </c>
      <c r="L136" s="15" t="s">
        <v>2393</v>
      </c>
      <c r="M136" s="15"/>
      <c r="N136" s="16"/>
    </row>
    <row r="137" spans="1:14" x14ac:dyDescent="0.25">
      <c r="A137" s="20"/>
      <c r="B137" s="22" t="s">
        <v>3247</v>
      </c>
      <c r="C137" s="14" t="s">
        <v>88</v>
      </c>
      <c r="D137" s="15" t="s">
        <v>1465</v>
      </c>
      <c r="E137" s="15" t="s">
        <v>3643</v>
      </c>
      <c r="F137" s="15" t="s">
        <v>2722</v>
      </c>
      <c r="G137" s="15"/>
      <c r="H137" s="15"/>
      <c r="I137" s="15"/>
      <c r="J137" s="15" t="s">
        <v>3236</v>
      </c>
      <c r="K137" s="15" t="s">
        <v>16</v>
      </c>
      <c r="L137" s="15" t="s">
        <v>2419</v>
      </c>
      <c r="M137" s="15"/>
      <c r="N137" s="16"/>
    </row>
    <row r="138" spans="1:14" x14ac:dyDescent="0.25">
      <c r="A138" s="20"/>
      <c r="B138" s="22" t="s">
        <v>3248</v>
      </c>
      <c r="C138" s="14" t="s">
        <v>88</v>
      </c>
      <c r="D138" s="15" t="s">
        <v>1468</v>
      </c>
      <c r="E138" s="15" t="s">
        <v>3644</v>
      </c>
      <c r="F138" s="15" t="s">
        <v>2722</v>
      </c>
      <c r="G138" s="15"/>
      <c r="H138" s="15"/>
      <c r="I138" s="15"/>
      <c r="J138" s="15" t="s">
        <v>3236</v>
      </c>
      <c r="K138" s="15" t="s">
        <v>16</v>
      </c>
      <c r="L138" s="15" t="s">
        <v>2404</v>
      </c>
      <c r="M138" s="15"/>
      <c r="N138" s="16"/>
    </row>
    <row r="139" spans="1:14" x14ac:dyDescent="0.25">
      <c r="A139" s="20"/>
      <c r="B139" s="22" t="s">
        <v>3249</v>
      </c>
      <c r="C139" s="14" t="s">
        <v>88</v>
      </c>
      <c r="D139" s="15" t="s">
        <v>1471</v>
      </c>
      <c r="E139" s="15" t="s">
        <v>3645</v>
      </c>
      <c r="F139" s="15" t="s">
        <v>2722</v>
      </c>
      <c r="G139" s="15"/>
      <c r="H139" s="15"/>
      <c r="I139" s="15"/>
      <c r="J139" s="15" t="s">
        <v>3236</v>
      </c>
      <c r="K139" s="15" t="s">
        <v>16</v>
      </c>
      <c r="L139" s="15" t="s">
        <v>2404</v>
      </c>
      <c r="M139" s="15"/>
      <c r="N139" s="16"/>
    </row>
    <row r="140" spans="1:14" x14ac:dyDescent="0.25">
      <c r="A140" s="20"/>
      <c r="B140" s="22" t="s">
        <v>3247</v>
      </c>
      <c r="C140" s="14" t="s">
        <v>88</v>
      </c>
      <c r="D140" s="15" t="s">
        <v>1474</v>
      </c>
      <c r="E140" s="15" t="s">
        <v>3646</v>
      </c>
      <c r="F140" s="15" t="s">
        <v>2722</v>
      </c>
      <c r="G140" s="15"/>
      <c r="H140" s="15"/>
      <c r="I140" s="15"/>
      <c r="J140" s="15" t="s">
        <v>3236</v>
      </c>
      <c r="K140" s="15" t="s">
        <v>16</v>
      </c>
      <c r="L140" s="15" t="s">
        <v>2405</v>
      </c>
      <c r="M140" s="15"/>
      <c r="N140" s="16" t="s">
        <v>3250</v>
      </c>
    </row>
    <row r="141" spans="1:14" x14ac:dyDescent="0.25">
      <c r="A141" s="20"/>
      <c r="B141" s="22" t="s">
        <v>3251</v>
      </c>
      <c r="C141" s="14" t="s">
        <v>88</v>
      </c>
      <c r="D141" s="15" t="s">
        <v>1477</v>
      </c>
      <c r="E141" s="15" t="s">
        <v>3647</v>
      </c>
      <c r="F141" s="15" t="s">
        <v>2722</v>
      </c>
      <c r="G141" s="15"/>
      <c r="H141" s="15"/>
      <c r="I141" s="15"/>
      <c r="J141" s="15" t="s">
        <v>3236</v>
      </c>
      <c r="K141" s="15" t="s">
        <v>16</v>
      </c>
      <c r="L141" s="15" t="s">
        <v>2284</v>
      </c>
      <c r="M141" s="15"/>
      <c r="N141" s="16"/>
    </row>
    <row r="142" spans="1:14" x14ac:dyDescent="0.25">
      <c r="A142" s="20"/>
      <c r="B142" s="22" t="s">
        <v>3252</v>
      </c>
      <c r="C142" s="14" t="s">
        <v>88</v>
      </c>
      <c r="D142" s="15" t="s">
        <v>1480</v>
      </c>
      <c r="E142" s="15" t="s">
        <v>3648</v>
      </c>
      <c r="F142" s="15"/>
      <c r="G142" s="15"/>
      <c r="H142" s="15"/>
      <c r="I142" s="15"/>
      <c r="J142" s="15" t="s">
        <v>3236</v>
      </c>
      <c r="K142" s="15" t="s">
        <v>16</v>
      </c>
      <c r="L142" s="15" t="s">
        <v>2405</v>
      </c>
      <c r="M142" s="15"/>
      <c r="N142" s="16"/>
    </row>
    <row r="143" spans="1:14" x14ac:dyDescent="0.25">
      <c r="A143" s="20"/>
      <c r="B143" s="22" t="s">
        <v>3253</v>
      </c>
      <c r="C143" s="14" t="s">
        <v>88</v>
      </c>
      <c r="D143" s="15" t="s">
        <v>1483</v>
      </c>
      <c r="E143" s="15" t="s">
        <v>3649</v>
      </c>
      <c r="F143" s="15"/>
      <c r="G143" s="15"/>
      <c r="H143" s="15"/>
      <c r="I143" s="15"/>
      <c r="J143" s="15" t="s">
        <v>3236</v>
      </c>
      <c r="K143" s="15" t="s">
        <v>16</v>
      </c>
      <c r="L143" s="15" t="s">
        <v>2405</v>
      </c>
      <c r="M143" s="15"/>
      <c r="N143" s="16"/>
    </row>
    <row r="144" spans="1:14" x14ac:dyDescent="0.25">
      <c r="A144" s="20"/>
      <c r="B144" s="22" t="s">
        <v>3254</v>
      </c>
      <c r="C144" s="14" t="s">
        <v>88</v>
      </c>
      <c r="D144" s="15" t="s">
        <v>1486</v>
      </c>
      <c r="E144" s="15" t="s">
        <v>3650</v>
      </c>
      <c r="F144" s="15"/>
      <c r="G144" s="15"/>
      <c r="H144" s="15"/>
      <c r="I144" s="15"/>
      <c r="J144" s="15" t="s">
        <v>3236</v>
      </c>
      <c r="K144" s="15" t="s">
        <v>16</v>
      </c>
      <c r="L144" s="15" t="s">
        <v>2284</v>
      </c>
      <c r="M144" s="15"/>
      <c r="N144" s="16"/>
    </row>
    <row r="145" spans="1:14" x14ac:dyDescent="0.25">
      <c r="A145" s="20"/>
      <c r="B145" s="22" t="s">
        <v>3255</v>
      </c>
      <c r="C145" s="14" t="s">
        <v>88</v>
      </c>
      <c r="D145" s="15" t="s">
        <v>1489</v>
      </c>
      <c r="E145" s="15" t="s">
        <v>3651</v>
      </c>
      <c r="F145" s="15"/>
      <c r="G145" s="15"/>
      <c r="H145" s="15"/>
      <c r="I145" s="15"/>
      <c r="J145" s="15" t="s">
        <v>3236</v>
      </c>
      <c r="K145" s="15" t="s">
        <v>16</v>
      </c>
      <c r="L145" s="15" t="s">
        <v>2284</v>
      </c>
      <c r="M145" s="15"/>
      <c r="N145" s="16"/>
    </row>
    <row r="146" spans="1:14" x14ac:dyDescent="0.25">
      <c r="A146" s="20"/>
      <c r="B146" s="22" t="s">
        <v>3256</v>
      </c>
      <c r="C146" s="14" t="s">
        <v>88</v>
      </c>
      <c r="D146" s="15" t="s">
        <v>1492</v>
      </c>
      <c r="E146" s="15" t="s">
        <v>3652</v>
      </c>
      <c r="F146" s="15"/>
      <c r="G146" s="15"/>
      <c r="H146" s="15"/>
      <c r="I146" s="15"/>
      <c r="J146" s="15" t="s">
        <v>3236</v>
      </c>
      <c r="K146" s="15" t="s">
        <v>16</v>
      </c>
      <c r="L146" s="15" t="s">
        <v>2284</v>
      </c>
      <c r="M146" s="15"/>
      <c r="N146" s="16"/>
    </row>
    <row r="147" spans="1:14" x14ac:dyDescent="0.25">
      <c r="A147" s="20"/>
      <c r="B147" s="22" t="s">
        <v>3257</v>
      </c>
      <c r="C147" s="14" t="s">
        <v>88</v>
      </c>
      <c r="D147" s="15" t="s">
        <v>1495</v>
      </c>
      <c r="E147" s="15" t="s">
        <v>3653</v>
      </c>
      <c r="F147" s="15"/>
      <c r="G147" s="15"/>
      <c r="H147" s="15"/>
      <c r="I147" s="15"/>
      <c r="J147" s="15" t="s">
        <v>3236</v>
      </c>
      <c r="K147" s="15" t="s">
        <v>16</v>
      </c>
      <c r="L147" s="15" t="s">
        <v>2911</v>
      </c>
      <c r="M147" s="15"/>
      <c r="N147" s="16"/>
    </row>
    <row r="148" spans="1:14" x14ac:dyDescent="0.25">
      <c r="A148" s="20"/>
      <c r="B148" s="22" t="s">
        <v>3258</v>
      </c>
      <c r="C148" s="14" t="s">
        <v>88</v>
      </c>
      <c r="D148" s="15" t="s">
        <v>1498</v>
      </c>
      <c r="E148" s="15" t="s">
        <v>3654</v>
      </c>
      <c r="F148" s="15"/>
      <c r="G148" s="15"/>
      <c r="H148" s="15"/>
      <c r="I148" s="15"/>
      <c r="J148" s="15" t="s">
        <v>3236</v>
      </c>
      <c r="K148" s="15" t="s">
        <v>16</v>
      </c>
      <c r="L148" s="15" t="s">
        <v>2284</v>
      </c>
      <c r="M148" s="15"/>
      <c r="N148" s="16"/>
    </row>
    <row r="149" spans="1:14" x14ac:dyDescent="0.25">
      <c r="A149" s="20"/>
      <c r="B149" s="22" t="s">
        <v>3259</v>
      </c>
      <c r="C149" s="14" t="s">
        <v>88</v>
      </c>
      <c r="D149" s="15" t="s">
        <v>1501</v>
      </c>
      <c r="E149" s="15" t="s">
        <v>3655</v>
      </c>
      <c r="F149" s="15"/>
      <c r="G149" s="15"/>
      <c r="H149" s="15"/>
      <c r="I149" s="15"/>
      <c r="J149" s="15" t="s">
        <v>2950</v>
      </c>
      <c r="K149" s="15" t="s">
        <v>16</v>
      </c>
      <c r="L149" s="15" t="s">
        <v>2405</v>
      </c>
      <c r="M149" s="15"/>
      <c r="N149" s="16"/>
    </row>
    <row r="150" spans="1:14" x14ac:dyDescent="0.25">
      <c r="A150" s="20"/>
      <c r="B150" s="22" t="s">
        <v>2669</v>
      </c>
      <c r="C150" s="14" t="s">
        <v>88</v>
      </c>
      <c r="D150" s="15" t="s">
        <v>1504</v>
      </c>
      <c r="E150" s="15" t="s">
        <v>3656</v>
      </c>
      <c r="F150" s="15" t="s">
        <v>2670</v>
      </c>
      <c r="G150" s="15"/>
      <c r="H150" s="15"/>
      <c r="I150" s="15" t="s">
        <v>2671</v>
      </c>
      <c r="J150" s="15" t="s">
        <v>2353</v>
      </c>
      <c r="K150" s="15" t="s">
        <v>16</v>
      </c>
      <c r="L150" s="15" t="s">
        <v>2284</v>
      </c>
      <c r="M150" s="15"/>
      <c r="N150" s="16"/>
    </row>
    <row r="151" spans="1:14" x14ac:dyDescent="0.25">
      <c r="A151" s="20"/>
      <c r="B151" s="22" t="s">
        <v>2666</v>
      </c>
      <c r="C151" s="14" t="s">
        <v>88</v>
      </c>
      <c r="D151" s="15" t="s">
        <v>1507</v>
      </c>
      <c r="E151" s="15" t="s">
        <v>3657</v>
      </c>
      <c r="F151" s="15" t="s">
        <v>2667</v>
      </c>
      <c r="G151" s="15"/>
      <c r="H151" s="15"/>
      <c r="I151" s="15" t="s">
        <v>2668</v>
      </c>
      <c r="J151" s="15" t="s">
        <v>2353</v>
      </c>
      <c r="K151" s="15" t="s">
        <v>16</v>
      </c>
      <c r="L151" s="15" t="s">
        <v>2284</v>
      </c>
      <c r="M151" s="15"/>
      <c r="N151" s="16"/>
    </row>
    <row r="152" spans="1:14" x14ac:dyDescent="0.25">
      <c r="A152" s="20"/>
      <c r="B152" s="22" t="s">
        <v>2951</v>
      </c>
      <c r="C152" s="14" t="s">
        <v>88</v>
      </c>
      <c r="D152" s="15" t="s">
        <v>1509</v>
      </c>
      <c r="E152" s="15" t="s">
        <v>3658</v>
      </c>
      <c r="F152" s="15"/>
      <c r="G152" s="15"/>
      <c r="H152" s="15"/>
      <c r="I152" s="15"/>
      <c r="J152" s="15" t="s">
        <v>2952</v>
      </c>
      <c r="K152" s="15" t="s">
        <v>16</v>
      </c>
      <c r="L152" s="15" t="s">
        <v>2256</v>
      </c>
      <c r="M152" s="15"/>
      <c r="N152" s="16"/>
    </row>
    <row r="153" spans="1:14" x14ac:dyDescent="0.25">
      <c r="A153" s="20"/>
      <c r="B153" s="22" t="s">
        <v>2951</v>
      </c>
      <c r="C153" s="14" t="s">
        <v>88</v>
      </c>
      <c r="D153" s="15" t="s">
        <v>1512</v>
      </c>
      <c r="E153" s="15" t="s">
        <v>3659</v>
      </c>
      <c r="F153" s="15"/>
      <c r="G153" s="15"/>
      <c r="H153" s="15"/>
      <c r="I153" s="15"/>
      <c r="J153" s="15" t="s">
        <v>2952</v>
      </c>
      <c r="K153" s="15" t="s">
        <v>16</v>
      </c>
      <c r="L153" s="15" t="s">
        <v>2284</v>
      </c>
      <c r="M153" s="15"/>
      <c r="N153" s="15" t="s">
        <v>2779</v>
      </c>
    </row>
    <row r="154" spans="1:14" x14ac:dyDescent="0.25">
      <c r="A154" s="20"/>
      <c r="B154" s="22" t="s">
        <v>2066</v>
      </c>
      <c r="C154" s="14" t="s">
        <v>88</v>
      </c>
      <c r="D154" s="15" t="s">
        <v>1515</v>
      </c>
      <c r="E154" s="15" t="s">
        <v>3660</v>
      </c>
      <c r="F154" s="15"/>
      <c r="G154" s="15"/>
      <c r="H154" s="15"/>
      <c r="I154" s="15"/>
      <c r="J154" s="15"/>
      <c r="K154" s="15" t="s">
        <v>16</v>
      </c>
      <c r="L154" s="15"/>
      <c r="M154" s="15"/>
      <c r="N154" s="16"/>
    </row>
    <row r="155" spans="1:14" x14ac:dyDescent="0.25">
      <c r="A155" s="20"/>
      <c r="B155" s="22" t="s">
        <v>2068</v>
      </c>
      <c r="C155" s="14" t="s">
        <v>1268</v>
      </c>
      <c r="D155" s="15" t="s">
        <v>1518</v>
      </c>
      <c r="E155" s="15" t="s">
        <v>3661</v>
      </c>
      <c r="F155" s="15"/>
      <c r="G155" s="15"/>
      <c r="H155" s="15"/>
      <c r="I155" s="15"/>
      <c r="J155" s="15"/>
      <c r="K155" s="15" t="s">
        <v>16</v>
      </c>
      <c r="L155" s="15"/>
      <c r="M155" s="15"/>
      <c r="N155" s="16"/>
    </row>
    <row r="156" spans="1:14" x14ac:dyDescent="0.25">
      <c r="A156" s="20"/>
      <c r="B156" s="22" t="s">
        <v>2070</v>
      </c>
      <c r="C156" s="14" t="s">
        <v>1268</v>
      </c>
      <c r="D156" s="15" t="s">
        <v>1521</v>
      </c>
      <c r="E156" s="15" t="s">
        <v>3662</v>
      </c>
      <c r="F156" s="15"/>
      <c r="G156" s="15"/>
      <c r="H156" s="15"/>
      <c r="I156" s="15"/>
      <c r="J156" s="15"/>
      <c r="K156" s="15" t="s">
        <v>16</v>
      </c>
      <c r="L156" s="15"/>
      <c r="M156" s="15"/>
      <c r="N156" s="16"/>
    </row>
    <row r="157" spans="1:14" x14ac:dyDescent="0.25">
      <c r="A157" s="20"/>
      <c r="B157" s="22" t="s">
        <v>2072</v>
      </c>
      <c r="C157" s="14" t="s">
        <v>1268</v>
      </c>
      <c r="D157" s="15" t="s">
        <v>1524</v>
      </c>
      <c r="E157" s="15" t="s">
        <v>3663</v>
      </c>
      <c r="F157" s="15"/>
      <c r="G157" s="15"/>
      <c r="H157" s="15"/>
      <c r="I157" s="15"/>
      <c r="J157" s="15"/>
      <c r="K157" s="15" t="s">
        <v>16</v>
      </c>
      <c r="L157" s="15"/>
      <c r="M157" s="15"/>
      <c r="N157" s="16"/>
    </row>
    <row r="158" spans="1:14" x14ac:dyDescent="0.25">
      <c r="A158" s="20"/>
      <c r="B158" s="22" t="s">
        <v>2074</v>
      </c>
      <c r="C158" s="14" t="s">
        <v>1268</v>
      </c>
      <c r="D158" s="15" t="s">
        <v>1527</v>
      </c>
      <c r="E158" s="15" t="s">
        <v>3664</v>
      </c>
      <c r="F158" s="15"/>
      <c r="G158" s="15"/>
      <c r="H158" s="15"/>
      <c r="I158" s="15"/>
      <c r="J158" s="15"/>
      <c r="K158" s="15" t="s">
        <v>16</v>
      </c>
      <c r="L158" s="15"/>
      <c r="M158" s="15"/>
      <c r="N158" s="16"/>
    </row>
    <row r="159" spans="1:14" x14ac:dyDescent="0.25">
      <c r="A159" s="20"/>
      <c r="B159" s="22" t="s">
        <v>2076</v>
      </c>
      <c r="C159" s="14" t="s">
        <v>1268</v>
      </c>
      <c r="D159" s="15" t="s">
        <v>1530</v>
      </c>
      <c r="E159" s="15" t="s">
        <v>3665</v>
      </c>
      <c r="F159" s="15"/>
      <c r="G159" s="15"/>
      <c r="H159" s="15"/>
      <c r="I159" s="15"/>
      <c r="J159" s="15" t="s">
        <v>2979</v>
      </c>
      <c r="K159" s="15" t="s">
        <v>16</v>
      </c>
      <c r="L159" s="15" t="s">
        <v>2393</v>
      </c>
      <c r="M159" s="15"/>
      <c r="N159" s="16"/>
    </row>
    <row r="160" spans="1:14" x14ac:dyDescent="0.25">
      <c r="A160" s="20"/>
      <c r="B160" s="22" t="s">
        <v>2857</v>
      </c>
      <c r="C160" s="14" t="s">
        <v>1268</v>
      </c>
      <c r="D160" s="15" t="s">
        <v>1533</v>
      </c>
      <c r="E160" s="15" t="s">
        <v>3666</v>
      </c>
      <c r="F160" s="15"/>
      <c r="G160" s="15"/>
      <c r="H160" s="15"/>
      <c r="I160" s="15"/>
      <c r="J160" s="15" t="s">
        <v>2833</v>
      </c>
      <c r="K160" s="15" t="s">
        <v>16</v>
      </c>
      <c r="L160" s="15" t="s">
        <v>2393</v>
      </c>
      <c r="M160" s="15"/>
      <c r="N160" s="16" t="s">
        <v>2858</v>
      </c>
    </row>
    <row r="161" spans="1:14" x14ac:dyDescent="0.25">
      <c r="A161" s="20"/>
      <c r="B161" s="22" t="s">
        <v>2078</v>
      </c>
      <c r="C161" s="14" t="s">
        <v>88</v>
      </c>
      <c r="D161" s="15" t="s">
        <v>1536</v>
      </c>
      <c r="E161" s="15" t="s">
        <v>3667</v>
      </c>
      <c r="F161" s="15" t="s">
        <v>2279</v>
      </c>
      <c r="G161" s="15" t="s">
        <v>2280</v>
      </c>
      <c r="H161" s="15" t="s">
        <v>2281</v>
      </c>
      <c r="I161" s="15" t="s">
        <v>2282</v>
      </c>
      <c r="J161" s="15" t="s">
        <v>2283</v>
      </c>
      <c r="K161" s="15" t="s">
        <v>16</v>
      </c>
      <c r="L161" s="47">
        <v>1</v>
      </c>
      <c r="M161" s="15" t="s">
        <v>2286</v>
      </c>
      <c r="N161" s="16"/>
    </row>
    <row r="162" spans="1:14" x14ac:dyDescent="0.25">
      <c r="A162" s="20"/>
      <c r="B162" s="22" t="s">
        <v>2078</v>
      </c>
      <c r="C162" s="14" t="s">
        <v>88</v>
      </c>
      <c r="D162" s="15" t="s">
        <v>1539</v>
      </c>
      <c r="E162" s="15" t="s">
        <v>3668</v>
      </c>
      <c r="F162" s="15" t="s">
        <v>2279</v>
      </c>
      <c r="G162" s="15" t="s">
        <v>2280</v>
      </c>
      <c r="H162" s="15"/>
      <c r="I162" s="15" t="s">
        <v>2287</v>
      </c>
      <c r="J162" s="15" t="s">
        <v>2283</v>
      </c>
      <c r="K162" s="15" t="s">
        <v>16</v>
      </c>
      <c r="L162" s="15" t="s">
        <v>2284</v>
      </c>
      <c r="M162" s="15" t="s">
        <v>2302</v>
      </c>
      <c r="N162" s="16"/>
    </row>
    <row r="163" spans="1:14" x14ac:dyDescent="0.25">
      <c r="A163" s="20"/>
      <c r="B163" s="22" t="s">
        <v>2078</v>
      </c>
      <c r="C163" s="14" t="s">
        <v>88</v>
      </c>
      <c r="D163" s="15" t="s">
        <v>1542</v>
      </c>
      <c r="E163" s="15" t="s">
        <v>3669</v>
      </c>
      <c r="F163" s="15" t="s">
        <v>2279</v>
      </c>
      <c r="G163" s="15" t="s">
        <v>2280</v>
      </c>
      <c r="H163" s="15"/>
      <c r="I163" s="15" t="s">
        <v>2288</v>
      </c>
      <c r="J163" s="15" t="s">
        <v>2283</v>
      </c>
      <c r="K163" s="15" t="s">
        <v>16</v>
      </c>
      <c r="L163" s="15" t="s">
        <v>2284</v>
      </c>
      <c r="M163" s="15" t="s">
        <v>2303</v>
      </c>
      <c r="N163" s="16"/>
    </row>
    <row r="164" spans="1:14" x14ac:dyDescent="0.25">
      <c r="A164" s="20"/>
      <c r="B164" s="22" t="s">
        <v>2078</v>
      </c>
      <c r="C164" s="14" t="s">
        <v>88</v>
      </c>
      <c r="D164" s="15" t="s">
        <v>1545</v>
      </c>
      <c r="E164" s="15" t="s">
        <v>3670</v>
      </c>
      <c r="F164" s="15" t="s">
        <v>2279</v>
      </c>
      <c r="G164" s="15" t="s">
        <v>2280</v>
      </c>
      <c r="H164" s="15"/>
      <c r="I164" s="15" t="s">
        <v>2289</v>
      </c>
      <c r="J164" s="15" t="s">
        <v>2283</v>
      </c>
      <c r="K164" s="15" t="s">
        <v>16</v>
      </c>
      <c r="L164" s="15" t="s">
        <v>2284</v>
      </c>
      <c r="M164" s="15" t="s">
        <v>2304</v>
      </c>
      <c r="N164" s="16"/>
    </row>
    <row r="165" spans="1:14" x14ac:dyDescent="0.25">
      <c r="A165" s="20"/>
      <c r="B165" s="22" t="s">
        <v>2078</v>
      </c>
      <c r="C165" s="14" t="s">
        <v>88</v>
      </c>
      <c r="D165" s="15" t="s">
        <v>1548</v>
      </c>
      <c r="E165" s="15" t="s">
        <v>3671</v>
      </c>
      <c r="F165" s="15" t="s">
        <v>2279</v>
      </c>
      <c r="G165" s="15" t="s">
        <v>2280</v>
      </c>
      <c r="H165" s="15"/>
      <c r="I165" s="15" t="s">
        <v>2290</v>
      </c>
      <c r="J165" s="15" t="s">
        <v>2283</v>
      </c>
      <c r="K165" s="15" t="s">
        <v>16</v>
      </c>
      <c r="L165" s="15" t="s">
        <v>2284</v>
      </c>
      <c r="M165" s="15" t="s">
        <v>2304</v>
      </c>
      <c r="N165" s="16"/>
    </row>
    <row r="166" spans="1:14" x14ac:dyDescent="0.25">
      <c r="A166" s="20"/>
      <c r="B166" s="22" t="s">
        <v>2078</v>
      </c>
      <c r="C166" s="14" t="s">
        <v>88</v>
      </c>
      <c r="D166" s="15" t="s">
        <v>1551</v>
      </c>
      <c r="E166" s="15" t="s">
        <v>3672</v>
      </c>
      <c r="F166" s="15" t="s">
        <v>2279</v>
      </c>
      <c r="G166" s="15" t="s">
        <v>2280</v>
      </c>
      <c r="H166" s="15"/>
      <c r="I166" s="15" t="s">
        <v>2291</v>
      </c>
      <c r="J166" s="15" t="s">
        <v>2283</v>
      </c>
      <c r="K166" s="15" t="s">
        <v>16</v>
      </c>
      <c r="L166" s="15" t="s">
        <v>2284</v>
      </c>
      <c r="M166" s="15" t="s">
        <v>2303</v>
      </c>
      <c r="N166" s="16"/>
    </row>
    <row r="167" spans="1:14" x14ac:dyDescent="0.25">
      <c r="A167" s="20"/>
      <c r="B167" s="22" t="s">
        <v>2078</v>
      </c>
      <c r="C167" s="14" t="s">
        <v>88</v>
      </c>
      <c r="D167" s="15" t="s">
        <v>1554</v>
      </c>
      <c r="E167" s="15" t="s">
        <v>3673</v>
      </c>
      <c r="F167" s="15" t="s">
        <v>2279</v>
      </c>
      <c r="G167" s="15" t="s">
        <v>2280</v>
      </c>
      <c r="H167" s="15"/>
      <c r="I167" s="15" t="s">
        <v>2292</v>
      </c>
      <c r="J167" s="15" t="s">
        <v>2283</v>
      </c>
      <c r="K167" s="15" t="s">
        <v>16</v>
      </c>
      <c r="L167" s="15" t="s">
        <v>2284</v>
      </c>
      <c r="M167" s="15" t="s">
        <v>2305</v>
      </c>
      <c r="N167" s="16"/>
    </row>
    <row r="168" spans="1:14" x14ac:dyDescent="0.25">
      <c r="A168" s="20"/>
      <c r="B168" s="22" t="s">
        <v>2078</v>
      </c>
      <c r="C168" s="14" t="s">
        <v>88</v>
      </c>
      <c r="D168" s="15" t="s">
        <v>1557</v>
      </c>
      <c r="E168" s="15" t="s">
        <v>3674</v>
      </c>
      <c r="F168" s="15" t="s">
        <v>2279</v>
      </c>
      <c r="G168" s="15" t="s">
        <v>2280</v>
      </c>
      <c r="H168" s="15"/>
      <c r="I168" s="15" t="s">
        <v>2293</v>
      </c>
      <c r="J168" s="15" t="s">
        <v>2283</v>
      </c>
      <c r="K168" s="15" t="s">
        <v>16</v>
      </c>
      <c r="L168" s="15" t="s">
        <v>2284</v>
      </c>
      <c r="M168" s="15"/>
      <c r="N168" s="16"/>
    </row>
    <row r="169" spans="1:14" x14ac:dyDescent="0.25">
      <c r="A169" s="20"/>
      <c r="B169" s="22" t="s">
        <v>2078</v>
      </c>
      <c r="C169" s="14" t="s">
        <v>88</v>
      </c>
      <c r="D169" s="15" t="s">
        <v>1560</v>
      </c>
      <c r="E169" s="15" t="s">
        <v>3675</v>
      </c>
      <c r="F169" s="15" t="s">
        <v>2279</v>
      </c>
      <c r="G169" s="15" t="s">
        <v>2280</v>
      </c>
      <c r="H169" s="15"/>
      <c r="I169" s="15" t="s">
        <v>2294</v>
      </c>
      <c r="J169" s="15" t="s">
        <v>2283</v>
      </c>
      <c r="K169" s="15" t="s">
        <v>16</v>
      </c>
      <c r="L169" s="15" t="s">
        <v>2284</v>
      </c>
      <c r="M169" s="15" t="s">
        <v>2304</v>
      </c>
      <c r="N169" s="16"/>
    </row>
    <row r="170" spans="1:14" x14ac:dyDescent="0.25">
      <c r="A170" s="20"/>
      <c r="B170" s="22" t="s">
        <v>2078</v>
      </c>
      <c r="C170" s="14" t="s">
        <v>88</v>
      </c>
      <c r="D170" s="15" t="s">
        <v>1563</v>
      </c>
      <c r="E170" s="15" t="s">
        <v>3676</v>
      </c>
      <c r="F170" s="15" t="s">
        <v>2279</v>
      </c>
      <c r="G170" s="15" t="s">
        <v>2280</v>
      </c>
      <c r="H170" s="15"/>
      <c r="I170" s="15" t="s">
        <v>2295</v>
      </c>
      <c r="J170" s="15" t="s">
        <v>2283</v>
      </c>
      <c r="K170" s="15" t="s">
        <v>16</v>
      </c>
      <c r="L170" s="15" t="s">
        <v>2284</v>
      </c>
      <c r="M170" s="15" t="s">
        <v>2303</v>
      </c>
      <c r="N170" s="16"/>
    </row>
    <row r="171" spans="1:14" x14ac:dyDescent="0.25">
      <c r="A171" s="20"/>
      <c r="B171" s="22" t="s">
        <v>2078</v>
      </c>
      <c r="C171" s="14" t="s">
        <v>88</v>
      </c>
      <c r="D171" s="15" t="s">
        <v>1566</v>
      </c>
      <c r="E171" s="15" t="s">
        <v>3677</v>
      </c>
      <c r="F171" s="15" t="s">
        <v>2279</v>
      </c>
      <c r="G171" s="15" t="s">
        <v>2280</v>
      </c>
      <c r="H171" s="15"/>
      <c r="I171" s="15" t="s">
        <v>2296</v>
      </c>
      <c r="J171" s="15" t="s">
        <v>2283</v>
      </c>
      <c r="K171" s="15" t="s">
        <v>16</v>
      </c>
      <c r="L171" s="15" t="s">
        <v>2284</v>
      </c>
      <c r="M171" s="15"/>
      <c r="N171" s="16"/>
    </row>
    <row r="172" spans="1:14" x14ac:dyDescent="0.25">
      <c r="A172" s="20"/>
      <c r="B172" s="22" t="s">
        <v>2078</v>
      </c>
      <c r="C172" s="14" t="s">
        <v>88</v>
      </c>
      <c r="D172" s="15" t="s">
        <v>1569</v>
      </c>
      <c r="E172" s="15" t="s">
        <v>3678</v>
      </c>
      <c r="F172" s="15" t="s">
        <v>2279</v>
      </c>
      <c r="G172" s="15" t="s">
        <v>2280</v>
      </c>
      <c r="H172" s="15"/>
      <c r="I172" s="15" t="s">
        <v>2297</v>
      </c>
      <c r="J172" s="15" t="s">
        <v>2283</v>
      </c>
      <c r="K172" s="15" t="s">
        <v>16</v>
      </c>
      <c r="L172" s="15" t="s">
        <v>2284</v>
      </c>
      <c r="M172" s="15" t="s">
        <v>2306</v>
      </c>
      <c r="N172" s="16"/>
    </row>
    <row r="173" spans="1:14" x14ac:dyDescent="0.25">
      <c r="A173" s="20"/>
      <c r="B173" s="22" t="s">
        <v>2078</v>
      </c>
      <c r="C173" s="14" t="s">
        <v>88</v>
      </c>
      <c r="D173" s="15" t="s">
        <v>1572</v>
      </c>
      <c r="E173" s="15" t="s">
        <v>3679</v>
      </c>
      <c r="F173" s="15" t="s">
        <v>2279</v>
      </c>
      <c r="G173" s="15" t="s">
        <v>2280</v>
      </c>
      <c r="H173" s="15"/>
      <c r="I173" s="15" t="s">
        <v>2298</v>
      </c>
      <c r="J173" s="15" t="s">
        <v>2283</v>
      </c>
      <c r="K173" s="15" t="s">
        <v>16</v>
      </c>
      <c r="L173" s="15" t="s">
        <v>2284</v>
      </c>
      <c r="M173" s="15" t="s">
        <v>2303</v>
      </c>
      <c r="N173" s="16"/>
    </row>
    <row r="174" spans="1:14" x14ac:dyDescent="0.25">
      <c r="A174" s="20"/>
      <c r="B174" s="22" t="s">
        <v>2078</v>
      </c>
      <c r="C174" s="14" t="s">
        <v>88</v>
      </c>
      <c r="D174" s="15" t="s">
        <v>1575</v>
      </c>
      <c r="E174" s="15" t="s">
        <v>3680</v>
      </c>
      <c r="F174" s="15" t="s">
        <v>2279</v>
      </c>
      <c r="G174" s="15" t="s">
        <v>2280</v>
      </c>
      <c r="H174" s="15"/>
      <c r="I174" s="15" t="s">
        <v>2299</v>
      </c>
      <c r="J174" s="15" t="s">
        <v>2283</v>
      </c>
      <c r="K174" s="15" t="s">
        <v>16</v>
      </c>
      <c r="L174" s="15" t="s">
        <v>2284</v>
      </c>
      <c r="M174" s="15" t="s">
        <v>2307</v>
      </c>
      <c r="N174" s="16"/>
    </row>
    <row r="175" spans="1:14" x14ac:dyDescent="0.25">
      <c r="A175" s="20"/>
      <c r="B175" s="22" t="s">
        <v>2078</v>
      </c>
      <c r="C175" s="14" t="s">
        <v>88</v>
      </c>
      <c r="D175" s="15" t="s">
        <v>1578</v>
      </c>
      <c r="E175" s="15" t="s">
        <v>3681</v>
      </c>
      <c r="F175" s="15" t="s">
        <v>2279</v>
      </c>
      <c r="G175" s="15" t="s">
        <v>2280</v>
      </c>
      <c r="H175" s="15"/>
      <c r="I175" s="15" t="s">
        <v>2300</v>
      </c>
      <c r="J175" s="15" t="s">
        <v>2283</v>
      </c>
      <c r="K175" s="15" t="s">
        <v>16</v>
      </c>
      <c r="L175" s="15" t="s">
        <v>2284</v>
      </c>
      <c r="M175" s="15" t="s">
        <v>2308</v>
      </c>
      <c r="N175" s="16"/>
    </row>
    <row r="176" spans="1:14" x14ac:dyDescent="0.25">
      <c r="A176" s="20"/>
      <c r="B176" s="22" t="s">
        <v>2078</v>
      </c>
      <c r="C176" s="14" t="s">
        <v>88</v>
      </c>
      <c r="D176" s="15" t="s">
        <v>1581</v>
      </c>
      <c r="E176" s="15" t="s">
        <v>3682</v>
      </c>
      <c r="F176" s="15" t="s">
        <v>2279</v>
      </c>
      <c r="G176" s="15" t="s">
        <v>2280</v>
      </c>
      <c r="H176" s="15"/>
      <c r="I176" s="15" t="s">
        <v>2301</v>
      </c>
      <c r="J176" s="15" t="s">
        <v>2283</v>
      </c>
      <c r="K176" s="15" t="s">
        <v>16</v>
      </c>
      <c r="L176" s="15" t="s">
        <v>2284</v>
      </c>
      <c r="M176" s="15" t="s">
        <v>2309</v>
      </c>
      <c r="N176" s="16"/>
    </row>
    <row r="177" spans="1:14" x14ac:dyDescent="0.25">
      <c r="A177" s="20"/>
      <c r="B177" s="22" t="s">
        <v>2078</v>
      </c>
      <c r="C177" s="14" t="s">
        <v>88</v>
      </c>
      <c r="D177" s="15" t="s">
        <v>1584</v>
      </c>
      <c r="E177" s="15" t="s">
        <v>3683</v>
      </c>
      <c r="F177" s="15" t="s">
        <v>2279</v>
      </c>
      <c r="G177" s="15" t="s">
        <v>2280</v>
      </c>
      <c r="H177" s="15" t="s">
        <v>2333</v>
      </c>
      <c r="I177" s="15" t="s">
        <v>2334</v>
      </c>
      <c r="J177" s="15" t="s">
        <v>2335</v>
      </c>
      <c r="K177" s="15" t="s">
        <v>16</v>
      </c>
      <c r="L177" s="15" t="s">
        <v>2284</v>
      </c>
      <c r="M177" s="15" t="s">
        <v>2324</v>
      </c>
      <c r="N177" s="16"/>
    </row>
    <row r="178" spans="1:14" x14ac:dyDescent="0.25">
      <c r="A178" s="20"/>
      <c r="B178" s="22" t="s">
        <v>2078</v>
      </c>
      <c r="C178" s="14" t="s">
        <v>88</v>
      </c>
      <c r="D178" s="15" t="s">
        <v>1587</v>
      </c>
      <c r="E178" s="15" t="s">
        <v>3684</v>
      </c>
      <c r="F178" s="15" t="s">
        <v>2279</v>
      </c>
      <c r="G178" s="15" t="s">
        <v>2280</v>
      </c>
      <c r="H178" s="15" t="s">
        <v>2336</v>
      </c>
      <c r="I178" s="15" t="s">
        <v>2337</v>
      </c>
      <c r="J178" s="15" t="s">
        <v>2335</v>
      </c>
      <c r="K178" s="15" t="s">
        <v>16</v>
      </c>
      <c r="L178" s="15" t="s">
        <v>2284</v>
      </c>
      <c r="M178" s="15" t="s">
        <v>2324</v>
      </c>
      <c r="N178" s="16"/>
    </row>
    <row r="179" spans="1:14" x14ac:dyDescent="0.25">
      <c r="A179" s="20"/>
      <c r="B179" s="22" t="s">
        <v>2078</v>
      </c>
      <c r="C179" s="14" t="s">
        <v>88</v>
      </c>
      <c r="D179" s="15" t="s">
        <v>1590</v>
      </c>
      <c r="E179" s="15" t="s">
        <v>3685</v>
      </c>
      <c r="F179" s="15" t="s">
        <v>2310</v>
      </c>
      <c r="G179" s="15" t="s">
        <v>2280</v>
      </c>
      <c r="H179" s="15" t="s">
        <v>2338</v>
      </c>
      <c r="I179" s="15" t="s">
        <v>2339</v>
      </c>
      <c r="J179" s="15" t="s">
        <v>2340</v>
      </c>
      <c r="K179" s="15" t="s">
        <v>16</v>
      </c>
      <c r="L179" s="15" t="s">
        <v>2284</v>
      </c>
      <c r="M179" s="15" t="s">
        <v>2304</v>
      </c>
      <c r="N179" s="16"/>
    </row>
    <row r="180" spans="1:14" x14ac:dyDescent="0.25">
      <c r="A180" s="20"/>
      <c r="B180" s="22" t="s">
        <v>2078</v>
      </c>
      <c r="C180" s="14" t="s">
        <v>88</v>
      </c>
      <c r="D180" s="15" t="s">
        <v>1593</v>
      </c>
      <c r="E180" s="15" t="s">
        <v>3686</v>
      </c>
      <c r="F180" s="15" t="s">
        <v>2279</v>
      </c>
      <c r="G180" s="15" t="s">
        <v>2280</v>
      </c>
      <c r="H180" s="15"/>
      <c r="I180" s="15" t="s">
        <v>2341</v>
      </c>
      <c r="J180" s="15" t="s">
        <v>2335</v>
      </c>
      <c r="K180" s="15" t="s">
        <v>16</v>
      </c>
      <c r="L180" s="15" t="s">
        <v>2284</v>
      </c>
      <c r="M180" s="15" t="s">
        <v>2304</v>
      </c>
      <c r="N180" s="16"/>
    </row>
    <row r="181" spans="1:14" x14ac:dyDescent="0.25">
      <c r="A181" s="20"/>
      <c r="B181" s="22" t="s">
        <v>2078</v>
      </c>
      <c r="C181" s="14" t="s">
        <v>88</v>
      </c>
      <c r="D181" s="15" t="s">
        <v>1596</v>
      </c>
      <c r="E181" s="15" t="s">
        <v>3687</v>
      </c>
      <c r="F181" s="15" t="s">
        <v>2279</v>
      </c>
      <c r="G181" s="15" t="s">
        <v>2280</v>
      </c>
      <c r="H181" s="15"/>
      <c r="I181" s="15" t="s">
        <v>2342</v>
      </c>
      <c r="J181" s="15" t="s">
        <v>2335</v>
      </c>
      <c r="K181" s="15" t="s">
        <v>16</v>
      </c>
      <c r="L181" s="15" t="s">
        <v>2284</v>
      </c>
      <c r="M181" s="15" t="s">
        <v>2343</v>
      </c>
      <c r="N181" s="16"/>
    </row>
    <row r="182" spans="1:14" x14ac:dyDescent="0.25">
      <c r="A182" s="20"/>
      <c r="B182" s="22" t="s">
        <v>2078</v>
      </c>
      <c r="C182" s="14" t="s">
        <v>88</v>
      </c>
      <c r="D182" s="15" t="s">
        <v>1599</v>
      </c>
      <c r="E182" s="15" t="s">
        <v>3688</v>
      </c>
      <c r="F182" s="15" t="s">
        <v>2279</v>
      </c>
      <c r="G182" s="15" t="s">
        <v>2280</v>
      </c>
      <c r="H182" s="15"/>
      <c r="I182" s="15" t="s">
        <v>2344</v>
      </c>
      <c r="J182" s="15" t="s">
        <v>2345</v>
      </c>
      <c r="K182" s="15" t="s">
        <v>16</v>
      </c>
      <c r="L182" s="15" t="s">
        <v>2284</v>
      </c>
      <c r="M182" s="15" t="s">
        <v>2304</v>
      </c>
      <c r="N182" s="16"/>
    </row>
    <row r="183" spans="1:14" x14ac:dyDescent="0.25">
      <c r="A183" s="20"/>
      <c r="B183" s="22" t="s">
        <v>2078</v>
      </c>
      <c r="C183" s="14" t="s">
        <v>88</v>
      </c>
      <c r="D183" s="15" t="s">
        <v>1602</v>
      </c>
      <c r="E183" s="15" t="s">
        <v>3689</v>
      </c>
      <c r="F183" s="15" t="s">
        <v>2279</v>
      </c>
      <c r="G183" s="15" t="s">
        <v>2280</v>
      </c>
      <c r="H183" s="15" t="s">
        <v>2346</v>
      </c>
      <c r="I183" s="15" t="s">
        <v>2347</v>
      </c>
      <c r="J183" s="15" t="s">
        <v>2345</v>
      </c>
      <c r="K183" s="15" t="s">
        <v>16</v>
      </c>
      <c r="L183" s="15" t="s">
        <v>2284</v>
      </c>
      <c r="M183" s="15" t="s">
        <v>2324</v>
      </c>
      <c r="N183" s="16"/>
    </row>
    <row r="184" spans="1:14" x14ac:dyDescent="0.25">
      <c r="A184" s="20"/>
      <c r="B184" s="22" t="s">
        <v>2078</v>
      </c>
      <c r="C184" s="14" t="s">
        <v>88</v>
      </c>
      <c r="D184" s="15" t="s">
        <v>1605</v>
      </c>
      <c r="E184" s="15" t="s">
        <v>3690</v>
      </c>
      <c r="F184" s="15" t="s">
        <v>2279</v>
      </c>
      <c r="G184" s="15" t="s">
        <v>2280</v>
      </c>
      <c r="H184" s="15" t="s">
        <v>2348</v>
      </c>
      <c r="I184" s="15" t="s">
        <v>2349</v>
      </c>
      <c r="J184" s="15" t="s">
        <v>2283</v>
      </c>
      <c r="K184" s="15" t="s">
        <v>16</v>
      </c>
      <c r="L184" s="15" t="s">
        <v>2284</v>
      </c>
      <c r="M184" s="15" t="s">
        <v>2303</v>
      </c>
      <c r="N184" s="16"/>
    </row>
    <row r="185" spans="1:14" x14ac:dyDescent="0.25">
      <c r="A185" s="20"/>
      <c r="B185" s="22" t="s">
        <v>2078</v>
      </c>
      <c r="C185" s="14" t="s">
        <v>88</v>
      </c>
      <c r="D185" s="15" t="s">
        <v>1608</v>
      </c>
      <c r="E185" s="15" t="s">
        <v>3691</v>
      </c>
      <c r="F185" s="15" t="s">
        <v>2310</v>
      </c>
      <c r="G185" s="15" t="s">
        <v>2311</v>
      </c>
      <c r="H185" s="15" t="s">
        <v>2312</v>
      </c>
      <c r="I185" s="15" t="s">
        <v>2313</v>
      </c>
      <c r="J185" s="15" t="s">
        <v>2283</v>
      </c>
      <c r="K185" s="15" t="s">
        <v>16</v>
      </c>
      <c r="L185" s="15" t="s">
        <v>2284</v>
      </c>
      <c r="M185" s="15"/>
      <c r="N185" s="16"/>
    </row>
    <row r="186" spans="1:14" x14ac:dyDescent="0.25">
      <c r="A186" s="20"/>
      <c r="B186" s="22" t="s">
        <v>2078</v>
      </c>
      <c r="C186" s="14" t="s">
        <v>88</v>
      </c>
      <c r="D186" s="15" t="s">
        <v>1611</v>
      </c>
      <c r="E186" s="15" t="s">
        <v>3692</v>
      </c>
      <c r="F186" s="15" t="s">
        <v>2310</v>
      </c>
      <c r="G186" s="15" t="s">
        <v>2311</v>
      </c>
      <c r="H186" s="15"/>
      <c r="I186" s="15" t="s">
        <v>2314</v>
      </c>
      <c r="J186" s="15" t="s">
        <v>2283</v>
      </c>
      <c r="K186" s="15" t="s">
        <v>16</v>
      </c>
      <c r="L186" s="15" t="s">
        <v>2284</v>
      </c>
      <c r="M186" s="15" t="s">
        <v>2304</v>
      </c>
      <c r="N186" s="16"/>
    </row>
    <row r="187" spans="1:14" x14ac:dyDescent="0.25">
      <c r="A187" s="20"/>
      <c r="B187" s="22" t="s">
        <v>2078</v>
      </c>
      <c r="C187" s="14" t="s">
        <v>88</v>
      </c>
      <c r="D187" s="15" t="s">
        <v>1614</v>
      </c>
      <c r="E187" s="15" t="s">
        <v>3693</v>
      </c>
      <c r="F187" s="15" t="s">
        <v>2310</v>
      </c>
      <c r="G187" s="15" t="s">
        <v>2311</v>
      </c>
      <c r="H187" s="15" t="s">
        <v>2326</v>
      </c>
      <c r="I187" s="15" t="s">
        <v>2315</v>
      </c>
      <c r="J187" s="15" t="s">
        <v>2283</v>
      </c>
      <c r="K187" s="15" t="s">
        <v>16</v>
      </c>
      <c r="L187" s="15" t="s">
        <v>2284</v>
      </c>
      <c r="M187" s="15" t="s">
        <v>2324</v>
      </c>
      <c r="N187" s="16"/>
    </row>
    <row r="188" spans="1:14" x14ac:dyDescent="0.25">
      <c r="A188" s="20"/>
      <c r="B188" s="22" t="s">
        <v>2078</v>
      </c>
      <c r="C188" s="14" t="s">
        <v>88</v>
      </c>
      <c r="D188" s="15" t="s">
        <v>1617</v>
      </c>
      <c r="E188" s="15" t="s">
        <v>3694</v>
      </c>
      <c r="F188" s="15" t="s">
        <v>2310</v>
      </c>
      <c r="G188" s="15" t="s">
        <v>2311</v>
      </c>
      <c r="H188" s="15"/>
      <c r="I188" s="15" t="s">
        <v>2316</v>
      </c>
      <c r="J188" s="15" t="s">
        <v>2283</v>
      </c>
      <c r="K188" s="15" t="s">
        <v>16</v>
      </c>
      <c r="L188" s="15" t="s">
        <v>2284</v>
      </c>
      <c r="M188" s="15" t="s">
        <v>2325</v>
      </c>
      <c r="N188" s="16"/>
    </row>
    <row r="189" spans="1:14" x14ac:dyDescent="0.25">
      <c r="A189" s="20"/>
      <c r="B189" s="22" t="s">
        <v>2078</v>
      </c>
      <c r="C189" s="14" t="s">
        <v>88</v>
      </c>
      <c r="D189" s="15" t="s">
        <v>1620</v>
      </c>
      <c r="E189" s="15" t="s">
        <v>3695</v>
      </c>
      <c r="F189" s="15" t="s">
        <v>2310</v>
      </c>
      <c r="G189" s="15" t="s">
        <v>2311</v>
      </c>
      <c r="H189" s="15" t="s">
        <v>2327</v>
      </c>
      <c r="I189" s="15" t="s">
        <v>2317</v>
      </c>
      <c r="J189" s="15" t="s">
        <v>2283</v>
      </c>
      <c r="K189" s="15" t="s">
        <v>16</v>
      </c>
      <c r="L189" s="15" t="s">
        <v>2284</v>
      </c>
      <c r="M189" s="15" t="s">
        <v>2303</v>
      </c>
      <c r="N189" s="16"/>
    </row>
    <row r="190" spans="1:14" x14ac:dyDescent="0.25">
      <c r="A190" s="20"/>
      <c r="B190" s="22" t="s">
        <v>2078</v>
      </c>
      <c r="C190" s="14" t="s">
        <v>88</v>
      </c>
      <c r="D190" s="15" t="s">
        <v>1623</v>
      </c>
      <c r="E190" s="15" t="s">
        <v>3696</v>
      </c>
      <c r="F190" s="15" t="s">
        <v>2310</v>
      </c>
      <c r="G190" s="15" t="s">
        <v>2311</v>
      </c>
      <c r="H190" s="15"/>
      <c r="I190" s="15" t="s">
        <v>2318</v>
      </c>
      <c r="J190" s="15" t="s">
        <v>2283</v>
      </c>
      <c r="K190" s="15" t="s">
        <v>16</v>
      </c>
      <c r="L190" s="15" t="s">
        <v>2284</v>
      </c>
      <c r="M190" s="15"/>
      <c r="N190" s="16"/>
    </row>
    <row r="191" spans="1:14" x14ac:dyDescent="0.25">
      <c r="A191" s="20"/>
      <c r="B191" s="22" t="s">
        <v>2078</v>
      </c>
      <c r="C191" s="14" t="s">
        <v>88</v>
      </c>
      <c r="D191" s="15" t="s">
        <v>1626</v>
      </c>
      <c r="E191" s="15" t="s">
        <v>3697</v>
      </c>
      <c r="F191" s="15" t="s">
        <v>2310</v>
      </c>
      <c r="G191" s="15" t="s">
        <v>2311</v>
      </c>
      <c r="H191" s="15" t="s">
        <v>2328</v>
      </c>
      <c r="I191" s="15" t="s">
        <v>2319</v>
      </c>
      <c r="J191" s="15" t="s">
        <v>2283</v>
      </c>
      <c r="K191" s="15" t="s">
        <v>16</v>
      </c>
      <c r="L191" s="15" t="s">
        <v>2284</v>
      </c>
      <c r="M191" s="15" t="s">
        <v>2304</v>
      </c>
      <c r="N191" s="16"/>
    </row>
    <row r="192" spans="1:14" x14ac:dyDescent="0.25">
      <c r="A192" s="20"/>
      <c r="B192" s="22" t="s">
        <v>2078</v>
      </c>
      <c r="C192" s="14" t="s">
        <v>88</v>
      </c>
      <c r="D192" s="15" t="s">
        <v>1629</v>
      </c>
      <c r="E192" s="15" t="s">
        <v>3698</v>
      </c>
      <c r="F192" s="15" t="s">
        <v>2310</v>
      </c>
      <c r="G192" s="15" t="s">
        <v>2311</v>
      </c>
      <c r="H192" s="15" t="s">
        <v>2329</v>
      </c>
      <c r="I192" s="15" t="s">
        <v>2320</v>
      </c>
      <c r="J192" s="15" t="s">
        <v>2283</v>
      </c>
      <c r="K192" s="15" t="s">
        <v>16</v>
      </c>
      <c r="L192" s="15" t="s">
        <v>2284</v>
      </c>
      <c r="M192" s="15"/>
      <c r="N192" s="16"/>
    </row>
    <row r="193" spans="1:14" x14ac:dyDescent="0.25">
      <c r="A193" s="20"/>
      <c r="B193" s="22" t="s">
        <v>2078</v>
      </c>
      <c r="C193" s="14" t="s">
        <v>88</v>
      </c>
      <c r="D193" s="15" t="s">
        <v>1632</v>
      </c>
      <c r="E193" s="15" t="s">
        <v>3699</v>
      </c>
      <c r="F193" s="15" t="s">
        <v>2310</v>
      </c>
      <c r="G193" s="15" t="s">
        <v>2311</v>
      </c>
      <c r="H193" s="15" t="s">
        <v>2330</v>
      </c>
      <c r="I193" s="15" t="s">
        <v>2321</v>
      </c>
      <c r="J193" s="15" t="s">
        <v>2283</v>
      </c>
      <c r="K193" s="15" t="s">
        <v>16</v>
      </c>
      <c r="L193" s="15" t="s">
        <v>2284</v>
      </c>
      <c r="M193" s="15"/>
      <c r="N193" s="16"/>
    </row>
    <row r="194" spans="1:14" x14ac:dyDescent="0.25">
      <c r="A194" s="20"/>
      <c r="B194" s="22" t="s">
        <v>2078</v>
      </c>
      <c r="C194" s="14" t="s">
        <v>88</v>
      </c>
      <c r="D194" s="15" t="s">
        <v>1635</v>
      </c>
      <c r="E194" s="15" t="s">
        <v>3700</v>
      </c>
      <c r="F194" s="15" t="s">
        <v>2332</v>
      </c>
      <c r="G194" s="15" t="s">
        <v>2311</v>
      </c>
      <c r="H194" s="15"/>
      <c r="I194" s="15" t="s">
        <v>2322</v>
      </c>
      <c r="J194" s="15" t="s">
        <v>2283</v>
      </c>
      <c r="K194" s="15" t="s">
        <v>16</v>
      </c>
      <c r="L194" s="15" t="s">
        <v>2284</v>
      </c>
      <c r="M194" s="15"/>
      <c r="N194" s="16"/>
    </row>
    <row r="195" spans="1:14" x14ac:dyDescent="0.25">
      <c r="A195" s="20"/>
      <c r="B195" s="22" t="s">
        <v>2078</v>
      </c>
      <c r="C195" s="14" t="s">
        <v>88</v>
      </c>
      <c r="D195" s="15" t="s">
        <v>1638</v>
      </c>
      <c r="E195" s="15" t="s">
        <v>3701</v>
      </c>
      <c r="F195" s="15" t="s">
        <v>2310</v>
      </c>
      <c r="G195" s="15" t="s">
        <v>2311</v>
      </c>
      <c r="H195" s="15" t="s">
        <v>2331</v>
      </c>
      <c r="I195" s="15" t="s">
        <v>2323</v>
      </c>
      <c r="J195" s="15" t="s">
        <v>2283</v>
      </c>
      <c r="K195" s="15" t="s">
        <v>16</v>
      </c>
      <c r="L195" s="15" t="s">
        <v>2284</v>
      </c>
      <c r="M195" s="15"/>
      <c r="N195" s="16"/>
    </row>
    <row r="196" spans="1:14" x14ac:dyDescent="0.25">
      <c r="A196" s="20"/>
      <c r="B196" s="22" t="s">
        <v>2078</v>
      </c>
      <c r="C196" s="14" t="s">
        <v>88</v>
      </c>
      <c r="D196" s="15" t="s">
        <v>1641</v>
      </c>
      <c r="E196" s="15" t="s">
        <v>3702</v>
      </c>
      <c r="F196" s="15" t="s">
        <v>2310</v>
      </c>
      <c r="G196" s="15"/>
      <c r="H196" s="15"/>
      <c r="I196" s="15" t="s">
        <v>3336</v>
      </c>
      <c r="J196" s="15" t="s">
        <v>2283</v>
      </c>
      <c r="K196" s="15" t="s">
        <v>16</v>
      </c>
      <c r="L196" s="15" t="s">
        <v>2284</v>
      </c>
      <c r="M196" s="15"/>
      <c r="N196" s="16"/>
    </row>
    <row r="197" spans="1:14" x14ac:dyDescent="0.25">
      <c r="A197" s="20"/>
      <c r="B197" s="22" t="s">
        <v>2080</v>
      </c>
      <c r="C197" s="14" t="s">
        <v>88</v>
      </c>
      <c r="D197" s="15" t="s">
        <v>1644</v>
      </c>
      <c r="E197" s="15" t="s">
        <v>3703</v>
      </c>
      <c r="F197" s="15"/>
      <c r="G197" s="15"/>
      <c r="H197" s="15"/>
      <c r="I197" s="15"/>
      <c r="J197" s="15" t="s">
        <v>2885</v>
      </c>
      <c r="K197" s="15" t="s">
        <v>16</v>
      </c>
      <c r="L197" s="15" t="s">
        <v>2747</v>
      </c>
      <c r="M197" s="15"/>
      <c r="N197" s="16"/>
    </row>
    <row r="198" spans="1:14" ht="25.5" x14ac:dyDescent="0.25">
      <c r="A198" s="20"/>
      <c r="B198" s="22" t="s">
        <v>2082</v>
      </c>
      <c r="C198" s="14" t="s">
        <v>88</v>
      </c>
      <c r="D198" s="15" t="s">
        <v>1647</v>
      </c>
      <c r="E198" s="15" t="s">
        <v>3704</v>
      </c>
      <c r="F198" s="15"/>
      <c r="G198" s="15"/>
      <c r="H198" s="15"/>
      <c r="I198" s="15"/>
      <c r="J198" s="15"/>
      <c r="K198" s="15" t="s">
        <v>16</v>
      </c>
      <c r="L198" s="15"/>
      <c r="M198" s="15"/>
      <c r="N198" s="16"/>
    </row>
    <row r="199" spans="1:14" x14ac:dyDescent="0.25">
      <c r="A199" s="20"/>
      <c r="B199" s="22" t="s">
        <v>2084</v>
      </c>
      <c r="C199" s="14" t="s">
        <v>88</v>
      </c>
      <c r="D199" s="15" t="s">
        <v>1650</v>
      </c>
      <c r="E199" s="15" t="s">
        <v>3705</v>
      </c>
      <c r="F199" s="15"/>
      <c r="G199" s="15"/>
      <c r="H199" s="15"/>
      <c r="I199" s="15"/>
      <c r="J199" s="15"/>
      <c r="K199" s="15" t="s">
        <v>16</v>
      </c>
      <c r="L199" s="15"/>
      <c r="M199" s="15"/>
      <c r="N199" s="16"/>
    </row>
    <row r="200" spans="1:14" x14ac:dyDescent="0.25">
      <c r="A200" s="20"/>
      <c r="B200" s="22" t="s">
        <v>2362</v>
      </c>
      <c r="C200" s="14" t="s">
        <v>1268</v>
      </c>
      <c r="D200" s="15" t="s">
        <v>1653</v>
      </c>
      <c r="E200" s="15" t="s">
        <v>3706</v>
      </c>
      <c r="F200" s="15" t="s">
        <v>2363</v>
      </c>
      <c r="G200" s="15"/>
      <c r="H200" s="15" t="s">
        <v>2364</v>
      </c>
      <c r="I200" s="15" t="s">
        <v>2365</v>
      </c>
      <c r="J200" s="15" t="s">
        <v>2283</v>
      </c>
      <c r="K200" s="15" t="s">
        <v>16</v>
      </c>
      <c r="L200" s="15" t="s">
        <v>2284</v>
      </c>
      <c r="M200" s="15"/>
      <c r="N200" s="16"/>
    </row>
    <row r="201" spans="1:14" x14ac:dyDescent="0.25">
      <c r="A201" s="20"/>
      <c r="B201" s="22" t="s">
        <v>2362</v>
      </c>
      <c r="C201" s="14" t="s">
        <v>1268</v>
      </c>
      <c r="D201" s="15" t="s">
        <v>1656</v>
      </c>
      <c r="E201" s="15" t="s">
        <v>3707</v>
      </c>
      <c r="F201" s="15" t="s">
        <v>2363</v>
      </c>
      <c r="G201" s="15"/>
      <c r="H201" s="15" t="s">
        <v>2326</v>
      </c>
      <c r="I201" s="15" t="s">
        <v>2366</v>
      </c>
      <c r="J201" s="15" t="s">
        <v>2283</v>
      </c>
      <c r="K201" s="15" t="s">
        <v>16</v>
      </c>
      <c r="L201" s="15" t="s">
        <v>2284</v>
      </c>
      <c r="M201" s="15"/>
      <c r="N201" s="16"/>
    </row>
    <row r="202" spans="1:14" x14ac:dyDescent="0.25">
      <c r="A202" s="20"/>
      <c r="B202" s="22" t="s">
        <v>2362</v>
      </c>
      <c r="C202" s="14" t="s">
        <v>1268</v>
      </c>
      <c r="D202" s="15" t="s">
        <v>1659</v>
      </c>
      <c r="E202" s="15" t="s">
        <v>3708</v>
      </c>
      <c r="F202" s="15" t="s">
        <v>2367</v>
      </c>
      <c r="G202" s="15"/>
      <c r="H202" s="15" t="s">
        <v>2354</v>
      </c>
      <c r="I202" s="15" t="s">
        <v>2368</v>
      </c>
      <c r="J202" s="15" t="s">
        <v>2283</v>
      </c>
      <c r="K202" s="15" t="s">
        <v>16</v>
      </c>
      <c r="L202" s="15" t="s">
        <v>2284</v>
      </c>
      <c r="M202" s="15"/>
      <c r="N202" s="16"/>
    </row>
    <row r="203" spans="1:14" x14ac:dyDescent="0.25">
      <c r="A203" s="20"/>
      <c r="B203" s="22" t="s">
        <v>2362</v>
      </c>
      <c r="C203" s="14" t="s">
        <v>1268</v>
      </c>
      <c r="D203" s="15" t="s">
        <v>1662</v>
      </c>
      <c r="E203" s="15" t="s">
        <v>3709</v>
      </c>
      <c r="F203" s="15" t="s">
        <v>2369</v>
      </c>
      <c r="G203" s="15"/>
      <c r="H203" s="15" t="s">
        <v>2370</v>
      </c>
      <c r="I203" s="15"/>
      <c r="J203" s="15" t="s">
        <v>2283</v>
      </c>
      <c r="K203" s="15" t="s">
        <v>16</v>
      </c>
      <c r="L203" s="15" t="s">
        <v>2284</v>
      </c>
      <c r="M203" s="15"/>
      <c r="N203" s="16"/>
    </row>
    <row r="204" spans="1:14" x14ac:dyDescent="0.25">
      <c r="A204" s="20"/>
      <c r="B204" s="22" t="s">
        <v>2362</v>
      </c>
      <c r="C204" s="14" t="s">
        <v>1268</v>
      </c>
      <c r="D204" s="15" t="s">
        <v>1665</v>
      </c>
      <c r="E204" s="15" t="s">
        <v>3710</v>
      </c>
      <c r="F204" s="15" t="s">
        <v>2369</v>
      </c>
      <c r="G204" s="15"/>
      <c r="H204" s="15" t="s">
        <v>2371</v>
      </c>
      <c r="I204" s="15"/>
      <c r="J204" s="15" t="s">
        <v>2283</v>
      </c>
      <c r="K204" s="15" t="s">
        <v>16</v>
      </c>
      <c r="L204" s="15" t="s">
        <v>2284</v>
      </c>
      <c r="M204" s="15"/>
      <c r="N204" s="16"/>
    </row>
    <row r="205" spans="1:14" x14ac:dyDescent="0.25">
      <c r="A205" s="20"/>
      <c r="B205" s="22" t="s">
        <v>2362</v>
      </c>
      <c r="C205" s="14" t="s">
        <v>1268</v>
      </c>
      <c r="D205" s="15" t="s">
        <v>1668</v>
      </c>
      <c r="E205" s="15" t="s">
        <v>3711</v>
      </c>
      <c r="F205" s="15" t="s">
        <v>2372</v>
      </c>
      <c r="G205" s="15"/>
      <c r="H205" s="15" t="s">
        <v>2373</v>
      </c>
      <c r="I205" s="15" t="s">
        <v>2374</v>
      </c>
      <c r="J205" s="15" t="s">
        <v>2283</v>
      </c>
      <c r="K205" s="15" t="s">
        <v>16</v>
      </c>
      <c r="L205" s="15" t="s">
        <v>2284</v>
      </c>
      <c r="M205" s="15"/>
      <c r="N205" s="16"/>
    </row>
    <row r="206" spans="1:14" x14ac:dyDescent="0.25">
      <c r="A206" s="20"/>
      <c r="B206" s="22" t="s">
        <v>2362</v>
      </c>
      <c r="C206" s="14" t="s">
        <v>1268</v>
      </c>
      <c r="D206" s="15" t="s">
        <v>1671</v>
      </c>
      <c r="E206" s="15" t="s">
        <v>3712</v>
      </c>
      <c r="F206" s="15" t="s">
        <v>2375</v>
      </c>
      <c r="G206" s="15"/>
      <c r="H206" s="15" t="s">
        <v>2376</v>
      </c>
      <c r="I206" s="15" t="s">
        <v>2377</v>
      </c>
      <c r="J206" s="15" t="s">
        <v>2283</v>
      </c>
      <c r="K206" s="15" t="s">
        <v>16</v>
      </c>
      <c r="L206" s="15" t="s">
        <v>2284</v>
      </c>
      <c r="M206" s="15"/>
      <c r="N206" s="16"/>
    </row>
    <row r="207" spans="1:14" x14ac:dyDescent="0.25">
      <c r="A207" s="20"/>
      <c r="B207" s="22" t="s">
        <v>2362</v>
      </c>
      <c r="C207" s="14" t="s">
        <v>1268</v>
      </c>
      <c r="D207" s="15" t="s">
        <v>1674</v>
      </c>
      <c r="E207" s="15" t="s">
        <v>3713</v>
      </c>
      <c r="F207" s="15" t="s">
        <v>2367</v>
      </c>
      <c r="G207" s="15"/>
      <c r="H207" s="15" t="s">
        <v>2351</v>
      </c>
      <c r="I207" s="15"/>
      <c r="J207" s="15" t="s">
        <v>2283</v>
      </c>
      <c r="K207" s="15" t="s">
        <v>16</v>
      </c>
      <c r="L207" s="15" t="s">
        <v>2284</v>
      </c>
      <c r="M207" s="15"/>
      <c r="N207" s="16"/>
    </row>
    <row r="208" spans="1:14" x14ac:dyDescent="0.25">
      <c r="A208" s="20"/>
      <c r="B208" s="22" t="s">
        <v>2362</v>
      </c>
      <c r="C208" s="14" t="s">
        <v>1268</v>
      </c>
      <c r="D208" s="15" t="s">
        <v>1677</v>
      </c>
      <c r="E208" s="15" t="s">
        <v>3714</v>
      </c>
      <c r="F208" s="15" t="s">
        <v>2363</v>
      </c>
      <c r="G208" s="15"/>
      <c r="H208" s="15" t="s">
        <v>2338</v>
      </c>
      <c r="I208" s="15"/>
      <c r="J208" s="15" t="s">
        <v>2283</v>
      </c>
      <c r="K208" s="15" t="s">
        <v>16</v>
      </c>
      <c r="L208" s="15" t="s">
        <v>2284</v>
      </c>
      <c r="M208" s="15"/>
      <c r="N208" s="16"/>
    </row>
    <row r="209" spans="1:14" x14ac:dyDescent="0.25">
      <c r="A209" s="20"/>
      <c r="B209" s="22" t="s">
        <v>2087</v>
      </c>
      <c r="C209" s="14" t="s">
        <v>88</v>
      </c>
      <c r="D209" s="15" t="s">
        <v>1680</v>
      </c>
      <c r="E209" s="15" t="s">
        <v>3715</v>
      </c>
      <c r="F209" s="15" t="s">
        <v>2350</v>
      </c>
      <c r="G209" s="15"/>
      <c r="H209" s="15" t="s">
        <v>2356</v>
      </c>
      <c r="I209" s="15" t="s">
        <v>2357</v>
      </c>
      <c r="J209" s="15" t="s">
        <v>2353</v>
      </c>
      <c r="K209" s="15" t="s">
        <v>16</v>
      </c>
      <c r="L209" s="15" t="s">
        <v>2284</v>
      </c>
      <c r="M209" s="15"/>
      <c r="N209" s="16"/>
    </row>
    <row r="210" spans="1:14" x14ac:dyDescent="0.25">
      <c r="A210" s="20"/>
      <c r="B210" s="22" t="s">
        <v>2087</v>
      </c>
      <c r="C210" s="14" t="s">
        <v>88</v>
      </c>
      <c r="D210" s="15" t="s">
        <v>1683</v>
      </c>
      <c r="E210" s="15" t="s">
        <v>3716</v>
      </c>
      <c r="F210" s="15" t="s">
        <v>2350</v>
      </c>
      <c r="G210" s="15"/>
      <c r="H210" s="15" t="s">
        <v>2351</v>
      </c>
      <c r="I210" s="15" t="s">
        <v>2352</v>
      </c>
      <c r="J210" s="15" t="s">
        <v>2353</v>
      </c>
      <c r="K210" s="15" t="s">
        <v>16</v>
      </c>
      <c r="L210" s="15" t="s">
        <v>2405</v>
      </c>
      <c r="M210" s="15"/>
      <c r="N210" s="16"/>
    </row>
    <row r="211" spans="1:14" x14ac:dyDescent="0.25">
      <c r="A211" s="20"/>
      <c r="B211" s="22" t="s">
        <v>2087</v>
      </c>
      <c r="C211" s="14" t="s">
        <v>88</v>
      </c>
      <c r="D211" s="15" t="s">
        <v>1686</v>
      </c>
      <c r="E211" s="15" t="s">
        <v>3717</v>
      </c>
      <c r="F211" s="15" t="s">
        <v>2350</v>
      </c>
      <c r="G211" s="15"/>
      <c r="H211" s="15" t="s">
        <v>2338</v>
      </c>
      <c r="I211" s="15"/>
      <c r="J211" s="15" t="s">
        <v>2353</v>
      </c>
      <c r="K211" s="15" t="s">
        <v>16</v>
      </c>
      <c r="L211" s="15" t="s">
        <v>2284</v>
      </c>
      <c r="M211" s="15"/>
      <c r="N211" s="16"/>
    </row>
    <row r="212" spans="1:14" x14ac:dyDescent="0.25">
      <c r="A212" s="20"/>
      <c r="B212" s="22" t="s">
        <v>2087</v>
      </c>
      <c r="C212" s="14" t="s">
        <v>88</v>
      </c>
      <c r="D212" s="15" t="s">
        <v>1689</v>
      </c>
      <c r="E212" s="15" t="s">
        <v>3718</v>
      </c>
      <c r="F212" s="15" t="s">
        <v>2350</v>
      </c>
      <c r="G212" s="15"/>
      <c r="H212" s="15" t="s">
        <v>2354</v>
      </c>
      <c r="I212" s="15" t="s">
        <v>2355</v>
      </c>
      <c r="J212" s="15" t="s">
        <v>2353</v>
      </c>
      <c r="K212" s="88" t="s">
        <v>16</v>
      </c>
      <c r="L212" s="15" t="s">
        <v>2284</v>
      </c>
      <c r="M212" s="15"/>
      <c r="N212" s="16"/>
    </row>
    <row r="213" spans="1:14" x14ac:dyDescent="0.25">
      <c r="A213" s="20"/>
      <c r="B213" s="22" t="s">
        <v>2087</v>
      </c>
      <c r="C213" s="14" t="s">
        <v>88</v>
      </c>
      <c r="D213" s="15" t="s">
        <v>1692</v>
      </c>
      <c r="E213" s="15" t="s">
        <v>3719</v>
      </c>
      <c r="F213" s="15" t="s">
        <v>2350</v>
      </c>
      <c r="G213" s="15"/>
      <c r="H213" s="15" t="s">
        <v>2358</v>
      </c>
      <c r="I213" s="15" t="s">
        <v>2359</v>
      </c>
      <c r="J213" s="15" t="s">
        <v>2353</v>
      </c>
      <c r="K213" s="15" t="s">
        <v>16</v>
      </c>
      <c r="L213" s="15" t="s">
        <v>2284</v>
      </c>
      <c r="M213" s="15"/>
      <c r="N213" s="16"/>
    </row>
    <row r="214" spans="1:14" x14ac:dyDescent="0.25">
      <c r="A214" s="20"/>
      <c r="B214" s="22" t="s">
        <v>2087</v>
      </c>
      <c r="C214" s="14" t="s">
        <v>88</v>
      </c>
      <c r="D214" s="15" t="s">
        <v>3468</v>
      </c>
      <c r="E214" s="15" t="s">
        <v>3720</v>
      </c>
      <c r="F214" s="15" t="s">
        <v>2360</v>
      </c>
      <c r="G214" s="15"/>
      <c r="H214" s="15" t="s">
        <v>2333</v>
      </c>
      <c r="I214" s="15"/>
      <c r="J214" s="15" t="s">
        <v>2353</v>
      </c>
      <c r="K214" s="15" t="s">
        <v>16</v>
      </c>
      <c r="L214" s="15" t="s">
        <v>2284</v>
      </c>
      <c r="M214" s="15"/>
      <c r="N214" s="16"/>
    </row>
    <row r="215" spans="1:14" x14ac:dyDescent="0.25">
      <c r="A215" s="20"/>
      <c r="B215" s="22" t="s">
        <v>2087</v>
      </c>
      <c r="C215" s="14" t="s">
        <v>88</v>
      </c>
      <c r="D215" s="15" t="s">
        <v>3469</v>
      </c>
      <c r="E215" s="15" t="s">
        <v>3721</v>
      </c>
      <c r="F215" s="15" t="s">
        <v>2350</v>
      </c>
      <c r="G215" s="15"/>
      <c r="H215" s="15" t="s">
        <v>2356</v>
      </c>
      <c r="I215" s="15" t="s">
        <v>2361</v>
      </c>
      <c r="J215" s="15" t="s">
        <v>2353</v>
      </c>
      <c r="K215" s="15" t="s">
        <v>16</v>
      </c>
      <c r="L215" s="15" t="s">
        <v>2284</v>
      </c>
      <c r="M215" s="15"/>
      <c r="N215" s="16"/>
    </row>
    <row r="216" spans="1:14" x14ac:dyDescent="0.25">
      <c r="A216" s="20"/>
      <c r="B216" s="22" t="s">
        <v>2087</v>
      </c>
      <c r="C216" s="14" t="s">
        <v>88</v>
      </c>
      <c r="D216" s="15" t="s">
        <v>3470</v>
      </c>
      <c r="E216" s="15" t="s">
        <v>3722</v>
      </c>
      <c r="F216" s="15"/>
      <c r="G216" s="15"/>
      <c r="H216" s="15"/>
      <c r="I216" s="15"/>
      <c r="J216" s="15" t="s">
        <v>2353</v>
      </c>
      <c r="K216" s="15" t="s">
        <v>16</v>
      </c>
      <c r="L216" s="15" t="s">
        <v>2284</v>
      </c>
      <c r="M216" s="15"/>
      <c r="N216" s="16"/>
    </row>
    <row r="217" spans="1:14" ht="45.75" customHeight="1" x14ac:dyDescent="0.25">
      <c r="A217" s="20"/>
      <c r="B217" s="22" t="s">
        <v>3074</v>
      </c>
      <c r="C217" s="14" t="s">
        <v>88</v>
      </c>
      <c r="D217" s="15" t="s">
        <v>3471</v>
      </c>
      <c r="E217" s="15" t="s">
        <v>3723</v>
      </c>
      <c r="F217" s="15"/>
      <c r="G217" s="15"/>
      <c r="H217" s="15"/>
      <c r="I217" s="104" t="s">
        <v>3076</v>
      </c>
      <c r="J217" s="15"/>
      <c r="K217" s="15" t="s">
        <v>2806</v>
      </c>
      <c r="L217" s="15" t="s">
        <v>2284</v>
      </c>
      <c r="M217" s="15"/>
      <c r="N217" s="16"/>
    </row>
    <row r="218" spans="1:14" ht="45" x14ac:dyDescent="0.25">
      <c r="A218" s="20"/>
      <c r="B218" s="22" t="s">
        <v>3074</v>
      </c>
      <c r="C218" s="14" t="s">
        <v>88</v>
      </c>
      <c r="D218" s="15" t="s">
        <v>3472</v>
      </c>
      <c r="E218" s="15" t="s">
        <v>3724</v>
      </c>
      <c r="F218" s="15"/>
      <c r="G218" s="15"/>
      <c r="H218" s="15"/>
      <c r="I218" s="90" t="s">
        <v>3075</v>
      </c>
      <c r="J218" s="15"/>
      <c r="K218" s="15" t="s">
        <v>2806</v>
      </c>
      <c r="L218" s="15" t="s">
        <v>2284</v>
      </c>
      <c r="M218" s="15"/>
      <c r="N218" s="16"/>
    </row>
    <row r="219" spans="1:14" ht="45" x14ac:dyDescent="0.25">
      <c r="A219" s="20"/>
      <c r="B219" s="22" t="s">
        <v>3074</v>
      </c>
      <c r="C219" s="14" t="s">
        <v>88</v>
      </c>
      <c r="D219" s="15" t="s">
        <v>3473</v>
      </c>
      <c r="E219" s="15" t="s">
        <v>3725</v>
      </c>
      <c r="F219" s="15"/>
      <c r="G219" s="15"/>
      <c r="H219" s="15"/>
      <c r="I219" s="90" t="s">
        <v>3077</v>
      </c>
      <c r="J219" s="15"/>
      <c r="K219" s="15" t="s">
        <v>16</v>
      </c>
      <c r="L219" s="15" t="s">
        <v>2284</v>
      </c>
      <c r="M219" s="15"/>
      <c r="N219" s="16"/>
    </row>
    <row r="220" spans="1:14" x14ac:dyDescent="0.25">
      <c r="A220" s="20"/>
      <c r="B220" s="22" t="s">
        <v>2089</v>
      </c>
      <c r="C220" s="14" t="s">
        <v>1268</v>
      </c>
      <c r="D220" s="15" t="s">
        <v>3474</v>
      </c>
      <c r="E220" s="15" t="s">
        <v>3726</v>
      </c>
      <c r="F220" s="15" t="s">
        <v>2443</v>
      </c>
      <c r="G220" s="15"/>
      <c r="H220" s="15"/>
      <c r="I220" s="15"/>
      <c r="J220" s="15" t="s">
        <v>2353</v>
      </c>
      <c r="K220" s="15" t="s">
        <v>16</v>
      </c>
      <c r="L220" s="15" t="s">
        <v>2284</v>
      </c>
      <c r="M220" s="15"/>
      <c r="N220" s="16"/>
    </row>
    <row r="221" spans="1:14" x14ac:dyDescent="0.25">
      <c r="A221" s="20"/>
      <c r="B221" s="22" t="s">
        <v>2089</v>
      </c>
      <c r="C221" s="14" t="s">
        <v>1268</v>
      </c>
      <c r="D221" s="15" t="s">
        <v>3475</v>
      </c>
      <c r="E221" s="15" t="s">
        <v>3727</v>
      </c>
      <c r="F221" s="15" t="s">
        <v>2443</v>
      </c>
      <c r="G221" s="15"/>
      <c r="H221" s="15" t="s">
        <v>2436</v>
      </c>
      <c r="I221" s="15" t="s">
        <v>2436</v>
      </c>
      <c r="J221" s="15" t="s">
        <v>2353</v>
      </c>
      <c r="K221" s="15" t="s">
        <v>16</v>
      </c>
      <c r="L221" s="15" t="s">
        <v>2284</v>
      </c>
      <c r="M221" s="15" t="s">
        <v>2437</v>
      </c>
      <c r="N221" s="16"/>
    </row>
    <row r="222" spans="1:14" x14ac:dyDescent="0.25">
      <c r="A222" s="20"/>
      <c r="B222" s="22" t="s">
        <v>2089</v>
      </c>
      <c r="C222" s="14" t="s">
        <v>1268</v>
      </c>
      <c r="D222" s="15" t="s">
        <v>3476</v>
      </c>
      <c r="E222" s="15" t="s">
        <v>3728</v>
      </c>
      <c r="F222" s="15" t="s">
        <v>2443</v>
      </c>
      <c r="G222" s="15"/>
      <c r="H222" s="15" t="s">
        <v>2438</v>
      </c>
      <c r="I222" s="15" t="s">
        <v>2439</v>
      </c>
      <c r="J222" s="15" t="s">
        <v>2353</v>
      </c>
      <c r="K222" s="15" t="s">
        <v>16</v>
      </c>
      <c r="L222" s="15" t="s">
        <v>2284</v>
      </c>
      <c r="M222" s="15"/>
      <c r="N222" s="16"/>
    </row>
    <row r="223" spans="1:14" x14ac:dyDescent="0.25">
      <c r="A223" s="20"/>
      <c r="B223" s="22" t="s">
        <v>2089</v>
      </c>
      <c r="C223" s="14" t="s">
        <v>1268</v>
      </c>
      <c r="D223" s="15" t="s">
        <v>3477</v>
      </c>
      <c r="E223" s="15" t="s">
        <v>3729</v>
      </c>
      <c r="F223" s="15" t="s">
        <v>2442</v>
      </c>
      <c r="G223" s="15"/>
      <c r="H223" s="15" t="s">
        <v>2440</v>
      </c>
      <c r="I223" s="15" t="s">
        <v>2440</v>
      </c>
      <c r="J223" s="15" t="s">
        <v>2353</v>
      </c>
      <c r="K223" s="15" t="s">
        <v>16</v>
      </c>
      <c r="L223" s="15" t="s">
        <v>2284</v>
      </c>
      <c r="M223" s="15" t="s">
        <v>2441</v>
      </c>
      <c r="N223" s="16"/>
    </row>
    <row r="224" spans="1:14" x14ac:dyDescent="0.25">
      <c r="A224" s="20"/>
      <c r="B224" s="22" t="s">
        <v>2089</v>
      </c>
      <c r="C224" s="14" t="s">
        <v>1268</v>
      </c>
      <c r="D224" s="15" t="s">
        <v>3478</v>
      </c>
      <c r="E224" s="15" t="s">
        <v>3730</v>
      </c>
      <c r="F224" s="15" t="s">
        <v>2442</v>
      </c>
      <c r="G224" s="15"/>
      <c r="H224" s="15" t="s">
        <v>2444</v>
      </c>
      <c r="I224" s="15"/>
      <c r="J224" s="15" t="s">
        <v>2353</v>
      </c>
      <c r="K224" s="15" t="s">
        <v>16</v>
      </c>
      <c r="L224" s="15" t="s">
        <v>2284</v>
      </c>
      <c r="M224" s="15" t="s">
        <v>2437</v>
      </c>
      <c r="N224" s="16"/>
    </row>
    <row r="225" spans="1:14" x14ac:dyDescent="0.25">
      <c r="A225" s="20"/>
      <c r="B225" s="22" t="s">
        <v>2089</v>
      </c>
      <c r="C225" s="14" t="s">
        <v>1268</v>
      </c>
      <c r="D225" s="15" t="s">
        <v>3479</v>
      </c>
      <c r="E225" s="15" t="s">
        <v>3731</v>
      </c>
      <c r="F225" s="15" t="s">
        <v>2443</v>
      </c>
      <c r="G225" s="15"/>
      <c r="H225" s="15" t="s">
        <v>2445</v>
      </c>
      <c r="I225" s="15"/>
      <c r="J225" s="15" t="s">
        <v>2353</v>
      </c>
      <c r="K225" s="15" t="s">
        <v>16</v>
      </c>
      <c r="L225" s="15" t="s">
        <v>2284</v>
      </c>
      <c r="M225" s="15"/>
      <c r="N225" s="16"/>
    </row>
    <row r="226" spans="1:14" x14ac:dyDescent="0.25">
      <c r="A226" s="20"/>
      <c r="B226" s="22" t="s">
        <v>2511</v>
      </c>
      <c r="C226" s="14" t="s">
        <v>1268</v>
      </c>
      <c r="D226" s="15" t="s">
        <v>3480</v>
      </c>
      <c r="E226" s="15" t="s">
        <v>3732</v>
      </c>
      <c r="F226" s="15"/>
      <c r="G226" s="15"/>
      <c r="H226" s="15"/>
      <c r="I226" s="15" t="s">
        <v>2512</v>
      </c>
      <c r="J226" s="15" t="s">
        <v>2353</v>
      </c>
      <c r="K226" s="15" t="s">
        <v>16</v>
      </c>
      <c r="L226" s="15" t="s">
        <v>2284</v>
      </c>
      <c r="M226" s="15"/>
      <c r="N226" s="16"/>
    </row>
    <row r="227" spans="1:14" x14ac:dyDescent="0.25">
      <c r="A227" s="20"/>
      <c r="B227" s="22" t="s">
        <v>2511</v>
      </c>
      <c r="C227" s="14" t="s">
        <v>1268</v>
      </c>
      <c r="D227" s="15" t="s">
        <v>3481</v>
      </c>
      <c r="E227" s="15" t="s">
        <v>3733</v>
      </c>
      <c r="F227" s="15"/>
      <c r="G227" s="15"/>
      <c r="H227" s="15"/>
      <c r="I227" s="15" t="s">
        <v>3339</v>
      </c>
      <c r="J227" s="15" t="s">
        <v>2353</v>
      </c>
      <c r="K227" s="15" t="s">
        <v>16</v>
      </c>
      <c r="L227" s="15" t="s">
        <v>2405</v>
      </c>
      <c r="M227" s="15"/>
      <c r="N227" s="16"/>
    </row>
    <row r="228" spans="1:14" x14ac:dyDescent="0.25">
      <c r="A228" s="20"/>
      <c r="B228" s="22" t="s">
        <v>2511</v>
      </c>
      <c r="C228" s="14"/>
      <c r="D228" s="15" t="s">
        <v>3482</v>
      </c>
      <c r="E228" s="15" t="s">
        <v>3734</v>
      </c>
      <c r="F228" s="15"/>
      <c r="G228" s="15"/>
      <c r="H228" s="15"/>
      <c r="I228" s="15" t="s">
        <v>2513</v>
      </c>
      <c r="J228" s="15" t="s">
        <v>2353</v>
      </c>
      <c r="K228" s="15" t="s">
        <v>16</v>
      </c>
      <c r="L228" s="15" t="s">
        <v>2284</v>
      </c>
      <c r="M228" s="15"/>
      <c r="N228" s="16"/>
    </row>
    <row r="229" spans="1:14" x14ac:dyDescent="0.25">
      <c r="A229" s="20"/>
      <c r="B229" s="22" t="s">
        <v>2511</v>
      </c>
      <c r="C229" s="14"/>
      <c r="D229" s="15" t="s">
        <v>2778</v>
      </c>
      <c r="E229" s="15" t="s">
        <v>3735</v>
      </c>
      <c r="F229" s="15" t="s">
        <v>2514</v>
      </c>
      <c r="G229" s="15"/>
      <c r="H229" s="15" t="s">
        <v>2515</v>
      </c>
      <c r="I229" s="15" t="s">
        <v>2516</v>
      </c>
      <c r="J229" s="15" t="s">
        <v>2353</v>
      </c>
      <c r="K229" s="15" t="s">
        <v>16</v>
      </c>
      <c r="L229" s="15" t="s">
        <v>2284</v>
      </c>
      <c r="M229" s="15"/>
      <c r="N229" s="16"/>
    </row>
    <row r="230" spans="1:14" x14ac:dyDescent="0.25">
      <c r="A230" s="20"/>
      <c r="B230" s="22" t="s">
        <v>2091</v>
      </c>
      <c r="C230" s="14" t="s">
        <v>1268</v>
      </c>
      <c r="D230" s="15" t="s">
        <v>3483</v>
      </c>
      <c r="E230" s="15" t="s">
        <v>3736</v>
      </c>
      <c r="F230" s="15"/>
      <c r="G230" s="15"/>
      <c r="H230" s="15"/>
      <c r="I230" s="15"/>
      <c r="J230" s="15"/>
      <c r="K230" s="15" t="s">
        <v>16</v>
      </c>
      <c r="L230" s="15"/>
      <c r="M230" s="15"/>
      <c r="N230" s="16"/>
    </row>
    <row r="231" spans="1:14" x14ac:dyDescent="0.25">
      <c r="A231" s="20"/>
      <c r="B231" s="22" t="s">
        <v>2093</v>
      </c>
      <c r="C231" s="14" t="s">
        <v>1268</v>
      </c>
      <c r="D231" s="15" t="s">
        <v>3484</v>
      </c>
      <c r="E231" s="15" t="s">
        <v>3737</v>
      </c>
      <c r="F231" s="15"/>
      <c r="G231" s="15"/>
      <c r="H231" s="15"/>
      <c r="I231" s="15"/>
      <c r="J231" s="15"/>
      <c r="K231" s="15" t="s">
        <v>16</v>
      </c>
      <c r="L231" s="15"/>
      <c r="M231" s="15"/>
      <c r="N231" s="16"/>
    </row>
    <row r="232" spans="1:14" x14ac:dyDescent="0.25">
      <c r="A232" s="20"/>
      <c r="B232" s="22" t="s">
        <v>2538</v>
      </c>
      <c r="C232" s="14" t="s">
        <v>1268</v>
      </c>
      <c r="D232" s="15" t="s">
        <v>3485</v>
      </c>
      <c r="E232" s="15" t="s">
        <v>3738</v>
      </c>
      <c r="F232" s="15" t="s">
        <v>2454</v>
      </c>
      <c r="G232" s="15"/>
      <c r="H232" s="15"/>
      <c r="I232" s="15" t="s">
        <v>2539</v>
      </c>
      <c r="J232" s="15" t="s">
        <v>2340</v>
      </c>
      <c r="K232" s="15" t="s">
        <v>16</v>
      </c>
      <c r="L232" s="15" t="s">
        <v>2284</v>
      </c>
      <c r="M232" s="15" t="s">
        <v>2304</v>
      </c>
      <c r="N232" s="16"/>
    </row>
    <row r="233" spans="1:14" x14ac:dyDescent="0.25">
      <c r="A233" s="20"/>
      <c r="B233" s="22" t="s">
        <v>2538</v>
      </c>
      <c r="C233" s="14" t="s">
        <v>1268</v>
      </c>
      <c r="D233" s="15" t="s">
        <v>3486</v>
      </c>
      <c r="E233" s="15" t="s">
        <v>3739</v>
      </c>
      <c r="F233" s="15" t="s">
        <v>2454</v>
      </c>
      <c r="G233" s="15"/>
      <c r="H233" s="15" t="s">
        <v>2541</v>
      </c>
      <c r="I233" s="15" t="s">
        <v>2542</v>
      </c>
      <c r="J233" s="15" t="s">
        <v>2335</v>
      </c>
      <c r="K233" s="15" t="s">
        <v>16</v>
      </c>
      <c r="L233" s="15" t="s">
        <v>2284</v>
      </c>
      <c r="M233" s="15" t="s">
        <v>2303</v>
      </c>
      <c r="N233" s="16"/>
    </row>
    <row r="234" spans="1:14" x14ac:dyDescent="0.25">
      <c r="A234" s="20"/>
      <c r="B234" s="22" t="s">
        <v>2538</v>
      </c>
      <c r="C234" s="14" t="s">
        <v>1268</v>
      </c>
      <c r="D234" s="15" t="s">
        <v>3487</v>
      </c>
      <c r="E234" s="15" t="s">
        <v>3740</v>
      </c>
      <c r="F234" s="15" t="s">
        <v>2454</v>
      </c>
      <c r="G234" s="15"/>
      <c r="H234" s="15" t="s">
        <v>2543</v>
      </c>
      <c r="I234" s="15" t="s">
        <v>2544</v>
      </c>
      <c r="J234" s="15" t="s">
        <v>2335</v>
      </c>
      <c r="K234" s="15" t="s">
        <v>16</v>
      </c>
      <c r="L234" s="15" t="s">
        <v>2284</v>
      </c>
      <c r="M234" s="15" t="s">
        <v>2325</v>
      </c>
      <c r="N234" s="16"/>
    </row>
    <row r="235" spans="1:14" x14ac:dyDescent="0.25">
      <c r="A235" s="20"/>
      <c r="B235" s="22" t="s">
        <v>2538</v>
      </c>
      <c r="C235" s="14" t="s">
        <v>1268</v>
      </c>
      <c r="D235" s="15" t="s">
        <v>3488</v>
      </c>
      <c r="E235" s="15" t="s">
        <v>3741</v>
      </c>
      <c r="F235" s="15" t="s">
        <v>2454</v>
      </c>
      <c r="G235" s="15"/>
      <c r="H235" s="15" t="s">
        <v>2348</v>
      </c>
      <c r="I235" s="15" t="s">
        <v>2545</v>
      </c>
      <c r="J235" s="15" t="s">
        <v>2335</v>
      </c>
      <c r="K235" s="15" t="s">
        <v>16</v>
      </c>
      <c r="L235" s="15" t="s">
        <v>2284</v>
      </c>
      <c r="M235" s="15" t="s">
        <v>2546</v>
      </c>
      <c r="N235" s="16"/>
    </row>
    <row r="236" spans="1:14" x14ac:dyDescent="0.25">
      <c r="A236" s="20"/>
      <c r="B236" s="22" t="s">
        <v>2538</v>
      </c>
      <c r="C236" s="14" t="s">
        <v>1268</v>
      </c>
      <c r="D236" s="15" t="s">
        <v>3489</v>
      </c>
      <c r="E236" s="15" t="s">
        <v>3742</v>
      </c>
      <c r="F236" s="15" t="s">
        <v>2487</v>
      </c>
      <c r="G236" s="15"/>
      <c r="H236" s="15"/>
      <c r="I236" s="15" t="s">
        <v>3058</v>
      </c>
      <c r="J236" s="15" t="s">
        <v>3059</v>
      </c>
      <c r="K236" s="15" t="s">
        <v>16</v>
      </c>
      <c r="L236" s="15" t="s">
        <v>2284</v>
      </c>
      <c r="M236" s="15"/>
      <c r="N236" s="16" t="s">
        <v>2655</v>
      </c>
    </row>
    <row r="237" spans="1:14" x14ac:dyDescent="0.25">
      <c r="A237" s="20"/>
      <c r="B237" s="22" t="s">
        <v>2538</v>
      </c>
      <c r="C237" s="14" t="s">
        <v>1268</v>
      </c>
      <c r="D237" s="15" t="s">
        <v>3490</v>
      </c>
      <c r="E237" s="15" t="s">
        <v>3743</v>
      </c>
      <c r="F237" s="15" t="s">
        <v>2454</v>
      </c>
      <c r="G237" s="15"/>
      <c r="H237" s="15"/>
      <c r="I237" s="15" t="s">
        <v>3060</v>
      </c>
      <c r="J237" s="15" t="s">
        <v>3059</v>
      </c>
      <c r="K237" s="15" t="s">
        <v>16</v>
      </c>
      <c r="L237" s="15" t="s">
        <v>2284</v>
      </c>
      <c r="M237" s="15"/>
      <c r="N237" s="16" t="s">
        <v>2655</v>
      </c>
    </row>
    <row r="238" spans="1:14" x14ac:dyDescent="0.25">
      <c r="A238" s="20"/>
      <c r="B238" s="22" t="s">
        <v>3061</v>
      </c>
      <c r="C238" s="14" t="s">
        <v>1268</v>
      </c>
      <c r="D238" s="15" t="s">
        <v>3491</v>
      </c>
      <c r="E238" s="15" t="s">
        <v>3744</v>
      </c>
      <c r="F238" s="15" t="s">
        <v>2454</v>
      </c>
      <c r="G238" s="15"/>
      <c r="H238" s="15"/>
      <c r="I238" s="15" t="s">
        <v>3063</v>
      </c>
      <c r="J238" s="15" t="s">
        <v>3059</v>
      </c>
      <c r="K238" s="15" t="s">
        <v>16</v>
      </c>
      <c r="L238" s="15" t="s">
        <v>2284</v>
      </c>
      <c r="M238" s="15"/>
      <c r="N238" s="103" t="s">
        <v>2655</v>
      </c>
    </row>
    <row r="239" spans="1:14" x14ac:dyDescent="0.25">
      <c r="A239" s="20"/>
      <c r="B239" s="22" t="s">
        <v>2538</v>
      </c>
      <c r="C239" s="14" t="s">
        <v>1268</v>
      </c>
      <c r="D239" s="15" t="s">
        <v>3492</v>
      </c>
      <c r="E239" s="15" t="s">
        <v>3745</v>
      </c>
      <c r="F239" s="15" t="s">
        <v>2454</v>
      </c>
      <c r="G239" s="15"/>
      <c r="H239" s="15"/>
      <c r="I239" s="15" t="s">
        <v>3168</v>
      </c>
      <c r="J239" s="15" t="s">
        <v>3059</v>
      </c>
      <c r="K239" s="15" t="s">
        <v>16</v>
      </c>
      <c r="L239" s="15" t="s">
        <v>2284</v>
      </c>
      <c r="M239" s="15"/>
      <c r="N239" s="103" t="s">
        <v>3140</v>
      </c>
    </row>
    <row r="240" spans="1:14" x14ac:dyDescent="0.25">
      <c r="A240" s="20"/>
      <c r="B240" s="22" t="s">
        <v>2538</v>
      </c>
      <c r="C240" s="14" t="s">
        <v>1268</v>
      </c>
      <c r="D240" s="15" t="s">
        <v>3493</v>
      </c>
      <c r="E240" s="15" t="s">
        <v>3746</v>
      </c>
      <c r="F240" s="15" t="s">
        <v>2454</v>
      </c>
      <c r="G240" s="15"/>
      <c r="H240" s="15"/>
      <c r="I240" s="15" t="s">
        <v>3169</v>
      </c>
      <c r="J240" s="15" t="s">
        <v>3059</v>
      </c>
      <c r="K240" s="15" t="s">
        <v>16</v>
      </c>
      <c r="L240" s="15" t="s">
        <v>2284</v>
      </c>
      <c r="M240" s="15"/>
      <c r="N240" s="103" t="s">
        <v>3138</v>
      </c>
    </row>
    <row r="241" spans="1:14" x14ac:dyDescent="0.25">
      <c r="A241" s="20"/>
      <c r="B241" s="22" t="s">
        <v>2538</v>
      </c>
      <c r="C241" s="14" t="s">
        <v>1268</v>
      </c>
      <c r="D241" s="15" t="s">
        <v>3494</v>
      </c>
      <c r="E241" s="15" t="s">
        <v>3747</v>
      </c>
      <c r="F241" s="15" t="s">
        <v>2454</v>
      </c>
      <c r="G241" s="15"/>
      <c r="H241" s="15"/>
      <c r="I241" s="15"/>
      <c r="J241" s="15" t="s">
        <v>3059</v>
      </c>
      <c r="K241" s="15" t="s">
        <v>16</v>
      </c>
      <c r="L241" s="15" t="s">
        <v>2284</v>
      </c>
      <c r="M241" s="15"/>
      <c r="N241" s="103" t="s">
        <v>2655</v>
      </c>
    </row>
    <row r="242" spans="1:14" x14ac:dyDescent="0.25">
      <c r="A242" s="20"/>
      <c r="B242" s="22" t="s">
        <v>2538</v>
      </c>
      <c r="C242" s="14" t="s">
        <v>1268</v>
      </c>
      <c r="D242" s="15" t="s">
        <v>3495</v>
      </c>
      <c r="E242" s="15" t="s">
        <v>3748</v>
      </c>
      <c r="F242" s="15" t="s">
        <v>2454</v>
      </c>
      <c r="G242" s="15"/>
      <c r="H242" s="15"/>
      <c r="I242" s="15"/>
      <c r="J242" s="15" t="s">
        <v>3059</v>
      </c>
      <c r="K242" s="15" t="s">
        <v>16</v>
      </c>
      <c r="L242" s="15" t="s">
        <v>2284</v>
      </c>
      <c r="M242" s="15"/>
      <c r="N242" s="103" t="s">
        <v>2655</v>
      </c>
    </row>
    <row r="243" spans="1:14" x14ac:dyDescent="0.25">
      <c r="A243" s="20"/>
      <c r="B243" s="22" t="s">
        <v>2538</v>
      </c>
      <c r="C243" s="14" t="s">
        <v>1268</v>
      </c>
      <c r="D243" s="15" t="s">
        <v>3496</v>
      </c>
      <c r="E243" s="15" t="s">
        <v>3749</v>
      </c>
      <c r="F243" s="15" t="s">
        <v>2454</v>
      </c>
      <c r="G243" s="15"/>
      <c r="H243" s="15"/>
      <c r="I243" s="15"/>
      <c r="J243" s="15" t="s">
        <v>3059</v>
      </c>
      <c r="K243" s="15" t="s">
        <v>16</v>
      </c>
      <c r="L243" s="15" t="s">
        <v>2284</v>
      </c>
      <c r="M243" s="15"/>
      <c r="N243" s="103" t="s">
        <v>2655</v>
      </c>
    </row>
    <row r="244" spans="1:14" x14ac:dyDescent="0.25">
      <c r="A244" s="20"/>
      <c r="B244" s="22" t="s">
        <v>2538</v>
      </c>
      <c r="C244" s="14" t="s">
        <v>1268</v>
      </c>
      <c r="D244" s="15" t="s">
        <v>3497</v>
      </c>
      <c r="E244" s="15" t="s">
        <v>3750</v>
      </c>
      <c r="F244" s="15" t="s">
        <v>2454</v>
      </c>
      <c r="G244" s="15"/>
      <c r="H244" s="15"/>
      <c r="I244" s="15" t="s">
        <v>3150</v>
      </c>
      <c r="J244" s="15" t="s">
        <v>3059</v>
      </c>
      <c r="K244" s="15" t="s">
        <v>16</v>
      </c>
      <c r="L244" s="15" t="s">
        <v>2284</v>
      </c>
      <c r="M244" s="15"/>
      <c r="N244" s="103" t="s">
        <v>2655</v>
      </c>
    </row>
    <row r="245" spans="1:14" x14ac:dyDescent="0.25">
      <c r="A245" s="20"/>
      <c r="B245" s="22" t="s">
        <v>3062</v>
      </c>
      <c r="C245" s="14" t="s">
        <v>1268</v>
      </c>
      <c r="D245" s="15" t="s">
        <v>3498</v>
      </c>
      <c r="E245" s="15" t="s">
        <v>3751</v>
      </c>
      <c r="F245" s="15" t="s">
        <v>2454</v>
      </c>
      <c r="G245" s="15"/>
      <c r="H245" s="15"/>
      <c r="I245" s="15" t="s">
        <v>3167</v>
      </c>
      <c r="J245" s="15" t="s">
        <v>3059</v>
      </c>
      <c r="K245" s="15" t="s">
        <v>16</v>
      </c>
      <c r="L245" s="15" t="s">
        <v>2284</v>
      </c>
      <c r="M245" s="15"/>
      <c r="N245" s="16" t="s">
        <v>2655</v>
      </c>
    </row>
    <row r="246" spans="1:14" x14ac:dyDescent="0.25">
      <c r="A246" s="20"/>
      <c r="B246" s="22" t="s">
        <v>2538</v>
      </c>
      <c r="C246" s="14" t="s">
        <v>1268</v>
      </c>
      <c r="D246" s="15" t="s">
        <v>3499</v>
      </c>
      <c r="E246" s="15" t="s">
        <v>3752</v>
      </c>
      <c r="F246" s="15" t="s">
        <v>2454</v>
      </c>
      <c r="G246" s="15"/>
      <c r="H246" s="15"/>
      <c r="I246" s="15" t="s">
        <v>2547</v>
      </c>
      <c r="J246" s="15" t="s">
        <v>2548</v>
      </c>
      <c r="K246" s="15" t="s">
        <v>16</v>
      </c>
      <c r="L246" s="15" t="s">
        <v>2284</v>
      </c>
      <c r="M246" s="15" t="s">
        <v>2304</v>
      </c>
      <c r="N246" s="16"/>
    </row>
    <row r="247" spans="1:14" x14ac:dyDescent="0.25">
      <c r="A247" s="20"/>
      <c r="B247" s="22" t="s">
        <v>2538</v>
      </c>
      <c r="C247" s="14" t="s">
        <v>1268</v>
      </c>
      <c r="D247" s="15" t="s">
        <v>3151</v>
      </c>
      <c r="E247" s="15" t="s">
        <v>3753</v>
      </c>
      <c r="F247" s="15" t="s">
        <v>2454</v>
      </c>
      <c r="G247" s="15"/>
      <c r="H247" s="15"/>
      <c r="I247" s="15" t="s">
        <v>3170</v>
      </c>
      <c r="J247" s="15" t="s">
        <v>3171</v>
      </c>
      <c r="K247" s="15" t="s">
        <v>16</v>
      </c>
      <c r="L247" s="15" t="s">
        <v>2284</v>
      </c>
      <c r="M247" s="15"/>
      <c r="N247" s="16" t="s">
        <v>3140</v>
      </c>
    </row>
    <row r="248" spans="1:14" x14ac:dyDescent="0.25">
      <c r="A248" s="20"/>
      <c r="B248" s="22" t="s">
        <v>2538</v>
      </c>
      <c r="C248" s="14" t="s">
        <v>1268</v>
      </c>
      <c r="D248" s="15" t="s">
        <v>3500</v>
      </c>
      <c r="E248" s="15" t="s">
        <v>3754</v>
      </c>
      <c r="F248" s="15" t="s">
        <v>2454</v>
      </c>
      <c r="G248" s="15"/>
      <c r="H248" s="15"/>
      <c r="I248" s="15" t="s">
        <v>3172</v>
      </c>
      <c r="J248" s="15" t="s">
        <v>3171</v>
      </c>
      <c r="K248" s="15" t="s">
        <v>16</v>
      </c>
      <c r="L248" s="15" t="s">
        <v>2284</v>
      </c>
      <c r="M248" s="15"/>
      <c r="N248" s="16" t="s">
        <v>3140</v>
      </c>
    </row>
    <row r="249" spans="1:14" x14ac:dyDescent="0.25">
      <c r="A249" s="20"/>
      <c r="B249" s="22" t="s">
        <v>2538</v>
      </c>
      <c r="C249" s="14" t="s">
        <v>1268</v>
      </c>
      <c r="D249" s="15" t="s">
        <v>2391</v>
      </c>
      <c r="E249" s="15" t="s">
        <v>3755</v>
      </c>
      <c r="F249" s="15" t="s">
        <v>2454</v>
      </c>
      <c r="G249" s="15"/>
      <c r="H249" s="15"/>
      <c r="I249" s="15" t="s">
        <v>3173</v>
      </c>
      <c r="J249" s="15" t="s">
        <v>3171</v>
      </c>
      <c r="K249" s="15" t="s">
        <v>16</v>
      </c>
      <c r="L249" s="15" t="s">
        <v>2284</v>
      </c>
      <c r="M249" s="15"/>
      <c r="N249" s="16" t="s">
        <v>3140</v>
      </c>
    </row>
    <row r="250" spans="1:14" x14ac:dyDescent="0.25">
      <c r="A250" s="20"/>
      <c r="B250" s="22" t="s">
        <v>2538</v>
      </c>
      <c r="C250" s="14" t="s">
        <v>1268</v>
      </c>
      <c r="D250" s="15" t="s">
        <v>3501</v>
      </c>
      <c r="E250" s="15" t="s">
        <v>3756</v>
      </c>
      <c r="F250" s="15" t="s">
        <v>2454</v>
      </c>
      <c r="G250" s="15"/>
      <c r="H250" s="15"/>
      <c r="I250" s="15" t="s">
        <v>3174</v>
      </c>
      <c r="J250" s="15" t="s">
        <v>3171</v>
      </c>
      <c r="K250" s="15" t="s">
        <v>16</v>
      </c>
      <c r="L250" s="15" t="s">
        <v>2284</v>
      </c>
      <c r="M250" s="15"/>
      <c r="N250" s="16" t="s">
        <v>3140</v>
      </c>
    </row>
    <row r="251" spans="1:14" x14ac:dyDescent="0.25">
      <c r="A251" s="20"/>
      <c r="B251" s="22" t="s">
        <v>2538</v>
      </c>
      <c r="C251" s="14" t="s">
        <v>1268</v>
      </c>
      <c r="D251" s="15" t="s">
        <v>3502</v>
      </c>
      <c r="E251" s="15" t="s">
        <v>3757</v>
      </c>
      <c r="F251" s="15" t="s">
        <v>2454</v>
      </c>
      <c r="G251" s="15"/>
      <c r="H251" s="15"/>
      <c r="I251" s="15" t="s">
        <v>3175</v>
      </c>
      <c r="J251" s="15" t="s">
        <v>3171</v>
      </c>
      <c r="K251" s="15" t="s">
        <v>16</v>
      </c>
      <c r="L251" s="15" t="s">
        <v>2284</v>
      </c>
      <c r="M251" s="15"/>
      <c r="N251" s="16" t="s">
        <v>3140</v>
      </c>
    </row>
    <row r="252" spans="1:14" x14ac:dyDescent="0.25">
      <c r="A252" s="20"/>
      <c r="B252" s="22" t="s">
        <v>2538</v>
      </c>
      <c r="C252" s="14" t="s">
        <v>1268</v>
      </c>
      <c r="D252" s="15" t="s">
        <v>3503</v>
      </c>
      <c r="E252" s="15" t="s">
        <v>3758</v>
      </c>
      <c r="F252" s="15" t="s">
        <v>2454</v>
      </c>
      <c r="G252" s="15"/>
      <c r="H252" s="15"/>
      <c r="I252" s="15" t="s">
        <v>3176</v>
      </c>
      <c r="J252" s="15" t="s">
        <v>3171</v>
      </c>
      <c r="K252" s="15" t="s">
        <v>16</v>
      </c>
      <c r="L252" s="15" t="s">
        <v>2284</v>
      </c>
      <c r="M252" s="15"/>
      <c r="N252" s="16" t="s">
        <v>3140</v>
      </c>
    </row>
    <row r="253" spans="1:14" x14ac:dyDescent="0.25">
      <c r="A253" s="20"/>
      <c r="B253" s="22" t="s">
        <v>2538</v>
      </c>
      <c r="C253" s="14" t="s">
        <v>1268</v>
      </c>
      <c r="D253" s="15" t="s">
        <v>3504</v>
      </c>
      <c r="E253" s="15" t="s">
        <v>3759</v>
      </c>
      <c r="F253" s="15" t="s">
        <v>2454</v>
      </c>
      <c r="G253" s="15"/>
      <c r="H253" s="15"/>
      <c r="I253" s="15" t="s">
        <v>3177</v>
      </c>
      <c r="J253" s="15" t="s">
        <v>3171</v>
      </c>
      <c r="K253" s="15" t="s">
        <v>16</v>
      </c>
      <c r="L253" s="15" t="s">
        <v>2284</v>
      </c>
      <c r="M253" s="15"/>
      <c r="N253" s="16" t="s">
        <v>3140</v>
      </c>
    </row>
    <row r="254" spans="1:14" x14ac:dyDescent="0.25">
      <c r="A254" s="20"/>
      <c r="B254" s="22" t="s">
        <v>2538</v>
      </c>
      <c r="C254" s="14" t="s">
        <v>1268</v>
      </c>
      <c r="D254" s="15" t="s">
        <v>3505</v>
      </c>
      <c r="E254" s="15" t="s">
        <v>3760</v>
      </c>
      <c r="F254" s="15" t="s">
        <v>2454</v>
      </c>
      <c r="G254" s="15"/>
      <c r="H254" s="15"/>
      <c r="I254" s="15" t="s">
        <v>3178</v>
      </c>
      <c r="J254" s="15" t="s">
        <v>3171</v>
      </c>
      <c r="K254" s="15" t="s">
        <v>16</v>
      </c>
      <c r="L254" s="15" t="s">
        <v>2284</v>
      </c>
      <c r="M254" s="15"/>
      <c r="N254" s="16" t="s">
        <v>3140</v>
      </c>
    </row>
    <row r="255" spans="1:14" x14ac:dyDescent="0.25">
      <c r="A255" s="20"/>
      <c r="B255" s="22" t="s">
        <v>2538</v>
      </c>
      <c r="C255" s="14" t="s">
        <v>1268</v>
      </c>
      <c r="D255" s="15" t="s">
        <v>3506</v>
      </c>
      <c r="E255" s="15" t="s">
        <v>3761</v>
      </c>
      <c r="F255" s="15" t="s">
        <v>2454</v>
      </c>
      <c r="G255" s="15"/>
      <c r="H255" s="15"/>
      <c r="I255" s="15" t="s">
        <v>3179</v>
      </c>
      <c r="J255" s="15" t="s">
        <v>3171</v>
      </c>
      <c r="K255" s="15" t="s">
        <v>16</v>
      </c>
      <c r="L255" s="15" t="s">
        <v>2284</v>
      </c>
      <c r="M255" s="15"/>
      <c r="N255" s="16" t="s">
        <v>3140</v>
      </c>
    </row>
    <row r="256" spans="1:14" x14ac:dyDescent="0.25">
      <c r="A256" s="20"/>
      <c r="B256" s="22" t="s">
        <v>2538</v>
      </c>
      <c r="C256" s="14" t="s">
        <v>1268</v>
      </c>
      <c r="D256" s="15" t="s">
        <v>3507</v>
      </c>
      <c r="E256" s="15" t="s">
        <v>3762</v>
      </c>
      <c r="F256" s="15" t="s">
        <v>2454</v>
      </c>
      <c r="G256" s="15"/>
      <c r="H256" s="15"/>
      <c r="I256" s="15" t="s">
        <v>2217</v>
      </c>
      <c r="J256" s="15" t="s">
        <v>3171</v>
      </c>
      <c r="K256" s="15" t="s">
        <v>16</v>
      </c>
      <c r="L256" s="15" t="s">
        <v>2284</v>
      </c>
      <c r="M256" s="15"/>
      <c r="N256" s="16" t="s">
        <v>3140</v>
      </c>
    </row>
    <row r="257" spans="1:14" x14ac:dyDescent="0.25">
      <c r="A257" s="20"/>
      <c r="B257" s="22" t="s">
        <v>2538</v>
      </c>
      <c r="C257" s="14" t="s">
        <v>1268</v>
      </c>
      <c r="D257" s="15" t="s">
        <v>3508</v>
      </c>
      <c r="E257" s="15" t="s">
        <v>3763</v>
      </c>
      <c r="F257" s="15" t="s">
        <v>2454</v>
      </c>
      <c r="G257" s="15"/>
      <c r="H257" s="15"/>
      <c r="I257" s="15" t="s">
        <v>2657</v>
      </c>
      <c r="J257" s="15" t="s">
        <v>3171</v>
      </c>
      <c r="K257" s="15" t="s">
        <v>16</v>
      </c>
      <c r="L257" s="15" t="s">
        <v>2284</v>
      </c>
      <c r="M257" s="15"/>
      <c r="N257" s="16" t="s">
        <v>3140</v>
      </c>
    </row>
    <row r="258" spans="1:14" x14ac:dyDescent="0.25">
      <c r="A258" s="20"/>
      <c r="B258" s="22" t="s">
        <v>2538</v>
      </c>
      <c r="C258" s="14" t="s">
        <v>1268</v>
      </c>
      <c r="D258" s="15" t="s">
        <v>3509</v>
      </c>
      <c r="E258" s="15" t="s">
        <v>3764</v>
      </c>
      <c r="F258" s="15" t="s">
        <v>2454</v>
      </c>
      <c r="G258" s="15"/>
      <c r="H258" s="15"/>
      <c r="I258" s="15" t="s">
        <v>3180</v>
      </c>
      <c r="J258" s="15" t="s">
        <v>3171</v>
      </c>
      <c r="K258" s="15" t="s">
        <v>16</v>
      </c>
      <c r="L258" s="15" t="s">
        <v>2284</v>
      </c>
      <c r="M258" s="15"/>
      <c r="N258" s="16"/>
    </row>
    <row r="259" spans="1:14" x14ac:dyDescent="0.2">
      <c r="A259" s="20"/>
      <c r="B259" s="95" t="s">
        <v>2096</v>
      </c>
      <c r="C259" s="14" t="s">
        <v>1268</v>
      </c>
      <c r="D259" s="15" t="s">
        <v>3510</v>
      </c>
      <c r="E259" s="15" t="s">
        <v>3765</v>
      </c>
      <c r="F259" s="15"/>
      <c r="G259" s="15"/>
      <c r="H259" s="15"/>
      <c r="I259" s="15"/>
      <c r="J259" s="15"/>
      <c r="K259" s="15" t="s">
        <v>16</v>
      </c>
      <c r="L259" s="15"/>
      <c r="M259" s="15"/>
      <c r="N259" s="16"/>
    </row>
    <row r="260" spans="1:14" x14ac:dyDescent="0.2">
      <c r="A260" s="20"/>
      <c r="B260" s="95" t="s">
        <v>2098</v>
      </c>
      <c r="C260" s="14" t="s">
        <v>1268</v>
      </c>
      <c r="D260" s="15" t="s">
        <v>3511</v>
      </c>
      <c r="E260" s="15" t="s">
        <v>3766</v>
      </c>
      <c r="F260" s="15"/>
      <c r="G260" s="15"/>
      <c r="H260" s="15"/>
      <c r="I260" s="15"/>
      <c r="J260" s="15"/>
      <c r="K260" s="15" t="s">
        <v>16</v>
      </c>
      <c r="L260" s="15"/>
      <c r="M260" s="15"/>
      <c r="N260" s="16"/>
    </row>
    <row r="261" spans="1:14" ht="28.9" customHeight="1" x14ac:dyDescent="0.2">
      <c r="A261" s="20"/>
      <c r="B261" s="95" t="s">
        <v>2100</v>
      </c>
      <c r="C261" s="14" t="s">
        <v>1268</v>
      </c>
      <c r="D261" s="15" t="s">
        <v>3512</v>
      </c>
      <c r="E261" s="15" t="s">
        <v>3767</v>
      </c>
      <c r="F261" s="15" t="s">
        <v>2454</v>
      </c>
      <c r="G261" s="15"/>
      <c r="H261" s="15"/>
      <c r="I261" s="90" t="s">
        <v>2455</v>
      </c>
      <c r="J261" s="15" t="s">
        <v>2335</v>
      </c>
      <c r="K261" s="15" t="s">
        <v>16</v>
      </c>
      <c r="L261" s="15" t="s">
        <v>2284</v>
      </c>
      <c r="M261" s="15" t="s">
        <v>2456</v>
      </c>
      <c r="N261" s="16"/>
    </row>
    <row r="262" spans="1:14" x14ac:dyDescent="0.2">
      <c r="A262" s="20"/>
      <c r="B262" s="95" t="s">
        <v>2100</v>
      </c>
      <c r="C262" s="14" t="s">
        <v>1268</v>
      </c>
      <c r="D262" s="15" t="s">
        <v>3513</v>
      </c>
      <c r="E262" s="15" t="s">
        <v>3768</v>
      </c>
      <c r="F262" s="15" t="s">
        <v>2454</v>
      </c>
      <c r="G262" s="15"/>
      <c r="H262" s="15"/>
      <c r="I262" s="15" t="s">
        <v>2457</v>
      </c>
      <c r="J262" s="15" t="s">
        <v>2335</v>
      </c>
      <c r="K262" s="15" t="s">
        <v>16</v>
      </c>
      <c r="L262" s="15" t="s">
        <v>2284</v>
      </c>
      <c r="M262" s="15"/>
      <c r="N262" s="16"/>
    </row>
    <row r="263" spans="1:14" x14ac:dyDescent="0.25">
      <c r="A263" s="20"/>
      <c r="B263" s="38" t="s">
        <v>2102</v>
      </c>
      <c r="C263" s="14" t="s">
        <v>1268</v>
      </c>
      <c r="D263" s="15" t="s">
        <v>3514</v>
      </c>
      <c r="E263" s="15" t="s">
        <v>3769</v>
      </c>
      <c r="F263" s="15"/>
      <c r="G263" s="15"/>
      <c r="H263" s="15"/>
      <c r="I263" s="15"/>
      <c r="J263" s="15"/>
      <c r="K263" s="15" t="s">
        <v>16</v>
      </c>
      <c r="L263" s="15"/>
      <c r="M263" s="15"/>
      <c r="N263" s="16"/>
    </row>
    <row r="264" spans="1:14" ht="15" customHeight="1" x14ac:dyDescent="0.25">
      <c r="A264" s="20"/>
      <c r="B264" s="38" t="s">
        <v>2538</v>
      </c>
      <c r="C264" s="14" t="s">
        <v>1268</v>
      </c>
      <c r="D264" s="15" t="s">
        <v>3515</v>
      </c>
      <c r="E264" s="15" t="s">
        <v>3770</v>
      </c>
      <c r="F264" s="15" t="s">
        <v>2462</v>
      </c>
      <c r="G264" s="15"/>
      <c r="H264" s="15"/>
      <c r="I264" s="15"/>
      <c r="J264" s="15" t="s">
        <v>3346</v>
      </c>
      <c r="K264" s="15" t="s">
        <v>16</v>
      </c>
      <c r="L264" s="15" t="s">
        <v>2284</v>
      </c>
      <c r="M264" s="15"/>
      <c r="N264" s="140" t="s">
        <v>3347</v>
      </c>
    </row>
    <row r="265" spans="1:14" x14ac:dyDescent="0.25">
      <c r="A265" s="20"/>
      <c r="B265" s="38" t="s">
        <v>2538</v>
      </c>
      <c r="C265" s="14" t="s">
        <v>1268</v>
      </c>
      <c r="D265" s="15" t="s">
        <v>3516</v>
      </c>
      <c r="E265" s="15" t="s">
        <v>3771</v>
      </c>
      <c r="F265" s="15" t="s">
        <v>2462</v>
      </c>
      <c r="G265" s="15"/>
      <c r="H265" s="15"/>
      <c r="I265" s="15"/>
      <c r="J265" s="15" t="s">
        <v>3346</v>
      </c>
      <c r="K265" s="15" t="s">
        <v>16</v>
      </c>
      <c r="L265" s="15" t="s">
        <v>2284</v>
      </c>
      <c r="M265" s="15"/>
      <c r="N265" s="142"/>
    </row>
    <row r="266" spans="1:14" x14ac:dyDescent="0.25">
      <c r="A266" s="20"/>
      <c r="B266" s="22" t="s">
        <v>2104</v>
      </c>
      <c r="C266" s="14" t="s">
        <v>1268</v>
      </c>
      <c r="D266" s="15" t="s">
        <v>3517</v>
      </c>
      <c r="E266" s="15" t="s">
        <v>3772</v>
      </c>
      <c r="F266" s="15"/>
      <c r="G266" s="15"/>
      <c r="H266" s="15"/>
      <c r="I266" s="15"/>
      <c r="J266" s="15"/>
      <c r="K266" s="15" t="s">
        <v>16</v>
      </c>
      <c r="L266" s="15"/>
      <c r="M266" s="15"/>
      <c r="N266" s="16"/>
    </row>
    <row r="267" spans="1:14" x14ac:dyDescent="0.25">
      <c r="A267" s="20"/>
      <c r="B267" s="22" t="s">
        <v>2106</v>
      </c>
      <c r="C267" s="14" t="s">
        <v>1268</v>
      </c>
      <c r="D267" s="15" t="s">
        <v>3518</v>
      </c>
      <c r="E267" s="15" t="s">
        <v>3773</v>
      </c>
      <c r="F267" s="15"/>
      <c r="G267" s="15"/>
      <c r="H267" s="15"/>
      <c r="I267" s="15"/>
      <c r="J267" s="15"/>
      <c r="K267" s="15" t="s">
        <v>16</v>
      </c>
      <c r="L267" s="15"/>
      <c r="M267" s="15"/>
      <c r="N267" s="16"/>
    </row>
    <row r="268" spans="1:14" x14ac:dyDescent="0.25">
      <c r="A268" s="20"/>
      <c r="B268" s="22" t="s">
        <v>2530</v>
      </c>
      <c r="C268" s="14" t="s">
        <v>1268</v>
      </c>
      <c r="D268" s="15" t="s">
        <v>3519</v>
      </c>
      <c r="E268" s="15" t="s">
        <v>3774</v>
      </c>
      <c r="F268" s="15" t="s">
        <v>2454</v>
      </c>
      <c r="G268" s="15"/>
      <c r="H268" s="15"/>
      <c r="I268" s="15" t="s">
        <v>2533</v>
      </c>
      <c r="J268" s="15" t="s">
        <v>2531</v>
      </c>
      <c r="K268" s="15" t="s">
        <v>16</v>
      </c>
      <c r="L268" s="15" t="s">
        <v>2284</v>
      </c>
      <c r="M268" s="15"/>
      <c r="N268" s="16"/>
    </row>
    <row r="269" spans="1:14" x14ac:dyDescent="0.25">
      <c r="A269" s="20"/>
      <c r="B269" s="22" t="s">
        <v>2530</v>
      </c>
      <c r="C269" s="14" t="s">
        <v>1268</v>
      </c>
      <c r="D269" s="15" t="s">
        <v>3520</v>
      </c>
      <c r="E269" s="15" t="s">
        <v>3775</v>
      </c>
      <c r="F269" s="15" t="s">
        <v>2454</v>
      </c>
      <c r="G269" s="15"/>
      <c r="H269" s="15"/>
      <c r="I269" s="15" t="s">
        <v>2532</v>
      </c>
      <c r="J269" s="15" t="s">
        <v>2531</v>
      </c>
      <c r="K269" s="15" t="s">
        <v>16</v>
      </c>
      <c r="L269" s="15" t="s">
        <v>2284</v>
      </c>
      <c r="M269" s="15"/>
      <c r="N269" s="16"/>
    </row>
    <row r="270" spans="1:14" x14ac:dyDescent="0.25">
      <c r="A270" s="20"/>
      <c r="B270" s="22" t="s">
        <v>2530</v>
      </c>
      <c r="C270" s="14" t="s">
        <v>1268</v>
      </c>
      <c r="D270" s="15" t="s">
        <v>3521</v>
      </c>
      <c r="E270" s="15" t="s">
        <v>3776</v>
      </c>
      <c r="F270" s="15" t="s">
        <v>2454</v>
      </c>
      <c r="G270" s="15"/>
      <c r="H270" s="15"/>
      <c r="I270" s="15" t="s">
        <v>2534</v>
      </c>
      <c r="J270" s="15" t="s">
        <v>2531</v>
      </c>
      <c r="K270" s="15" t="s">
        <v>16</v>
      </c>
      <c r="L270" s="15" t="s">
        <v>2284</v>
      </c>
      <c r="M270" s="15"/>
      <c r="N270" s="16"/>
    </row>
    <row r="271" spans="1:14" x14ac:dyDescent="0.25">
      <c r="A271" s="20"/>
      <c r="B271" s="22" t="s">
        <v>2530</v>
      </c>
      <c r="C271" s="14" t="s">
        <v>1268</v>
      </c>
      <c r="D271" s="15" t="s">
        <v>3522</v>
      </c>
      <c r="E271" s="15" t="s">
        <v>3777</v>
      </c>
      <c r="F271" s="15" t="s">
        <v>2454</v>
      </c>
      <c r="G271" s="15"/>
      <c r="H271" s="15" t="s">
        <v>2336</v>
      </c>
      <c r="I271" s="15" t="s">
        <v>2535</v>
      </c>
      <c r="J271" s="15" t="s">
        <v>2340</v>
      </c>
      <c r="K271" s="15" t="s">
        <v>16</v>
      </c>
      <c r="L271" s="15" t="s">
        <v>2284</v>
      </c>
      <c r="M271" s="15" t="s">
        <v>2536</v>
      </c>
      <c r="N271" s="16"/>
    </row>
    <row r="272" spans="1:14" x14ac:dyDescent="0.25">
      <c r="A272" s="20"/>
      <c r="B272" s="22" t="s">
        <v>2109</v>
      </c>
      <c r="C272" s="14" t="s">
        <v>1268</v>
      </c>
      <c r="D272" s="15" t="s">
        <v>3523</v>
      </c>
      <c r="E272" s="15" t="s">
        <v>3778</v>
      </c>
      <c r="F272" s="15" t="s">
        <v>2446</v>
      </c>
      <c r="G272" s="15"/>
      <c r="H272" s="15" t="s">
        <v>2371</v>
      </c>
      <c r="I272" s="15" t="s">
        <v>2448</v>
      </c>
      <c r="J272" s="15" t="s">
        <v>2353</v>
      </c>
      <c r="K272" s="15" t="s">
        <v>16</v>
      </c>
      <c r="L272" s="15" t="s">
        <v>2284</v>
      </c>
      <c r="M272" s="15" t="s">
        <v>2447</v>
      </c>
      <c r="N272" s="16"/>
    </row>
    <row r="273" spans="1:14" x14ac:dyDescent="0.25">
      <c r="A273" s="20"/>
      <c r="B273" s="22" t="s">
        <v>2109</v>
      </c>
      <c r="C273" s="14" t="s">
        <v>1268</v>
      </c>
      <c r="D273" s="15" t="s">
        <v>3524</v>
      </c>
      <c r="E273" s="15" t="s">
        <v>3779</v>
      </c>
      <c r="F273" s="15" t="s">
        <v>2446</v>
      </c>
      <c r="G273" s="15"/>
      <c r="H273" s="15" t="s">
        <v>2326</v>
      </c>
      <c r="I273" s="15" t="s">
        <v>2326</v>
      </c>
      <c r="J273" s="15" t="s">
        <v>2353</v>
      </c>
      <c r="K273" s="15" t="s">
        <v>16</v>
      </c>
      <c r="L273" s="15" t="s">
        <v>2284</v>
      </c>
      <c r="M273" s="15" t="s">
        <v>2437</v>
      </c>
      <c r="N273" s="16"/>
    </row>
    <row r="274" spans="1:14" x14ac:dyDescent="0.25">
      <c r="A274" s="20"/>
      <c r="B274" s="22" t="s">
        <v>2109</v>
      </c>
      <c r="C274" s="14" t="s">
        <v>1268</v>
      </c>
      <c r="D274" s="15" t="s">
        <v>3525</v>
      </c>
      <c r="E274" s="15" t="s">
        <v>3780</v>
      </c>
      <c r="F274" s="15" t="s">
        <v>2446</v>
      </c>
      <c r="G274" s="15"/>
      <c r="H274" s="15"/>
      <c r="I274" s="15" t="s">
        <v>2449</v>
      </c>
      <c r="J274" s="15" t="s">
        <v>2353</v>
      </c>
      <c r="K274" s="15" t="s">
        <v>16</v>
      </c>
      <c r="L274" s="15" t="s">
        <v>2284</v>
      </c>
      <c r="M274" s="15"/>
      <c r="N274" s="16"/>
    </row>
    <row r="275" spans="1:14" x14ac:dyDescent="0.25">
      <c r="A275" s="20"/>
      <c r="B275" s="22" t="s">
        <v>2109</v>
      </c>
      <c r="C275" s="14" t="s">
        <v>1268</v>
      </c>
      <c r="D275" s="15" t="s">
        <v>3526</v>
      </c>
      <c r="E275" s="15" t="s">
        <v>3781</v>
      </c>
      <c r="F275" s="15" t="s">
        <v>2450</v>
      </c>
      <c r="G275" s="15"/>
      <c r="H275" s="15"/>
      <c r="I275" s="15" t="s">
        <v>2351</v>
      </c>
      <c r="J275" s="15" t="s">
        <v>2353</v>
      </c>
      <c r="K275" s="15" t="s">
        <v>16</v>
      </c>
      <c r="L275" s="15" t="s">
        <v>2284</v>
      </c>
      <c r="M275" s="15"/>
      <c r="N275" s="16"/>
    </row>
    <row r="276" spans="1:14" x14ac:dyDescent="0.25">
      <c r="A276" s="20"/>
      <c r="B276" s="22" t="s">
        <v>2109</v>
      </c>
      <c r="C276" s="14" t="s">
        <v>1268</v>
      </c>
      <c r="D276" s="15" t="s">
        <v>3527</v>
      </c>
      <c r="E276" s="15" t="s">
        <v>3782</v>
      </c>
      <c r="F276" s="15" t="s">
        <v>2443</v>
      </c>
      <c r="G276" s="15"/>
      <c r="H276" s="15"/>
      <c r="I276" s="15" t="s">
        <v>2451</v>
      </c>
      <c r="J276" s="15" t="s">
        <v>2353</v>
      </c>
      <c r="K276" s="15" t="s">
        <v>16</v>
      </c>
      <c r="L276" s="15" t="s">
        <v>2284</v>
      </c>
      <c r="M276" s="15"/>
      <c r="N276" s="16"/>
    </row>
    <row r="277" spans="1:14" x14ac:dyDescent="0.25">
      <c r="A277" s="20"/>
      <c r="B277" s="22" t="s">
        <v>2109</v>
      </c>
      <c r="C277" s="14" t="s">
        <v>1268</v>
      </c>
      <c r="D277" s="15" t="s">
        <v>3528</v>
      </c>
      <c r="E277" s="15" t="s">
        <v>3783</v>
      </c>
      <c r="F277" s="15" t="s">
        <v>2442</v>
      </c>
      <c r="G277" s="15"/>
      <c r="H277" s="15"/>
      <c r="I277" s="15" t="s">
        <v>2452</v>
      </c>
      <c r="J277" s="15" t="s">
        <v>2353</v>
      </c>
      <c r="K277" s="15" t="s">
        <v>16</v>
      </c>
      <c r="L277" s="15" t="s">
        <v>2284</v>
      </c>
      <c r="M277" s="15"/>
      <c r="N277" s="16"/>
    </row>
    <row r="278" spans="1:14" x14ac:dyDescent="0.25">
      <c r="A278" s="20"/>
      <c r="B278" s="22" t="s">
        <v>2109</v>
      </c>
      <c r="C278" s="14" t="s">
        <v>1268</v>
      </c>
      <c r="D278" s="15" t="s">
        <v>3529</v>
      </c>
      <c r="E278" s="15" t="s">
        <v>3784</v>
      </c>
      <c r="F278" s="15" t="s">
        <v>2442</v>
      </c>
      <c r="G278" s="15"/>
      <c r="H278" s="15"/>
      <c r="I278" s="15" t="s">
        <v>2453</v>
      </c>
      <c r="J278" s="15" t="s">
        <v>2353</v>
      </c>
      <c r="K278" s="15" t="s">
        <v>16</v>
      </c>
      <c r="L278" s="15" t="s">
        <v>2284</v>
      </c>
      <c r="M278" s="15"/>
      <c r="N278" s="16"/>
    </row>
    <row r="279" spans="1:14" ht="30" customHeight="1" x14ac:dyDescent="0.25">
      <c r="A279" s="20"/>
      <c r="B279" s="22" t="s">
        <v>2111</v>
      </c>
      <c r="C279" s="14" t="s">
        <v>1268</v>
      </c>
      <c r="D279" s="15" t="s">
        <v>2900</v>
      </c>
      <c r="E279" s="15" t="s">
        <v>3785</v>
      </c>
      <c r="F279" s="15" t="s">
        <v>2458</v>
      </c>
      <c r="G279" s="15"/>
      <c r="H279" s="15"/>
      <c r="I279" s="15" t="s">
        <v>2459</v>
      </c>
      <c r="J279" s="15" t="s">
        <v>2460</v>
      </c>
      <c r="K279" s="15" t="s">
        <v>16</v>
      </c>
      <c r="L279" s="15" t="s">
        <v>2284</v>
      </c>
      <c r="M279" s="15"/>
      <c r="N279" s="140" t="s">
        <v>3136</v>
      </c>
    </row>
    <row r="280" spans="1:14" x14ac:dyDescent="0.25">
      <c r="A280" s="20"/>
      <c r="B280" s="22" t="s">
        <v>2111</v>
      </c>
      <c r="C280" s="14" t="s">
        <v>1268</v>
      </c>
      <c r="D280" s="15" t="s">
        <v>3530</v>
      </c>
      <c r="E280" s="15" t="s">
        <v>3786</v>
      </c>
      <c r="F280" s="15" t="s">
        <v>2458</v>
      </c>
      <c r="G280" s="15"/>
      <c r="H280" s="15"/>
      <c r="I280" s="15" t="s">
        <v>2461</v>
      </c>
      <c r="J280" s="15" t="s">
        <v>2460</v>
      </c>
      <c r="K280" s="15" t="s">
        <v>16</v>
      </c>
      <c r="L280" s="15" t="s">
        <v>2284</v>
      </c>
      <c r="M280" s="15"/>
      <c r="N280" s="141"/>
    </row>
    <row r="281" spans="1:14" x14ac:dyDescent="0.25">
      <c r="A281" s="20"/>
      <c r="B281" s="22" t="s">
        <v>2111</v>
      </c>
      <c r="C281" s="14" t="s">
        <v>1268</v>
      </c>
      <c r="D281" s="15" t="s">
        <v>3531</v>
      </c>
      <c r="E281" s="15" t="s">
        <v>3787</v>
      </c>
      <c r="F281" s="15" t="s">
        <v>2462</v>
      </c>
      <c r="G281" s="15"/>
      <c r="H281" s="15" t="s">
        <v>2463</v>
      </c>
      <c r="I281" s="15" t="s">
        <v>2464</v>
      </c>
      <c r="J281" s="15" t="s">
        <v>2460</v>
      </c>
      <c r="K281" s="15" t="s">
        <v>16</v>
      </c>
      <c r="L281" s="15" t="s">
        <v>2284</v>
      </c>
      <c r="M281" s="15" t="s">
        <v>2465</v>
      </c>
      <c r="N281" s="142"/>
    </row>
    <row r="282" spans="1:14" x14ac:dyDescent="0.25">
      <c r="A282" s="20"/>
      <c r="B282" s="22" t="s">
        <v>2111</v>
      </c>
      <c r="C282" s="14" t="s">
        <v>1268</v>
      </c>
      <c r="D282" s="15" t="s">
        <v>3532</v>
      </c>
      <c r="E282" s="15" t="s">
        <v>3788</v>
      </c>
      <c r="F282" s="15" t="s">
        <v>2454</v>
      </c>
      <c r="G282" s="15"/>
      <c r="H282" s="15" t="s">
        <v>2466</v>
      </c>
      <c r="I282" s="15" t="s">
        <v>2467</v>
      </c>
      <c r="J282" s="15" t="s">
        <v>2340</v>
      </c>
      <c r="K282" s="88" t="s">
        <v>16</v>
      </c>
      <c r="L282" s="15" t="s">
        <v>2284</v>
      </c>
      <c r="M282" s="15" t="s">
        <v>2468</v>
      </c>
      <c r="N282" s="16"/>
    </row>
    <row r="283" spans="1:14" x14ac:dyDescent="0.25">
      <c r="A283" s="20"/>
      <c r="B283" s="22" t="s">
        <v>2111</v>
      </c>
      <c r="C283" s="14" t="s">
        <v>1268</v>
      </c>
      <c r="D283" s="15" t="s">
        <v>3533</v>
      </c>
      <c r="E283" s="15" t="s">
        <v>3789</v>
      </c>
      <c r="F283" s="15" t="s">
        <v>2454</v>
      </c>
      <c r="G283" s="15"/>
      <c r="H283" s="15" t="s">
        <v>2469</v>
      </c>
      <c r="I283" s="15" t="s">
        <v>2470</v>
      </c>
      <c r="J283" s="15" t="s">
        <v>2340</v>
      </c>
      <c r="K283" s="15" t="s">
        <v>16</v>
      </c>
      <c r="L283" s="15" t="s">
        <v>2284</v>
      </c>
      <c r="M283" s="15" t="s">
        <v>2471</v>
      </c>
      <c r="N283" s="16"/>
    </row>
    <row r="284" spans="1:14" x14ac:dyDescent="0.25">
      <c r="A284" s="20"/>
      <c r="B284" s="22" t="s">
        <v>2111</v>
      </c>
      <c r="C284" s="14" t="s">
        <v>1268</v>
      </c>
      <c r="D284" s="15" t="s">
        <v>3534</v>
      </c>
      <c r="E284" s="15" t="s">
        <v>3790</v>
      </c>
      <c r="F284" s="15" t="s">
        <v>2462</v>
      </c>
      <c r="G284" s="15"/>
      <c r="H284" s="15" t="s">
        <v>2472</v>
      </c>
      <c r="I284" s="15" t="s">
        <v>3135</v>
      </c>
      <c r="J284" s="15" t="s">
        <v>4571</v>
      </c>
      <c r="K284" s="15" t="s">
        <v>16</v>
      </c>
      <c r="L284" s="15" t="s">
        <v>2911</v>
      </c>
      <c r="M284" s="15" t="s">
        <v>2437</v>
      </c>
      <c r="N284" s="16" t="s">
        <v>4572</v>
      </c>
    </row>
    <row r="285" spans="1:14" x14ac:dyDescent="0.25">
      <c r="A285" s="20"/>
      <c r="B285" s="22" t="s">
        <v>2111</v>
      </c>
      <c r="C285" s="14" t="s">
        <v>1268</v>
      </c>
      <c r="D285" s="15" t="s">
        <v>3535</v>
      </c>
      <c r="E285" s="15" t="s">
        <v>3791</v>
      </c>
      <c r="F285" s="15" t="s">
        <v>2462</v>
      </c>
      <c r="G285" s="15"/>
      <c r="H285" s="15" t="s">
        <v>2473</v>
      </c>
      <c r="I285" s="15" t="s">
        <v>2474</v>
      </c>
      <c r="J285" s="15" t="s">
        <v>2340</v>
      </c>
      <c r="K285" s="15" t="s">
        <v>16</v>
      </c>
      <c r="L285" s="15" t="s">
        <v>2284</v>
      </c>
      <c r="M285" s="15" t="s">
        <v>2475</v>
      </c>
      <c r="N285" s="16"/>
    </row>
    <row r="286" spans="1:14" x14ac:dyDescent="0.25">
      <c r="A286" s="20"/>
      <c r="B286" s="22" t="s">
        <v>2111</v>
      </c>
      <c r="C286" s="14" t="s">
        <v>1268</v>
      </c>
      <c r="D286" s="15" t="s">
        <v>3536</v>
      </c>
      <c r="E286" s="15" t="s">
        <v>3792</v>
      </c>
      <c r="F286" s="15" t="s">
        <v>2462</v>
      </c>
      <c r="G286" s="15"/>
      <c r="H286" s="15" t="s">
        <v>2476</v>
      </c>
      <c r="I286" s="15" t="s">
        <v>2477</v>
      </c>
      <c r="J286" s="15" t="s">
        <v>4571</v>
      </c>
      <c r="K286" s="15" t="s">
        <v>16</v>
      </c>
      <c r="L286" s="15" t="s">
        <v>2911</v>
      </c>
      <c r="M286" s="15" t="s">
        <v>2478</v>
      </c>
      <c r="N286" s="16" t="s">
        <v>4572</v>
      </c>
    </row>
    <row r="287" spans="1:14" x14ac:dyDescent="0.25">
      <c r="A287" s="20"/>
      <c r="B287" s="22" t="s">
        <v>2111</v>
      </c>
      <c r="C287" s="14" t="s">
        <v>1268</v>
      </c>
      <c r="D287" s="15" t="s">
        <v>3537</v>
      </c>
      <c r="E287" s="15" t="s">
        <v>3793</v>
      </c>
      <c r="F287" s="15" t="s">
        <v>2462</v>
      </c>
      <c r="G287" s="15"/>
      <c r="H287" s="15" t="s">
        <v>2479</v>
      </c>
      <c r="I287" s="15" t="s">
        <v>2480</v>
      </c>
      <c r="J287" s="15" t="s">
        <v>2340</v>
      </c>
      <c r="K287" s="15" t="s">
        <v>16</v>
      </c>
      <c r="L287" s="15" t="s">
        <v>2284</v>
      </c>
      <c r="M287" s="15"/>
      <c r="N287" s="16"/>
    </row>
    <row r="288" spans="1:14" x14ac:dyDescent="0.25">
      <c r="A288" s="20"/>
      <c r="B288" s="22" t="s">
        <v>2111</v>
      </c>
      <c r="C288" s="14" t="s">
        <v>1268</v>
      </c>
      <c r="D288" s="15" t="s">
        <v>3538</v>
      </c>
      <c r="E288" s="15" t="s">
        <v>3794</v>
      </c>
      <c r="F288" s="15" t="s">
        <v>2462</v>
      </c>
      <c r="G288" s="15"/>
      <c r="H288" s="15" t="s">
        <v>2481</v>
      </c>
      <c r="I288" s="15" t="s">
        <v>2482</v>
      </c>
      <c r="J288" s="15" t="s">
        <v>4571</v>
      </c>
      <c r="K288" s="15" t="s">
        <v>16</v>
      </c>
      <c r="L288" s="15" t="s">
        <v>2911</v>
      </c>
      <c r="M288" s="15" t="s">
        <v>2483</v>
      </c>
      <c r="N288" s="16" t="s">
        <v>4572</v>
      </c>
    </row>
    <row r="289" spans="1:14" x14ac:dyDescent="0.25">
      <c r="A289" s="20"/>
      <c r="B289" s="22" t="s">
        <v>2111</v>
      </c>
      <c r="C289" s="14" t="s">
        <v>1268</v>
      </c>
      <c r="D289" s="15" t="s">
        <v>2390</v>
      </c>
      <c r="E289" s="15" t="s">
        <v>3795</v>
      </c>
      <c r="F289" s="15" t="s">
        <v>2462</v>
      </c>
      <c r="G289" s="15"/>
      <c r="H289" s="15"/>
      <c r="I289" s="15" t="s">
        <v>2484</v>
      </c>
      <c r="J289" s="15" t="s">
        <v>2340</v>
      </c>
      <c r="K289" s="15" t="s">
        <v>16</v>
      </c>
      <c r="L289" s="15" t="s">
        <v>2284</v>
      </c>
      <c r="M289" s="15" t="s">
        <v>2468</v>
      </c>
      <c r="N289" s="16"/>
    </row>
    <row r="290" spans="1:14" x14ac:dyDescent="0.25">
      <c r="A290" s="20"/>
      <c r="B290" s="22" t="s">
        <v>2111</v>
      </c>
      <c r="C290" s="14" t="s">
        <v>1268</v>
      </c>
      <c r="D290" s="15" t="s">
        <v>3539</v>
      </c>
      <c r="E290" s="15" t="s">
        <v>3796</v>
      </c>
      <c r="F290" s="15" t="s">
        <v>2454</v>
      </c>
      <c r="G290" s="15"/>
      <c r="H290" s="15" t="s">
        <v>2485</v>
      </c>
      <c r="I290" s="15" t="s">
        <v>2486</v>
      </c>
      <c r="J290" s="15" t="s">
        <v>4571</v>
      </c>
      <c r="K290" s="15" t="s">
        <v>16</v>
      </c>
      <c r="L290" s="15" t="s">
        <v>2911</v>
      </c>
      <c r="M290" s="15" t="s">
        <v>2468</v>
      </c>
      <c r="N290" s="16" t="s">
        <v>4572</v>
      </c>
    </row>
    <row r="291" spans="1:14" x14ac:dyDescent="0.25">
      <c r="A291" s="20"/>
      <c r="B291" s="22" t="s">
        <v>2111</v>
      </c>
      <c r="C291" s="14" t="s">
        <v>1268</v>
      </c>
      <c r="D291" s="15" t="s">
        <v>3540</v>
      </c>
      <c r="E291" s="15" t="s">
        <v>3797</v>
      </c>
      <c r="F291" s="15" t="s">
        <v>2454</v>
      </c>
      <c r="G291" s="15"/>
      <c r="H291" s="15" t="s">
        <v>2488</v>
      </c>
      <c r="I291" s="15" t="s">
        <v>2489</v>
      </c>
      <c r="J291" s="15" t="s">
        <v>2335</v>
      </c>
      <c r="K291" s="15" t="s">
        <v>16</v>
      </c>
      <c r="L291" s="15" t="s">
        <v>2284</v>
      </c>
      <c r="M291" s="15" t="s">
        <v>2471</v>
      </c>
      <c r="N291" s="16"/>
    </row>
    <row r="292" spans="1:14" x14ac:dyDescent="0.25">
      <c r="A292" s="20"/>
      <c r="B292" s="22" t="s">
        <v>2111</v>
      </c>
      <c r="C292" s="14" t="s">
        <v>1268</v>
      </c>
      <c r="D292" s="15" t="s">
        <v>3541</v>
      </c>
      <c r="E292" s="15" t="s">
        <v>3798</v>
      </c>
      <c r="F292" s="15" t="s">
        <v>2458</v>
      </c>
      <c r="G292" s="15"/>
      <c r="H292" s="15"/>
      <c r="I292" s="15" t="s">
        <v>2490</v>
      </c>
      <c r="J292" s="15" t="s">
        <v>2335</v>
      </c>
      <c r="K292" s="15" t="s">
        <v>16</v>
      </c>
      <c r="L292" s="15" t="s">
        <v>2284</v>
      </c>
      <c r="M292" s="15" t="s">
        <v>2303</v>
      </c>
      <c r="N292" s="16"/>
    </row>
    <row r="293" spans="1:14" x14ac:dyDescent="0.25">
      <c r="A293" s="20"/>
      <c r="B293" s="22" t="s">
        <v>2111</v>
      </c>
      <c r="C293" s="14" t="s">
        <v>1268</v>
      </c>
      <c r="D293" s="15" t="s">
        <v>3542</v>
      </c>
      <c r="E293" s="15" t="s">
        <v>3799</v>
      </c>
      <c r="F293" s="15" t="s">
        <v>2454</v>
      </c>
      <c r="G293" s="15"/>
      <c r="H293" s="15"/>
      <c r="I293" s="15" t="s">
        <v>2491</v>
      </c>
      <c r="J293" s="15" t="s">
        <v>2335</v>
      </c>
      <c r="K293" s="15" t="s">
        <v>16</v>
      </c>
      <c r="L293" s="15" t="s">
        <v>2284</v>
      </c>
      <c r="M293" s="15" t="s">
        <v>2468</v>
      </c>
      <c r="N293" s="16"/>
    </row>
    <row r="294" spans="1:14" x14ac:dyDescent="0.25">
      <c r="A294" s="20"/>
      <c r="B294" s="22" t="s">
        <v>2111</v>
      </c>
      <c r="C294" s="14" t="s">
        <v>1268</v>
      </c>
      <c r="D294" s="15" t="s">
        <v>3543</v>
      </c>
      <c r="E294" s="15" t="s">
        <v>3800</v>
      </c>
      <c r="F294" s="15" t="s">
        <v>2492</v>
      </c>
      <c r="G294" s="15"/>
      <c r="H294" s="15" t="s">
        <v>2493</v>
      </c>
      <c r="I294" s="15" t="s">
        <v>2494</v>
      </c>
      <c r="J294" s="15" t="s">
        <v>2335</v>
      </c>
      <c r="K294" s="15" t="s">
        <v>16</v>
      </c>
      <c r="L294" s="15" t="s">
        <v>2284</v>
      </c>
      <c r="M294" s="15" t="s">
        <v>2304</v>
      </c>
      <c r="N294" s="16"/>
    </row>
    <row r="295" spans="1:14" x14ac:dyDescent="0.25">
      <c r="A295" s="20"/>
      <c r="B295" s="22" t="s">
        <v>2111</v>
      </c>
      <c r="C295" s="14" t="s">
        <v>1268</v>
      </c>
      <c r="D295" s="15" t="s">
        <v>3544</v>
      </c>
      <c r="E295" s="15" t="s">
        <v>3801</v>
      </c>
      <c r="F295" s="15" t="s">
        <v>2454</v>
      </c>
      <c r="G295" s="15"/>
      <c r="H295" s="15" t="s">
        <v>2495</v>
      </c>
      <c r="I295" s="15" t="s">
        <v>2496</v>
      </c>
      <c r="J295" s="15" t="s">
        <v>2335</v>
      </c>
      <c r="K295" s="15" t="s">
        <v>16</v>
      </c>
      <c r="L295" s="15" t="s">
        <v>2284</v>
      </c>
      <c r="M295" s="15" t="s">
        <v>2303</v>
      </c>
      <c r="N295" s="16"/>
    </row>
    <row r="296" spans="1:14" x14ac:dyDescent="0.25">
      <c r="A296" s="20"/>
      <c r="B296" s="22" t="s">
        <v>2111</v>
      </c>
      <c r="C296" s="14" t="s">
        <v>1268</v>
      </c>
      <c r="D296" s="15" t="s">
        <v>3545</v>
      </c>
      <c r="E296" s="15" t="s">
        <v>3802</v>
      </c>
      <c r="F296" s="15" t="s">
        <v>2454</v>
      </c>
      <c r="G296" s="15"/>
      <c r="H296" s="15" t="s">
        <v>2436</v>
      </c>
      <c r="I296" s="15" t="s">
        <v>2497</v>
      </c>
      <c r="J296" s="15" t="s">
        <v>2502</v>
      </c>
      <c r="K296" s="15" t="s">
        <v>16</v>
      </c>
      <c r="L296" s="15" t="s">
        <v>2284</v>
      </c>
      <c r="M296" s="15"/>
      <c r="N296" s="16"/>
    </row>
    <row r="297" spans="1:14" x14ac:dyDescent="0.25">
      <c r="A297" s="20"/>
      <c r="B297" s="22" t="s">
        <v>2111</v>
      </c>
      <c r="C297" s="14" t="s">
        <v>1268</v>
      </c>
      <c r="D297" s="15" t="s">
        <v>3546</v>
      </c>
      <c r="E297" s="15" t="s">
        <v>3803</v>
      </c>
      <c r="F297" s="15" t="s">
        <v>2498</v>
      </c>
      <c r="G297" s="15"/>
      <c r="H297" s="15"/>
      <c r="I297" s="15" t="s">
        <v>2499</v>
      </c>
      <c r="J297" s="15" t="s">
        <v>2502</v>
      </c>
      <c r="K297" s="15" t="s">
        <v>16</v>
      </c>
      <c r="L297" s="15" t="s">
        <v>2284</v>
      </c>
      <c r="M297" s="15"/>
      <c r="N297" s="16"/>
    </row>
    <row r="298" spans="1:14" x14ac:dyDescent="0.25">
      <c r="A298" s="20"/>
      <c r="B298" s="22" t="s">
        <v>2111</v>
      </c>
      <c r="C298" s="14" t="s">
        <v>1268</v>
      </c>
      <c r="D298" s="15" t="s">
        <v>3547</v>
      </c>
      <c r="E298" s="15" t="s">
        <v>3804</v>
      </c>
      <c r="F298" s="15" t="s">
        <v>2454</v>
      </c>
      <c r="G298" s="15"/>
      <c r="H298" s="15"/>
      <c r="I298" s="15" t="s">
        <v>2481</v>
      </c>
      <c r="J298" s="15" t="s">
        <v>2502</v>
      </c>
      <c r="K298" s="15" t="s">
        <v>16</v>
      </c>
      <c r="L298" s="15" t="s">
        <v>2284</v>
      </c>
      <c r="M298" s="15" t="s">
        <v>2303</v>
      </c>
      <c r="N298" s="16"/>
    </row>
    <row r="299" spans="1:14" x14ac:dyDescent="0.25">
      <c r="A299" s="20"/>
      <c r="B299" s="22" t="s">
        <v>2111</v>
      </c>
      <c r="C299" s="14" t="s">
        <v>1268</v>
      </c>
      <c r="D299" s="15" t="s">
        <v>3548</v>
      </c>
      <c r="E299" s="15" t="s">
        <v>3805</v>
      </c>
      <c r="F299" s="15" t="s">
        <v>2454</v>
      </c>
      <c r="G299" s="15"/>
      <c r="H299" s="15"/>
      <c r="I299" s="15" t="s">
        <v>3137</v>
      </c>
      <c r="J299" s="15"/>
      <c r="K299" s="15" t="s">
        <v>16</v>
      </c>
      <c r="L299" s="15" t="s">
        <v>2284</v>
      </c>
      <c r="M299" s="15"/>
      <c r="N299" s="16" t="s">
        <v>3138</v>
      </c>
    </row>
    <row r="300" spans="1:14" x14ac:dyDescent="0.25">
      <c r="A300" s="20"/>
      <c r="B300" s="22" t="s">
        <v>2111</v>
      </c>
      <c r="C300" s="14" t="s">
        <v>1268</v>
      </c>
      <c r="D300" s="15" t="s">
        <v>3549</v>
      </c>
      <c r="E300" s="15" t="s">
        <v>3806</v>
      </c>
      <c r="F300" s="15" t="s">
        <v>2454</v>
      </c>
      <c r="G300" s="15"/>
      <c r="H300" s="15"/>
      <c r="I300" s="15" t="s">
        <v>3139</v>
      </c>
      <c r="J300" s="15"/>
      <c r="K300" s="15" t="s">
        <v>16</v>
      </c>
      <c r="L300" s="15" t="s">
        <v>2284</v>
      </c>
      <c r="M300" s="15"/>
      <c r="N300" s="16" t="s">
        <v>3140</v>
      </c>
    </row>
    <row r="301" spans="1:14" x14ac:dyDescent="0.25">
      <c r="A301" s="20"/>
      <c r="B301" s="22" t="s">
        <v>2111</v>
      </c>
      <c r="C301" s="14" t="s">
        <v>1268</v>
      </c>
      <c r="D301" s="15" t="s">
        <v>3550</v>
      </c>
      <c r="E301" s="15" t="s">
        <v>3807</v>
      </c>
      <c r="F301" s="15" t="s">
        <v>3141</v>
      </c>
      <c r="G301" s="15"/>
      <c r="H301" s="15"/>
      <c r="I301" s="15" t="s">
        <v>2326</v>
      </c>
      <c r="J301" s="15"/>
      <c r="K301" s="15" t="s">
        <v>16</v>
      </c>
      <c r="L301" s="15" t="s">
        <v>2284</v>
      </c>
      <c r="M301" s="15"/>
      <c r="N301" s="16" t="s">
        <v>3142</v>
      </c>
    </row>
    <row r="302" spans="1:14" x14ac:dyDescent="0.25">
      <c r="A302" s="20"/>
      <c r="B302" s="22" t="s">
        <v>2111</v>
      </c>
      <c r="C302" s="14" t="s">
        <v>1268</v>
      </c>
      <c r="D302" s="15" t="s">
        <v>3551</v>
      </c>
      <c r="E302" s="15" t="s">
        <v>3808</v>
      </c>
      <c r="F302" s="15" t="s">
        <v>2454</v>
      </c>
      <c r="G302" s="15"/>
      <c r="H302" s="15"/>
      <c r="I302" s="15" t="s">
        <v>3143</v>
      </c>
      <c r="J302" s="15"/>
      <c r="K302" s="15" t="s">
        <v>16</v>
      </c>
      <c r="L302" s="15" t="s">
        <v>2284</v>
      </c>
      <c r="M302" s="15"/>
      <c r="N302" s="16" t="s">
        <v>3144</v>
      </c>
    </row>
    <row r="303" spans="1:14" x14ac:dyDescent="0.25">
      <c r="A303" s="20"/>
      <c r="B303" s="22" t="s">
        <v>2111</v>
      </c>
      <c r="C303" s="14" t="s">
        <v>1268</v>
      </c>
      <c r="D303" s="15" t="s">
        <v>3552</v>
      </c>
      <c r="E303" s="15" t="s">
        <v>3809</v>
      </c>
      <c r="F303" s="15" t="s">
        <v>2462</v>
      </c>
      <c r="G303" s="15"/>
      <c r="H303" s="15"/>
      <c r="I303" s="15" t="s">
        <v>3145</v>
      </c>
      <c r="J303" s="15"/>
      <c r="K303" s="15" t="s">
        <v>16</v>
      </c>
      <c r="L303" s="15" t="s">
        <v>2284</v>
      </c>
      <c r="M303" s="15"/>
      <c r="N303" s="16" t="s">
        <v>3140</v>
      </c>
    </row>
    <row r="304" spans="1:14" x14ac:dyDescent="0.25">
      <c r="A304" s="20"/>
      <c r="B304" s="22" t="s">
        <v>2111</v>
      </c>
      <c r="C304" s="14" t="s">
        <v>1268</v>
      </c>
      <c r="D304" s="15" t="s">
        <v>3553</v>
      </c>
      <c r="E304" s="15" t="s">
        <v>3810</v>
      </c>
      <c r="F304" s="15" t="s">
        <v>2487</v>
      </c>
      <c r="G304" s="15"/>
      <c r="H304" s="15"/>
      <c r="I304" s="15" t="s">
        <v>2540</v>
      </c>
      <c r="J304" s="15"/>
      <c r="K304" s="15" t="s">
        <v>16</v>
      </c>
      <c r="L304" s="15" t="s">
        <v>2284</v>
      </c>
      <c r="M304" s="15"/>
      <c r="N304" s="16" t="s">
        <v>3140</v>
      </c>
    </row>
    <row r="305" spans="1:14" x14ac:dyDescent="0.25">
      <c r="A305" s="20"/>
      <c r="B305" s="22" t="s">
        <v>2111</v>
      </c>
      <c r="C305" s="14" t="s">
        <v>1268</v>
      </c>
      <c r="D305" s="15" t="s">
        <v>3554</v>
      </c>
      <c r="E305" s="15" t="s">
        <v>3811</v>
      </c>
      <c r="F305" s="15" t="s">
        <v>2498</v>
      </c>
      <c r="G305" s="15"/>
      <c r="H305" s="15" t="s">
        <v>2500</v>
      </c>
      <c r="I305" s="15" t="s">
        <v>2501</v>
      </c>
      <c r="J305" s="15" t="s">
        <v>2502</v>
      </c>
      <c r="K305" s="15" t="s">
        <v>16</v>
      </c>
      <c r="L305" s="15" t="s">
        <v>2284</v>
      </c>
      <c r="M305" s="15"/>
      <c r="N305" s="16"/>
    </row>
    <row r="306" spans="1:14" x14ac:dyDescent="0.25">
      <c r="A306" s="20"/>
      <c r="B306" s="22" t="s">
        <v>2111</v>
      </c>
      <c r="C306" s="14" t="s">
        <v>1268</v>
      </c>
      <c r="D306" s="15" t="s">
        <v>3555</v>
      </c>
      <c r="E306" s="15" t="s">
        <v>3812</v>
      </c>
      <c r="F306" s="15" t="s">
        <v>2454</v>
      </c>
      <c r="G306" s="15"/>
      <c r="H306" s="15" t="s">
        <v>2348</v>
      </c>
      <c r="I306" s="15" t="s">
        <v>2503</v>
      </c>
      <c r="J306" s="15" t="s">
        <v>2504</v>
      </c>
      <c r="K306" s="15" t="s">
        <v>16</v>
      </c>
      <c r="L306" s="15" t="s">
        <v>2284</v>
      </c>
      <c r="M306" s="15" t="s">
        <v>2304</v>
      </c>
      <c r="N306" s="16"/>
    </row>
    <row r="307" spans="1:14" x14ac:dyDescent="0.25">
      <c r="A307" s="20"/>
      <c r="B307" s="22" t="s">
        <v>2111</v>
      </c>
      <c r="C307" s="14" t="s">
        <v>1268</v>
      </c>
      <c r="D307" s="15" t="s">
        <v>3556</v>
      </c>
      <c r="E307" s="15" t="s">
        <v>3813</v>
      </c>
      <c r="F307" s="15" t="s">
        <v>2487</v>
      </c>
      <c r="G307" s="15"/>
      <c r="H307" s="15" t="s">
        <v>2505</v>
      </c>
      <c r="I307" s="15" t="s">
        <v>2506</v>
      </c>
      <c r="J307" s="15" t="s">
        <v>2504</v>
      </c>
      <c r="K307" s="15" t="s">
        <v>16</v>
      </c>
      <c r="L307" s="15" t="s">
        <v>2284</v>
      </c>
      <c r="M307" s="15" t="s">
        <v>2304</v>
      </c>
      <c r="N307" s="16"/>
    </row>
    <row r="308" spans="1:14" ht="45" x14ac:dyDescent="0.25">
      <c r="A308" s="20"/>
      <c r="B308" s="22" t="s">
        <v>2111</v>
      </c>
      <c r="C308" s="14" t="s">
        <v>1268</v>
      </c>
      <c r="D308" s="15" t="s">
        <v>3557</v>
      </c>
      <c r="E308" s="15" t="s">
        <v>3814</v>
      </c>
      <c r="F308" s="15" t="s">
        <v>3064</v>
      </c>
      <c r="G308" s="15"/>
      <c r="H308" s="15"/>
      <c r="I308" s="15" t="s">
        <v>3066</v>
      </c>
      <c r="J308" s="15" t="s">
        <v>3059</v>
      </c>
      <c r="K308" s="15" t="s">
        <v>16</v>
      </c>
      <c r="L308" s="15" t="s">
        <v>2284</v>
      </c>
      <c r="M308" s="15"/>
      <c r="N308" s="103" t="s">
        <v>3065</v>
      </c>
    </row>
    <row r="309" spans="1:14" ht="30" x14ac:dyDescent="0.25">
      <c r="A309" s="20"/>
      <c r="B309" s="22" t="s">
        <v>2111</v>
      </c>
      <c r="C309" s="14" t="s">
        <v>1268</v>
      </c>
      <c r="D309" s="15" t="s">
        <v>3558</v>
      </c>
      <c r="E309" s="15" t="s">
        <v>3815</v>
      </c>
      <c r="F309" s="15" t="s">
        <v>3064</v>
      </c>
      <c r="G309" s="15"/>
      <c r="H309" s="15"/>
      <c r="I309" s="15"/>
      <c r="J309" s="15" t="s">
        <v>3059</v>
      </c>
      <c r="K309" s="15" t="s">
        <v>16</v>
      </c>
      <c r="L309" s="15" t="s">
        <v>2284</v>
      </c>
      <c r="M309" s="15"/>
      <c r="N309" s="103" t="s">
        <v>3067</v>
      </c>
    </row>
    <row r="310" spans="1:14" x14ac:dyDescent="0.25">
      <c r="A310" s="20"/>
      <c r="B310" s="22" t="s">
        <v>2111</v>
      </c>
      <c r="C310" s="14" t="s">
        <v>1268</v>
      </c>
      <c r="D310" s="15" t="s">
        <v>3559</v>
      </c>
      <c r="E310" s="15" t="s">
        <v>3816</v>
      </c>
      <c r="F310" s="15" t="s">
        <v>3064</v>
      </c>
      <c r="G310" s="15"/>
      <c r="H310" s="15"/>
      <c r="I310" s="15"/>
      <c r="J310" s="15" t="s">
        <v>3059</v>
      </c>
      <c r="K310" s="15" t="s">
        <v>16</v>
      </c>
      <c r="L310" s="15" t="s">
        <v>2284</v>
      </c>
      <c r="M310" s="15"/>
      <c r="N310" s="16" t="s">
        <v>3068</v>
      </c>
    </row>
    <row r="311" spans="1:14" x14ac:dyDescent="0.25">
      <c r="A311" s="20"/>
      <c r="B311" s="22" t="s">
        <v>2111</v>
      </c>
      <c r="C311" s="14" t="s">
        <v>1268</v>
      </c>
      <c r="D311" s="15" t="s">
        <v>3560</v>
      </c>
      <c r="E311" s="15" t="s">
        <v>3817</v>
      </c>
      <c r="F311" s="15" t="s">
        <v>2458</v>
      </c>
      <c r="G311" s="15"/>
      <c r="H311" s="15"/>
      <c r="I311" s="15" t="s">
        <v>3069</v>
      </c>
      <c r="J311" s="15" t="s">
        <v>3059</v>
      </c>
      <c r="K311" s="15" t="s">
        <v>16</v>
      </c>
      <c r="L311" s="15" t="s">
        <v>2284</v>
      </c>
      <c r="M311" s="15"/>
      <c r="N311" s="16" t="s">
        <v>3070</v>
      </c>
    </row>
    <row r="312" spans="1:14" x14ac:dyDescent="0.25">
      <c r="A312" s="20"/>
      <c r="B312" s="22" t="s">
        <v>2111</v>
      </c>
      <c r="C312" s="14" t="s">
        <v>1268</v>
      </c>
      <c r="D312" s="15" t="s">
        <v>3561</v>
      </c>
      <c r="E312" s="15" t="s">
        <v>3818</v>
      </c>
      <c r="F312" s="15" t="s">
        <v>2458</v>
      </c>
      <c r="G312" s="15"/>
      <c r="H312" s="15"/>
      <c r="I312" s="15"/>
      <c r="J312" s="15" t="s">
        <v>3059</v>
      </c>
      <c r="K312" s="15" t="s">
        <v>16</v>
      </c>
      <c r="L312" s="15" t="s">
        <v>2284</v>
      </c>
      <c r="M312" s="15"/>
      <c r="N312" s="16" t="s">
        <v>3071</v>
      </c>
    </row>
    <row r="313" spans="1:14" x14ac:dyDescent="0.25">
      <c r="A313" s="20"/>
      <c r="B313" s="22" t="s">
        <v>2111</v>
      </c>
      <c r="C313" s="14" t="s">
        <v>1268</v>
      </c>
      <c r="D313" s="15" t="s">
        <v>3562</v>
      </c>
      <c r="E313" s="15" t="s">
        <v>3819</v>
      </c>
      <c r="F313" s="15" t="s">
        <v>2454</v>
      </c>
      <c r="G313" s="15"/>
      <c r="H313" s="15"/>
      <c r="I313" s="15" t="s">
        <v>3072</v>
      </c>
      <c r="J313" s="15" t="s">
        <v>3059</v>
      </c>
      <c r="K313" s="15" t="s">
        <v>16</v>
      </c>
      <c r="L313" s="15" t="s">
        <v>2284</v>
      </c>
      <c r="M313" s="15"/>
      <c r="N313" s="16" t="s">
        <v>3073</v>
      </c>
    </row>
    <row r="314" spans="1:14" x14ac:dyDescent="0.25">
      <c r="A314" s="20"/>
      <c r="B314" s="22" t="s">
        <v>2111</v>
      </c>
      <c r="C314" s="14" t="s">
        <v>1268</v>
      </c>
      <c r="D314" s="15" t="s">
        <v>3563</v>
      </c>
      <c r="E314" s="15" t="s">
        <v>3820</v>
      </c>
      <c r="F314" s="15" t="s">
        <v>2498</v>
      </c>
      <c r="G314" s="15"/>
      <c r="H314" s="15"/>
      <c r="I314" s="15" t="s">
        <v>3146</v>
      </c>
      <c r="J314" s="15" t="s">
        <v>3147</v>
      </c>
      <c r="K314" s="15" t="s">
        <v>16</v>
      </c>
      <c r="L314" s="15" t="s">
        <v>2284</v>
      </c>
      <c r="M314" s="15"/>
      <c r="N314" s="16" t="s">
        <v>3140</v>
      </c>
    </row>
    <row r="315" spans="1:14" x14ac:dyDescent="0.25">
      <c r="A315" s="20"/>
      <c r="B315" s="22" t="s">
        <v>2111</v>
      </c>
      <c r="C315" s="14" t="s">
        <v>1268</v>
      </c>
      <c r="D315" s="15" t="s">
        <v>3564</v>
      </c>
      <c r="E315" s="15" t="s">
        <v>3821</v>
      </c>
      <c r="F315" s="15" t="s">
        <v>2442</v>
      </c>
      <c r="G315" s="15"/>
      <c r="H315" s="15"/>
      <c r="I315" s="15" t="s">
        <v>3148</v>
      </c>
      <c r="J315" s="15" t="s">
        <v>3147</v>
      </c>
      <c r="K315" s="15" t="s">
        <v>16</v>
      </c>
      <c r="L315" s="15" t="s">
        <v>2284</v>
      </c>
      <c r="M315" s="15"/>
      <c r="N315" s="16" t="s">
        <v>3140</v>
      </c>
    </row>
    <row r="316" spans="1:14" x14ac:dyDescent="0.25">
      <c r="A316" s="20"/>
      <c r="B316" s="22" t="s">
        <v>2111</v>
      </c>
      <c r="C316" s="14" t="s">
        <v>1268</v>
      </c>
      <c r="D316" s="15" t="s">
        <v>3565</v>
      </c>
      <c r="E316" s="15" t="s">
        <v>3822</v>
      </c>
      <c r="F316" s="15" t="s">
        <v>3141</v>
      </c>
      <c r="G316" s="15"/>
      <c r="H316" s="15"/>
      <c r="I316" s="15" t="s">
        <v>3149</v>
      </c>
      <c r="J316" s="15" t="s">
        <v>3147</v>
      </c>
      <c r="K316" s="15" t="s">
        <v>16</v>
      </c>
      <c r="L316" s="15" t="s">
        <v>2284</v>
      </c>
      <c r="M316" s="15"/>
      <c r="N316" s="16" t="s">
        <v>3140</v>
      </c>
    </row>
    <row r="317" spans="1:14" x14ac:dyDescent="0.25">
      <c r="A317" s="20"/>
      <c r="B317" s="22" t="s">
        <v>2111</v>
      </c>
      <c r="C317" s="14" t="s">
        <v>1268</v>
      </c>
      <c r="D317" s="15" t="s">
        <v>3566</v>
      </c>
      <c r="E317" s="15" t="s">
        <v>3823</v>
      </c>
      <c r="F317" s="15" t="s">
        <v>3141</v>
      </c>
      <c r="G317" s="15"/>
      <c r="H317" s="15"/>
      <c r="I317" s="15" t="s">
        <v>3150</v>
      </c>
      <c r="J317" s="15" t="s">
        <v>3147</v>
      </c>
      <c r="K317" s="15" t="s">
        <v>16</v>
      </c>
      <c r="L317" s="15" t="s">
        <v>2284</v>
      </c>
      <c r="M317" s="15"/>
      <c r="N317" s="16" t="s">
        <v>3140</v>
      </c>
    </row>
    <row r="318" spans="1:14" x14ac:dyDescent="0.25">
      <c r="A318" s="20"/>
      <c r="B318" s="22" t="s">
        <v>2111</v>
      </c>
      <c r="C318" s="14" t="s">
        <v>1268</v>
      </c>
      <c r="D318" s="15" t="s">
        <v>3567</v>
      </c>
      <c r="E318" s="15" t="s">
        <v>3824</v>
      </c>
      <c r="F318" s="15" t="s">
        <v>2454</v>
      </c>
      <c r="G318" s="15"/>
      <c r="H318" s="15"/>
      <c r="I318" s="15" t="s">
        <v>3151</v>
      </c>
      <c r="J318" s="15" t="s">
        <v>3147</v>
      </c>
      <c r="K318" s="15" t="s">
        <v>16</v>
      </c>
      <c r="L318" s="15" t="s">
        <v>2284</v>
      </c>
      <c r="M318" s="15"/>
      <c r="N318" s="16" t="s">
        <v>3140</v>
      </c>
    </row>
    <row r="319" spans="1:14" x14ac:dyDescent="0.25">
      <c r="A319" s="20"/>
      <c r="B319" s="22" t="s">
        <v>2111</v>
      </c>
      <c r="C319" s="14" t="s">
        <v>1268</v>
      </c>
      <c r="D319" s="15" t="s">
        <v>3568</v>
      </c>
      <c r="E319" s="15" t="s">
        <v>3825</v>
      </c>
      <c r="F319" s="15" t="s">
        <v>2442</v>
      </c>
      <c r="G319" s="15"/>
      <c r="H319" s="15"/>
      <c r="I319" s="15" t="s">
        <v>2370</v>
      </c>
      <c r="J319" s="15" t="s">
        <v>3147</v>
      </c>
      <c r="K319" s="15" t="s">
        <v>16</v>
      </c>
      <c r="L319" s="15" t="s">
        <v>2284</v>
      </c>
      <c r="M319" s="15"/>
      <c r="N319" s="16" t="s">
        <v>3140</v>
      </c>
    </row>
    <row r="320" spans="1:14" x14ac:dyDescent="0.25">
      <c r="A320" s="20"/>
      <c r="B320" s="22" t="s">
        <v>2111</v>
      </c>
      <c r="C320" s="14" t="s">
        <v>1268</v>
      </c>
      <c r="D320" s="15" t="s">
        <v>3569</v>
      </c>
      <c r="E320" s="15" t="s">
        <v>3826</v>
      </c>
      <c r="F320" s="15" t="s">
        <v>2454</v>
      </c>
      <c r="G320" s="15"/>
      <c r="H320" s="15"/>
      <c r="I320" s="15" t="s">
        <v>3152</v>
      </c>
      <c r="J320" s="15" t="s">
        <v>3147</v>
      </c>
      <c r="K320" s="15" t="s">
        <v>16</v>
      </c>
      <c r="L320" s="15" t="s">
        <v>2284</v>
      </c>
      <c r="M320" s="15"/>
      <c r="N320" s="16" t="s">
        <v>3140</v>
      </c>
    </row>
    <row r="321" spans="1:14" x14ac:dyDescent="0.25">
      <c r="A321" s="20"/>
      <c r="B321" s="22" t="s">
        <v>2111</v>
      </c>
      <c r="C321" s="14" t="s">
        <v>1268</v>
      </c>
      <c r="D321" s="15" t="s">
        <v>3570</v>
      </c>
      <c r="E321" s="15" t="s">
        <v>3827</v>
      </c>
      <c r="F321" s="15" t="s">
        <v>2442</v>
      </c>
      <c r="G321" s="15"/>
      <c r="H321" s="15"/>
      <c r="I321" s="15" t="s">
        <v>3153</v>
      </c>
      <c r="J321" s="15" t="s">
        <v>3147</v>
      </c>
      <c r="K321" s="15" t="s">
        <v>16</v>
      </c>
      <c r="L321" s="15" t="s">
        <v>2284</v>
      </c>
      <c r="M321" s="15"/>
      <c r="N321" s="16" t="s">
        <v>3140</v>
      </c>
    </row>
    <row r="322" spans="1:14" x14ac:dyDescent="0.25">
      <c r="A322" s="20"/>
      <c r="B322" s="22" t="s">
        <v>2111</v>
      </c>
      <c r="C322" s="14" t="s">
        <v>1268</v>
      </c>
      <c r="D322" s="15" t="s">
        <v>3571</v>
      </c>
      <c r="E322" s="15" t="s">
        <v>3828</v>
      </c>
      <c r="F322" s="15" t="s">
        <v>3004</v>
      </c>
      <c r="G322" s="15"/>
      <c r="H322" s="15"/>
      <c r="I322" s="15" t="s">
        <v>3154</v>
      </c>
      <c r="J322" s="15" t="s">
        <v>3147</v>
      </c>
      <c r="K322" s="15" t="s">
        <v>16</v>
      </c>
      <c r="L322" s="15" t="s">
        <v>2284</v>
      </c>
      <c r="M322" s="15"/>
      <c r="N322" s="16" t="s">
        <v>3157</v>
      </c>
    </row>
    <row r="323" spans="1:14" x14ac:dyDescent="0.25">
      <c r="A323" s="20"/>
      <c r="B323" s="22" t="s">
        <v>2111</v>
      </c>
      <c r="C323" s="14" t="s">
        <v>1268</v>
      </c>
      <c r="D323" s="15" t="s">
        <v>3572</v>
      </c>
      <c r="E323" s="15" t="s">
        <v>3829</v>
      </c>
      <c r="F323" s="15" t="s">
        <v>2498</v>
      </c>
      <c r="G323" s="15"/>
      <c r="H323" s="15"/>
      <c r="I323" s="15" t="s">
        <v>3155</v>
      </c>
      <c r="J323" s="15" t="s">
        <v>3147</v>
      </c>
      <c r="K323" s="15" t="s">
        <v>16</v>
      </c>
      <c r="L323" s="15" t="s">
        <v>2284</v>
      </c>
      <c r="M323" s="15"/>
      <c r="N323" s="16" t="s">
        <v>3140</v>
      </c>
    </row>
    <row r="324" spans="1:14" x14ac:dyDescent="0.25">
      <c r="A324" s="20"/>
      <c r="B324" s="22" t="s">
        <v>2111</v>
      </c>
      <c r="C324" s="14" t="s">
        <v>1268</v>
      </c>
      <c r="D324" s="15" t="s">
        <v>3573</v>
      </c>
      <c r="E324" s="15" t="s">
        <v>3830</v>
      </c>
      <c r="F324" s="15" t="s">
        <v>2454</v>
      </c>
      <c r="G324" s="15"/>
      <c r="H324" s="15"/>
      <c r="I324" s="15" t="s">
        <v>3156</v>
      </c>
      <c r="J324" s="15" t="s">
        <v>3147</v>
      </c>
      <c r="K324" s="15" t="s">
        <v>16</v>
      </c>
      <c r="L324" s="15" t="s">
        <v>2284</v>
      </c>
      <c r="M324" s="15"/>
      <c r="N324" s="16" t="s">
        <v>3140</v>
      </c>
    </row>
    <row r="325" spans="1:14" x14ac:dyDescent="0.25">
      <c r="A325" s="20"/>
      <c r="B325" s="22" t="s">
        <v>2111</v>
      </c>
      <c r="C325" s="14" t="s">
        <v>1268</v>
      </c>
      <c r="D325" s="15" t="s">
        <v>3574</v>
      </c>
      <c r="E325" s="15" t="s">
        <v>3831</v>
      </c>
      <c r="F325" s="15" t="s">
        <v>3004</v>
      </c>
      <c r="G325" s="15"/>
      <c r="H325" s="15"/>
      <c r="I325" s="15" t="s">
        <v>3158</v>
      </c>
      <c r="J325" s="15" t="s">
        <v>3147</v>
      </c>
      <c r="K325" s="15" t="s">
        <v>16</v>
      </c>
      <c r="L325" s="15" t="s">
        <v>2284</v>
      </c>
      <c r="M325" s="15"/>
      <c r="N325" s="16" t="s">
        <v>3157</v>
      </c>
    </row>
    <row r="326" spans="1:14" x14ac:dyDescent="0.25">
      <c r="A326" s="20"/>
      <c r="B326" s="22" t="s">
        <v>2111</v>
      </c>
      <c r="C326" s="14" t="s">
        <v>1268</v>
      </c>
      <c r="D326" s="15" t="s">
        <v>3575</v>
      </c>
      <c r="E326" s="15" t="s">
        <v>3832</v>
      </c>
      <c r="F326" s="15" t="s">
        <v>3004</v>
      </c>
      <c r="G326" s="15"/>
      <c r="H326" s="15"/>
      <c r="I326" s="15" t="s">
        <v>3159</v>
      </c>
      <c r="J326" s="15" t="s">
        <v>3147</v>
      </c>
      <c r="K326" s="15" t="s">
        <v>16</v>
      </c>
      <c r="L326" s="15" t="s">
        <v>2284</v>
      </c>
      <c r="M326" s="15"/>
      <c r="N326" s="16" t="s">
        <v>3140</v>
      </c>
    </row>
    <row r="327" spans="1:14" x14ac:dyDescent="0.25">
      <c r="A327" s="20"/>
      <c r="B327" s="22" t="s">
        <v>2111</v>
      </c>
      <c r="C327" s="14" t="s">
        <v>1268</v>
      </c>
      <c r="D327" s="15" t="s">
        <v>3576</v>
      </c>
      <c r="E327" s="15" t="s">
        <v>3833</v>
      </c>
      <c r="F327" s="15" t="s">
        <v>2498</v>
      </c>
      <c r="G327" s="15"/>
      <c r="H327" s="15"/>
      <c r="I327" s="15" t="s">
        <v>3160</v>
      </c>
      <c r="J327" s="15" t="s">
        <v>3147</v>
      </c>
      <c r="K327" s="15" t="s">
        <v>16</v>
      </c>
      <c r="L327" s="15" t="s">
        <v>2284</v>
      </c>
      <c r="M327" s="15"/>
      <c r="N327" s="16" t="s">
        <v>3140</v>
      </c>
    </row>
    <row r="328" spans="1:14" x14ac:dyDescent="0.25">
      <c r="A328" s="20"/>
      <c r="B328" s="22" t="s">
        <v>2111</v>
      </c>
      <c r="C328" s="14" t="s">
        <v>1268</v>
      </c>
      <c r="D328" s="15" t="s">
        <v>3577</v>
      </c>
      <c r="E328" s="15" t="s">
        <v>3834</v>
      </c>
      <c r="F328" s="15" t="s">
        <v>2442</v>
      </c>
      <c r="G328" s="15"/>
      <c r="H328" s="15"/>
      <c r="I328" s="15" t="s">
        <v>3161</v>
      </c>
      <c r="J328" s="15" t="s">
        <v>3147</v>
      </c>
      <c r="K328" s="15" t="s">
        <v>16</v>
      </c>
      <c r="L328" s="15" t="s">
        <v>2284</v>
      </c>
      <c r="M328" s="15"/>
      <c r="N328" s="16" t="s">
        <v>3140</v>
      </c>
    </row>
    <row r="329" spans="1:14" x14ac:dyDescent="0.25">
      <c r="A329" s="20"/>
      <c r="B329" s="22" t="s">
        <v>2111</v>
      </c>
      <c r="C329" s="14" t="s">
        <v>1268</v>
      </c>
      <c r="D329" s="15" t="s">
        <v>2780</v>
      </c>
      <c r="E329" s="15" t="s">
        <v>3835</v>
      </c>
      <c r="F329" s="15" t="s">
        <v>3141</v>
      </c>
      <c r="G329" s="15"/>
      <c r="H329" s="15"/>
      <c r="I329" s="15" t="s">
        <v>3162</v>
      </c>
      <c r="J329" s="15" t="s">
        <v>3147</v>
      </c>
      <c r="K329" s="15" t="s">
        <v>16</v>
      </c>
      <c r="L329" s="15" t="s">
        <v>2284</v>
      </c>
      <c r="M329" s="15"/>
      <c r="N329" s="16" t="s">
        <v>3140</v>
      </c>
    </row>
    <row r="330" spans="1:14" x14ac:dyDescent="0.25">
      <c r="A330" s="20"/>
      <c r="B330" s="22" t="s">
        <v>2111</v>
      </c>
      <c r="C330" s="14" t="s">
        <v>1268</v>
      </c>
      <c r="D330" s="15" t="s">
        <v>3578</v>
      </c>
      <c r="E330" s="15" t="s">
        <v>3836</v>
      </c>
      <c r="F330" s="15" t="s">
        <v>2498</v>
      </c>
      <c r="G330" s="15"/>
      <c r="H330" s="15"/>
      <c r="I330" s="15" t="s">
        <v>3163</v>
      </c>
      <c r="J330" s="15" t="s">
        <v>3147</v>
      </c>
      <c r="K330" s="15" t="s">
        <v>16</v>
      </c>
      <c r="L330" s="15" t="s">
        <v>2284</v>
      </c>
      <c r="M330" s="15"/>
      <c r="N330" s="16" t="s">
        <v>3157</v>
      </c>
    </row>
    <row r="331" spans="1:14" x14ac:dyDescent="0.25">
      <c r="A331" s="20"/>
      <c r="B331" s="22" t="s">
        <v>2111</v>
      </c>
      <c r="C331" s="14" t="s">
        <v>1268</v>
      </c>
      <c r="D331" s="15" t="s">
        <v>3579</v>
      </c>
      <c r="E331" s="15" t="s">
        <v>3837</v>
      </c>
      <c r="F331" s="15" t="s">
        <v>2498</v>
      </c>
      <c r="G331" s="15"/>
      <c r="H331" s="15"/>
      <c r="I331" s="15" t="s">
        <v>3164</v>
      </c>
      <c r="J331" s="15" t="s">
        <v>3147</v>
      </c>
      <c r="K331" s="15" t="s">
        <v>16</v>
      </c>
      <c r="L331" s="15" t="s">
        <v>2284</v>
      </c>
      <c r="M331" s="15"/>
      <c r="N331" s="16" t="s">
        <v>2655</v>
      </c>
    </row>
    <row r="332" spans="1:14" x14ac:dyDescent="0.25">
      <c r="A332" s="20"/>
      <c r="B332" s="22" t="s">
        <v>2111</v>
      </c>
      <c r="C332" s="14" t="s">
        <v>1268</v>
      </c>
      <c r="D332" s="15" t="s">
        <v>3580</v>
      </c>
      <c r="E332" s="15" t="s">
        <v>3838</v>
      </c>
      <c r="F332" s="15" t="s">
        <v>3141</v>
      </c>
      <c r="G332" s="15"/>
      <c r="H332" s="15"/>
      <c r="I332" s="15" t="s">
        <v>3165</v>
      </c>
      <c r="J332" s="15" t="s">
        <v>3147</v>
      </c>
      <c r="K332" s="15" t="s">
        <v>16</v>
      </c>
      <c r="L332" s="15" t="s">
        <v>2284</v>
      </c>
      <c r="M332" s="15"/>
      <c r="N332" s="16" t="s">
        <v>3140</v>
      </c>
    </row>
    <row r="333" spans="1:14" x14ac:dyDescent="0.25">
      <c r="A333" s="20"/>
      <c r="B333" s="22" t="s">
        <v>2111</v>
      </c>
      <c r="C333" s="14" t="s">
        <v>1268</v>
      </c>
      <c r="D333" s="15" t="s">
        <v>3581</v>
      </c>
      <c r="E333" s="15" t="s">
        <v>3839</v>
      </c>
      <c r="F333" s="15" t="s">
        <v>2454</v>
      </c>
      <c r="G333" s="15"/>
      <c r="H333" s="15"/>
      <c r="I333" s="15" t="s">
        <v>3166</v>
      </c>
      <c r="J333" s="15" t="s">
        <v>3147</v>
      </c>
      <c r="K333" s="15" t="s">
        <v>16</v>
      </c>
      <c r="L333" s="15" t="s">
        <v>2284</v>
      </c>
      <c r="M333" s="15"/>
      <c r="N333" s="16" t="s">
        <v>3140</v>
      </c>
    </row>
    <row r="334" spans="1:14" x14ac:dyDescent="0.25">
      <c r="A334" s="20"/>
      <c r="B334" s="22" t="s">
        <v>4618</v>
      </c>
      <c r="C334" s="14" t="s">
        <v>1268</v>
      </c>
      <c r="D334" s="15" t="s">
        <v>4619</v>
      </c>
      <c r="E334" s="15" t="s">
        <v>4620</v>
      </c>
      <c r="F334" s="15" t="s">
        <v>2279</v>
      </c>
      <c r="G334" s="15"/>
      <c r="H334" s="15"/>
      <c r="I334" s="15" t="s">
        <v>4621</v>
      </c>
      <c r="J334" s="15" t="s">
        <v>2659</v>
      </c>
      <c r="K334" s="15" t="s">
        <v>16</v>
      </c>
      <c r="L334" s="15" t="s">
        <v>2284</v>
      </c>
      <c r="M334" s="15"/>
      <c r="N334" s="16"/>
    </row>
    <row r="335" spans="1:14" x14ac:dyDescent="0.25">
      <c r="A335" s="20"/>
      <c r="B335" s="22" t="s">
        <v>4622</v>
      </c>
      <c r="C335" s="14" t="s">
        <v>1268</v>
      </c>
      <c r="D335" s="15" t="s">
        <v>4623</v>
      </c>
      <c r="E335" s="15" t="s">
        <v>4624</v>
      </c>
      <c r="F335" s="15"/>
      <c r="G335" s="15"/>
      <c r="H335" s="15"/>
      <c r="I335" s="15"/>
      <c r="J335" s="15"/>
      <c r="K335" s="15"/>
      <c r="L335" s="15"/>
      <c r="M335" s="15"/>
      <c r="N335" s="16"/>
    </row>
    <row r="336" spans="1:14" x14ac:dyDescent="0.25">
      <c r="A336" s="20">
        <v>4</v>
      </c>
      <c r="B336" s="54" t="s">
        <v>2113</v>
      </c>
      <c r="C336" s="14" t="s">
        <v>1268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6"/>
    </row>
    <row r="337" spans="1:14" x14ac:dyDescent="0.25">
      <c r="A337" s="20"/>
      <c r="B337" s="22" t="s">
        <v>2114</v>
      </c>
      <c r="C337" s="14" t="s">
        <v>1268</v>
      </c>
      <c r="D337" s="15" t="s">
        <v>14</v>
      </c>
      <c r="E337" s="15" t="s">
        <v>2115</v>
      </c>
      <c r="F337" s="15"/>
      <c r="G337" s="15"/>
      <c r="H337" s="15"/>
      <c r="I337" s="15"/>
      <c r="J337" s="15"/>
      <c r="K337" s="15" t="s">
        <v>16</v>
      </c>
      <c r="L337" s="15"/>
      <c r="M337" s="15"/>
      <c r="N337" s="16"/>
    </row>
    <row r="338" spans="1:14" x14ac:dyDescent="0.25">
      <c r="A338" s="20"/>
      <c r="B338" s="22" t="s">
        <v>2116</v>
      </c>
      <c r="C338" s="14" t="s">
        <v>1268</v>
      </c>
      <c r="D338" s="15" t="s">
        <v>19</v>
      </c>
      <c r="E338" s="15" t="s">
        <v>2117</v>
      </c>
      <c r="F338" s="15"/>
      <c r="G338" s="15"/>
      <c r="H338" s="15"/>
      <c r="I338" s="15"/>
      <c r="J338" s="15"/>
      <c r="K338" s="15" t="s">
        <v>16</v>
      </c>
      <c r="L338" s="15"/>
      <c r="M338" s="15"/>
      <c r="N338" s="16"/>
    </row>
    <row r="339" spans="1:14" x14ac:dyDescent="0.25">
      <c r="A339" s="20"/>
      <c r="B339" s="22" t="s">
        <v>2118</v>
      </c>
      <c r="C339" s="14" t="s">
        <v>1268</v>
      </c>
      <c r="D339" s="15" t="s">
        <v>22</v>
      </c>
      <c r="E339" s="15" t="s">
        <v>2119</v>
      </c>
      <c r="F339" s="15"/>
      <c r="G339" s="15"/>
      <c r="H339" s="15"/>
      <c r="I339" s="15"/>
      <c r="J339" s="15"/>
      <c r="K339" s="15" t="s">
        <v>16</v>
      </c>
      <c r="L339" s="15"/>
      <c r="M339" s="15"/>
      <c r="N339" s="16"/>
    </row>
    <row r="340" spans="1:14" x14ac:dyDescent="0.25">
      <c r="A340" s="20"/>
      <c r="B340" s="22" t="s">
        <v>2120</v>
      </c>
      <c r="C340" s="14" t="s">
        <v>1268</v>
      </c>
      <c r="D340" s="15" t="s">
        <v>25</v>
      </c>
      <c r="E340" s="15" t="s">
        <v>2121</v>
      </c>
      <c r="F340" s="15"/>
      <c r="G340" s="15"/>
      <c r="H340" s="15"/>
      <c r="I340" s="15"/>
      <c r="J340" s="15"/>
      <c r="K340" s="15" t="s">
        <v>16</v>
      </c>
      <c r="L340" s="15"/>
      <c r="M340" s="15"/>
      <c r="N340" s="16"/>
    </row>
    <row r="341" spans="1:14" x14ac:dyDescent="0.25">
      <c r="A341" s="20"/>
      <c r="B341" s="22" t="s">
        <v>2122</v>
      </c>
      <c r="C341" s="14" t="s">
        <v>1268</v>
      </c>
      <c r="D341" s="15" t="s">
        <v>28</v>
      </c>
      <c r="E341" s="15" t="s">
        <v>2123</v>
      </c>
      <c r="F341" s="15"/>
      <c r="G341" s="15"/>
      <c r="H341" s="15"/>
      <c r="I341" s="15"/>
      <c r="J341" s="15"/>
      <c r="K341" s="15" t="s">
        <v>16</v>
      </c>
      <c r="L341" s="15"/>
      <c r="M341" s="15"/>
      <c r="N341" s="16"/>
    </row>
    <row r="342" spans="1:14" x14ac:dyDescent="0.25">
      <c r="A342" s="20"/>
      <c r="B342" s="22" t="s">
        <v>2124</v>
      </c>
      <c r="C342" s="14" t="s">
        <v>1268</v>
      </c>
      <c r="D342" s="15" t="s">
        <v>31</v>
      </c>
      <c r="E342" s="15" t="s">
        <v>2125</v>
      </c>
      <c r="F342" s="15"/>
      <c r="G342" s="15"/>
      <c r="H342" s="15"/>
      <c r="I342" s="15"/>
      <c r="J342" s="15"/>
      <c r="K342" s="15" t="s">
        <v>16</v>
      </c>
      <c r="L342" s="15"/>
      <c r="M342" s="15"/>
      <c r="N342" s="16"/>
    </row>
    <row r="343" spans="1:14" x14ac:dyDescent="0.25">
      <c r="A343" s="20">
        <v>5</v>
      </c>
      <c r="B343" s="54" t="s">
        <v>2126</v>
      </c>
      <c r="C343" s="14" t="s">
        <v>1268</v>
      </c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6"/>
    </row>
    <row r="344" spans="1:14" x14ac:dyDescent="0.25">
      <c r="A344" s="20"/>
      <c r="B344" s="22" t="s">
        <v>2127</v>
      </c>
      <c r="C344" s="14" t="s">
        <v>1268</v>
      </c>
      <c r="D344" s="15" t="s">
        <v>14</v>
      </c>
      <c r="E344" s="15" t="s">
        <v>2128</v>
      </c>
      <c r="F344" s="15"/>
      <c r="G344" s="15"/>
      <c r="H344" s="15"/>
      <c r="I344" s="15"/>
      <c r="J344" s="15"/>
      <c r="K344" s="15" t="s">
        <v>16</v>
      </c>
      <c r="L344" s="15"/>
      <c r="M344" s="15"/>
      <c r="N344" s="16"/>
    </row>
    <row r="345" spans="1:14" x14ac:dyDescent="0.25">
      <c r="A345" s="20"/>
      <c r="B345" s="22" t="s">
        <v>2129</v>
      </c>
      <c r="C345" s="14" t="s">
        <v>1268</v>
      </c>
      <c r="D345" s="15" t="s">
        <v>19</v>
      </c>
      <c r="E345" s="15" t="s">
        <v>2130</v>
      </c>
      <c r="F345" s="15"/>
      <c r="G345" s="15"/>
      <c r="H345" s="15"/>
      <c r="I345" s="15"/>
      <c r="J345" s="15" t="s">
        <v>2833</v>
      </c>
      <c r="K345" s="15" t="s">
        <v>16</v>
      </c>
      <c r="L345" s="15" t="s">
        <v>2405</v>
      </c>
      <c r="M345" s="15"/>
      <c r="N345" s="16"/>
    </row>
    <row r="346" spans="1:14" x14ac:dyDescent="0.25">
      <c r="A346" s="20"/>
      <c r="B346" s="22" t="s">
        <v>2131</v>
      </c>
      <c r="C346" s="14" t="s">
        <v>1268</v>
      </c>
      <c r="D346" s="15" t="s">
        <v>22</v>
      </c>
      <c r="E346" s="15" t="s">
        <v>2132</v>
      </c>
      <c r="F346" s="15"/>
      <c r="G346" s="15"/>
      <c r="H346" s="15"/>
      <c r="I346" s="15"/>
      <c r="J346" s="15"/>
      <c r="K346" s="15" t="s">
        <v>16</v>
      </c>
      <c r="L346" s="15"/>
      <c r="M346" s="15"/>
      <c r="N346" s="16"/>
    </row>
    <row r="347" spans="1:14" x14ac:dyDescent="0.25">
      <c r="A347" s="20"/>
      <c r="B347" s="22" t="s">
        <v>2133</v>
      </c>
      <c r="C347" s="14" t="s">
        <v>1268</v>
      </c>
      <c r="D347" s="15" t="s">
        <v>25</v>
      </c>
      <c r="E347" s="15" t="s">
        <v>2134</v>
      </c>
      <c r="F347" s="15"/>
      <c r="G347" s="15"/>
      <c r="H347" s="15"/>
      <c r="I347" s="15"/>
      <c r="J347" s="15"/>
      <c r="K347" s="15" t="s">
        <v>16</v>
      </c>
      <c r="L347" s="15"/>
      <c r="M347" s="15"/>
      <c r="N347" s="16"/>
    </row>
    <row r="348" spans="1:14" x14ac:dyDescent="0.25">
      <c r="A348" s="20"/>
      <c r="B348" s="22" t="s">
        <v>2135</v>
      </c>
      <c r="C348" s="14" t="s">
        <v>1268</v>
      </c>
      <c r="D348" s="15" t="s">
        <v>28</v>
      </c>
      <c r="E348" s="15" t="s">
        <v>2136</v>
      </c>
      <c r="F348" s="15"/>
      <c r="G348" s="15"/>
      <c r="H348" s="15"/>
      <c r="I348" s="15"/>
      <c r="J348" s="15"/>
      <c r="K348" s="15" t="s">
        <v>16</v>
      </c>
      <c r="L348" s="15"/>
      <c r="M348" s="15"/>
      <c r="N348" s="16"/>
    </row>
    <row r="349" spans="1:14" x14ac:dyDescent="0.25">
      <c r="A349" s="20"/>
      <c r="B349" s="22" t="s">
        <v>2137</v>
      </c>
      <c r="C349" s="14" t="s">
        <v>1268</v>
      </c>
      <c r="D349" s="15" t="s">
        <v>31</v>
      </c>
      <c r="E349" s="15" t="s">
        <v>2138</v>
      </c>
      <c r="F349" s="15"/>
      <c r="G349" s="15"/>
      <c r="H349" s="15"/>
      <c r="I349" s="15"/>
      <c r="J349" s="15"/>
      <c r="K349" s="15" t="s">
        <v>16</v>
      </c>
      <c r="L349" s="15"/>
      <c r="M349" s="15"/>
      <c r="N349" s="16"/>
    </row>
    <row r="350" spans="1:14" x14ac:dyDescent="0.25">
      <c r="A350" s="20"/>
      <c r="B350" s="22" t="s">
        <v>2139</v>
      </c>
      <c r="C350" s="14" t="s">
        <v>1268</v>
      </c>
      <c r="D350" s="15" t="s">
        <v>34</v>
      </c>
      <c r="E350" s="15" t="s">
        <v>2140</v>
      </c>
      <c r="F350" s="15"/>
      <c r="G350" s="15"/>
      <c r="H350" s="15"/>
      <c r="I350" s="15"/>
      <c r="J350" s="15"/>
      <c r="K350" s="15" t="s">
        <v>16</v>
      </c>
      <c r="L350" s="15"/>
      <c r="M350" s="15"/>
      <c r="N350" s="16"/>
    </row>
    <row r="351" spans="1:14" x14ac:dyDescent="0.25">
      <c r="A351" s="20"/>
      <c r="B351" s="22" t="s">
        <v>2141</v>
      </c>
      <c r="C351" s="14" t="s">
        <v>1268</v>
      </c>
      <c r="D351" s="15" t="s">
        <v>37</v>
      </c>
      <c r="E351" s="15" t="s">
        <v>2142</v>
      </c>
      <c r="F351" s="15"/>
      <c r="G351" s="15"/>
      <c r="H351" s="15"/>
      <c r="I351" s="15"/>
      <c r="J351" s="15"/>
      <c r="K351" s="15" t="s">
        <v>16</v>
      </c>
      <c r="L351" s="15"/>
      <c r="M351" s="15"/>
      <c r="N351" s="16"/>
    </row>
    <row r="352" spans="1:14" x14ac:dyDescent="0.25">
      <c r="A352" s="20"/>
      <c r="B352" s="22" t="s">
        <v>2143</v>
      </c>
      <c r="C352" s="14" t="s">
        <v>1268</v>
      </c>
      <c r="D352" s="15" t="s">
        <v>40</v>
      </c>
      <c r="E352" s="15" t="s">
        <v>2144</v>
      </c>
      <c r="F352" s="15"/>
      <c r="G352" s="15"/>
      <c r="H352" s="15"/>
      <c r="I352" s="15"/>
      <c r="J352" s="15"/>
      <c r="K352" s="15" t="s">
        <v>16</v>
      </c>
      <c r="L352" s="15"/>
      <c r="M352" s="15"/>
      <c r="N352" s="16"/>
    </row>
    <row r="353" spans="1:14" x14ac:dyDescent="0.25">
      <c r="A353" s="20"/>
      <c r="B353" s="22" t="s">
        <v>2145</v>
      </c>
      <c r="C353" s="14" t="s">
        <v>1268</v>
      </c>
      <c r="D353" s="15" t="s">
        <v>43</v>
      </c>
      <c r="E353" s="15" t="s">
        <v>2146</v>
      </c>
      <c r="F353" s="15"/>
      <c r="G353" s="15"/>
      <c r="H353" s="15"/>
      <c r="I353" s="15"/>
      <c r="J353" s="15" t="s">
        <v>2932</v>
      </c>
      <c r="K353" s="15" t="s">
        <v>16</v>
      </c>
      <c r="L353" s="15" t="s">
        <v>2401</v>
      </c>
      <c r="M353" s="15"/>
      <c r="N353" s="16"/>
    </row>
    <row r="354" spans="1:14" x14ac:dyDescent="0.25">
      <c r="A354" s="20"/>
      <c r="B354" s="22" t="s">
        <v>2985</v>
      </c>
      <c r="C354" s="14" t="s">
        <v>1268</v>
      </c>
      <c r="D354" s="15" t="s">
        <v>46</v>
      </c>
      <c r="E354" s="15" t="s">
        <v>2148</v>
      </c>
      <c r="F354" s="15"/>
      <c r="G354" s="15"/>
      <c r="H354" s="15"/>
      <c r="I354" s="15"/>
      <c r="J354" s="15" t="s">
        <v>2932</v>
      </c>
      <c r="K354" s="15" t="s">
        <v>16</v>
      </c>
      <c r="L354" s="15" t="s">
        <v>2419</v>
      </c>
      <c r="M354" s="15"/>
      <c r="N354" s="16"/>
    </row>
    <row r="355" spans="1:14" x14ac:dyDescent="0.25">
      <c r="A355" s="20"/>
      <c r="B355" s="22" t="s">
        <v>2986</v>
      </c>
      <c r="C355" s="14" t="s">
        <v>1268</v>
      </c>
      <c r="D355" s="15" t="s">
        <v>72</v>
      </c>
      <c r="E355" s="15" t="s">
        <v>2150</v>
      </c>
      <c r="F355" s="15"/>
      <c r="G355" s="15"/>
      <c r="H355" s="15"/>
      <c r="I355" s="15"/>
      <c r="J355" s="15" t="s">
        <v>2932</v>
      </c>
      <c r="K355" s="15" t="s">
        <v>16</v>
      </c>
      <c r="L355" s="15" t="s">
        <v>2405</v>
      </c>
      <c r="M355" s="15"/>
      <c r="N355" s="16"/>
    </row>
    <row r="356" spans="1:14" x14ac:dyDescent="0.25">
      <c r="A356" s="20"/>
      <c r="B356" s="22" t="s">
        <v>2147</v>
      </c>
      <c r="C356" s="14" t="s">
        <v>1268</v>
      </c>
      <c r="D356" s="15" t="s">
        <v>75</v>
      </c>
      <c r="E356" s="15" t="s">
        <v>2152</v>
      </c>
      <c r="F356" s="15"/>
      <c r="G356" s="15"/>
      <c r="H356" s="15"/>
      <c r="I356" s="15"/>
      <c r="J356" s="15"/>
      <c r="K356" s="15" t="s">
        <v>16</v>
      </c>
      <c r="L356" s="15"/>
      <c r="M356" s="15"/>
      <c r="N356" s="16"/>
    </row>
    <row r="357" spans="1:14" x14ac:dyDescent="0.25">
      <c r="A357" s="20"/>
      <c r="B357" s="22" t="s">
        <v>2149</v>
      </c>
      <c r="C357" s="14" t="s">
        <v>1268</v>
      </c>
      <c r="D357" s="15" t="s">
        <v>77</v>
      </c>
      <c r="E357" s="15" t="s">
        <v>3840</v>
      </c>
      <c r="F357" s="15"/>
      <c r="G357" s="15"/>
      <c r="H357" s="15"/>
      <c r="I357" s="15"/>
      <c r="J357" s="15"/>
      <c r="K357" s="15" t="s">
        <v>16</v>
      </c>
      <c r="L357" s="15"/>
      <c r="M357" s="15"/>
      <c r="N357" s="16"/>
    </row>
    <row r="358" spans="1:14" x14ac:dyDescent="0.25">
      <c r="A358" s="20"/>
      <c r="B358" s="22" t="s">
        <v>2151</v>
      </c>
      <c r="C358" s="14" t="s">
        <v>1268</v>
      </c>
      <c r="D358" s="15" t="s">
        <v>80</v>
      </c>
      <c r="E358" s="15" t="s">
        <v>3841</v>
      </c>
      <c r="F358" s="15"/>
      <c r="G358" s="15"/>
      <c r="H358" s="15"/>
      <c r="I358" s="15"/>
      <c r="J358" s="15"/>
      <c r="K358" s="15" t="s">
        <v>16</v>
      </c>
      <c r="L358" s="15"/>
      <c r="M358" s="15"/>
      <c r="N358" s="16"/>
    </row>
    <row r="359" spans="1:14" x14ac:dyDescent="0.25">
      <c r="A359" s="20"/>
      <c r="B359" s="22" t="s">
        <v>2940</v>
      </c>
      <c r="C359" s="14" t="s">
        <v>1268</v>
      </c>
      <c r="D359" s="15" t="s">
        <v>84</v>
      </c>
      <c r="E359" s="15" t="s">
        <v>3842</v>
      </c>
      <c r="F359" s="15"/>
      <c r="G359" s="15"/>
      <c r="H359" s="15"/>
      <c r="I359" s="15"/>
      <c r="J359" s="15" t="s">
        <v>2833</v>
      </c>
      <c r="K359" s="15" t="s">
        <v>16</v>
      </c>
      <c r="L359" s="15" t="s">
        <v>2911</v>
      </c>
      <c r="M359" s="15"/>
      <c r="N359" s="16"/>
    </row>
    <row r="360" spans="1:14" x14ac:dyDescent="0.25">
      <c r="A360" s="20"/>
      <c r="B360" s="22" t="s">
        <v>2941</v>
      </c>
      <c r="C360" s="14" t="s">
        <v>1268</v>
      </c>
      <c r="D360" s="15" t="s">
        <v>123</v>
      </c>
      <c r="E360" s="15" t="s">
        <v>3843</v>
      </c>
      <c r="F360" s="15"/>
      <c r="G360" s="15"/>
      <c r="H360" s="15"/>
      <c r="I360" s="15"/>
      <c r="J360" s="15" t="s">
        <v>2833</v>
      </c>
      <c r="K360" s="15" t="s">
        <v>16</v>
      </c>
      <c r="L360" s="15" t="s">
        <v>2261</v>
      </c>
      <c r="M360" s="15"/>
      <c r="N360" s="16"/>
    </row>
    <row r="361" spans="1:14" x14ac:dyDescent="0.25">
      <c r="A361" s="20"/>
      <c r="B361" s="22" t="s">
        <v>2942</v>
      </c>
      <c r="C361" s="14" t="s">
        <v>1268</v>
      </c>
      <c r="D361" s="15" t="s">
        <v>212</v>
      </c>
      <c r="E361" s="15" t="s">
        <v>3844</v>
      </c>
      <c r="F361" s="15"/>
      <c r="G361" s="15"/>
      <c r="H361" s="15"/>
      <c r="I361" s="15"/>
      <c r="J361" s="15" t="s">
        <v>2833</v>
      </c>
      <c r="K361" s="15" t="s">
        <v>16</v>
      </c>
      <c r="L361" s="15" t="s">
        <v>2284</v>
      </c>
      <c r="M361" s="15"/>
      <c r="N361" s="16"/>
    </row>
    <row r="362" spans="1:14" x14ac:dyDescent="0.25">
      <c r="A362" s="20"/>
      <c r="B362" s="22" t="s">
        <v>4630</v>
      </c>
      <c r="C362" s="14" t="s">
        <v>1268</v>
      </c>
      <c r="D362" s="15" t="s">
        <v>214</v>
      </c>
      <c r="E362" s="15" t="s">
        <v>4631</v>
      </c>
      <c r="F362" s="15"/>
      <c r="G362" s="15"/>
      <c r="H362" s="15"/>
      <c r="I362" s="15"/>
      <c r="J362" s="15" t="s">
        <v>2833</v>
      </c>
      <c r="K362" s="15" t="s">
        <v>16</v>
      </c>
      <c r="L362" s="15" t="s">
        <v>2393</v>
      </c>
      <c r="M362" s="15"/>
      <c r="N362" s="16"/>
    </row>
    <row r="363" spans="1:14" x14ac:dyDescent="0.25">
      <c r="A363" s="20">
        <v>6</v>
      </c>
      <c r="B363" s="54" t="s">
        <v>2153</v>
      </c>
      <c r="C363" s="14" t="s">
        <v>1268</v>
      </c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6"/>
    </row>
    <row r="364" spans="1:14" x14ac:dyDescent="0.25">
      <c r="A364" s="20"/>
      <c r="B364" s="22" t="s">
        <v>2154</v>
      </c>
      <c r="C364" s="14" t="s">
        <v>1268</v>
      </c>
      <c r="D364" s="15" t="s">
        <v>14</v>
      </c>
      <c r="E364" s="15" t="s">
        <v>2155</v>
      </c>
      <c r="F364" s="15"/>
      <c r="G364" s="15"/>
      <c r="H364" s="15"/>
      <c r="I364" s="15"/>
      <c r="J364" s="15"/>
      <c r="K364" s="15" t="s">
        <v>16</v>
      </c>
      <c r="L364" s="15"/>
      <c r="M364" s="15"/>
      <c r="N364" s="16"/>
    </row>
    <row r="365" spans="1:14" x14ac:dyDescent="0.25">
      <c r="A365" s="20">
        <v>7</v>
      </c>
      <c r="B365" s="54" t="s">
        <v>2156</v>
      </c>
      <c r="C365" s="20" t="s">
        <v>1268</v>
      </c>
      <c r="D365" s="15" t="s">
        <v>14</v>
      </c>
      <c r="E365" s="15" t="s">
        <v>2157</v>
      </c>
      <c r="F365" s="15"/>
      <c r="G365" s="15"/>
      <c r="H365" s="15"/>
      <c r="I365" s="15"/>
      <c r="J365" s="15"/>
      <c r="K365" s="15" t="s">
        <v>16</v>
      </c>
      <c r="L365" s="15"/>
      <c r="M365" s="15"/>
      <c r="N365" s="16"/>
    </row>
    <row r="366" spans="1:14" x14ac:dyDescent="0.25">
      <c r="A366" s="20">
        <v>8</v>
      </c>
      <c r="B366" s="54" t="s">
        <v>2158</v>
      </c>
      <c r="C366" s="20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6"/>
    </row>
    <row r="367" spans="1:14" x14ac:dyDescent="0.25">
      <c r="A367" s="20"/>
      <c r="B367" s="22" t="s">
        <v>2159</v>
      </c>
      <c r="C367" s="14" t="s">
        <v>1981</v>
      </c>
      <c r="D367" s="15" t="s">
        <v>14</v>
      </c>
      <c r="E367" s="15" t="s">
        <v>2160</v>
      </c>
      <c r="F367" s="15"/>
      <c r="G367" s="15"/>
      <c r="H367" s="15"/>
      <c r="I367" s="15"/>
      <c r="J367" s="15"/>
      <c r="K367" s="15" t="s">
        <v>16</v>
      </c>
      <c r="L367" s="15"/>
      <c r="M367" s="15"/>
      <c r="N367" s="16"/>
    </row>
    <row r="368" spans="1:14" x14ac:dyDescent="0.25">
      <c r="A368" s="20"/>
      <c r="B368" s="22" t="s">
        <v>2161</v>
      </c>
      <c r="C368" s="14" t="s">
        <v>1981</v>
      </c>
      <c r="D368" s="15" t="s">
        <v>19</v>
      </c>
      <c r="E368" s="15" t="s">
        <v>2162</v>
      </c>
      <c r="F368" s="15"/>
      <c r="G368" s="15"/>
      <c r="H368" s="15"/>
      <c r="I368" s="15"/>
      <c r="J368" s="15"/>
      <c r="K368" s="15" t="s">
        <v>16</v>
      </c>
      <c r="L368" s="15"/>
      <c r="M368" s="15"/>
      <c r="N368" s="16"/>
    </row>
    <row r="369" spans="1:14" x14ac:dyDescent="0.25">
      <c r="A369" s="20"/>
      <c r="B369" s="22" t="s">
        <v>2163</v>
      </c>
      <c r="C369" s="14" t="s">
        <v>1981</v>
      </c>
      <c r="D369" s="15" t="s">
        <v>22</v>
      </c>
      <c r="E369" s="15" t="s">
        <v>2164</v>
      </c>
      <c r="F369" s="15"/>
      <c r="G369" s="15"/>
      <c r="H369" s="15"/>
      <c r="I369" s="15"/>
      <c r="J369" s="15"/>
      <c r="K369" s="15" t="s">
        <v>16</v>
      </c>
      <c r="L369" s="15"/>
      <c r="M369" s="15"/>
      <c r="N369" s="16"/>
    </row>
    <row r="370" spans="1:14" x14ac:dyDescent="0.25">
      <c r="A370" s="20"/>
      <c r="B370" s="22" t="s">
        <v>2165</v>
      </c>
      <c r="C370" s="55" t="s">
        <v>88</v>
      </c>
      <c r="D370" s="15" t="s">
        <v>25</v>
      </c>
      <c r="E370" s="15" t="s">
        <v>2166</v>
      </c>
      <c r="F370" s="15"/>
      <c r="G370" s="15"/>
      <c r="H370" s="15"/>
      <c r="I370" s="15"/>
      <c r="J370" s="15"/>
      <c r="K370" s="15" t="s">
        <v>16</v>
      </c>
      <c r="L370" s="15"/>
      <c r="M370" s="15"/>
      <c r="N370" s="16"/>
    </row>
    <row r="371" spans="1:14" x14ac:dyDescent="0.25">
      <c r="A371" s="20"/>
      <c r="B371" s="22" t="s">
        <v>2167</v>
      </c>
      <c r="C371" s="55" t="s">
        <v>88</v>
      </c>
      <c r="D371" s="15" t="s">
        <v>28</v>
      </c>
      <c r="E371" s="15" t="s">
        <v>2168</v>
      </c>
      <c r="F371" s="15"/>
      <c r="G371" s="15"/>
      <c r="H371" s="15"/>
      <c r="I371" s="15"/>
      <c r="J371" s="15"/>
      <c r="K371" s="15" t="s">
        <v>16</v>
      </c>
      <c r="L371" s="15"/>
      <c r="M371" s="15"/>
      <c r="N371" s="16"/>
    </row>
    <row r="372" spans="1:14" x14ac:dyDescent="0.25">
      <c r="A372" s="20"/>
      <c r="B372" s="22" t="s">
        <v>2169</v>
      </c>
      <c r="C372" s="55" t="s">
        <v>88</v>
      </c>
      <c r="D372" s="15" t="s">
        <v>31</v>
      </c>
      <c r="E372" s="15" t="s">
        <v>2170</v>
      </c>
      <c r="F372" s="15"/>
      <c r="G372" s="15"/>
      <c r="H372" s="15"/>
      <c r="I372" s="15"/>
      <c r="J372" s="15"/>
      <c r="K372" s="15" t="s">
        <v>16</v>
      </c>
      <c r="L372" s="15"/>
      <c r="M372" s="15"/>
      <c r="N372" s="16"/>
    </row>
    <row r="373" spans="1:14" x14ac:dyDescent="0.25">
      <c r="A373" s="20"/>
      <c r="B373" s="22" t="s">
        <v>2171</v>
      </c>
      <c r="C373" s="55" t="s">
        <v>88</v>
      </c>
      <c r="D373" s="15" t="s">
        <v>34</v>
      </c>
      <c r="E373" s="15" t="s">
        <v>2172</v>
      </c>
      <c r="F373" s="15"/>
      <c r="G373" s="15"/>
      <c r="H373" s="15"/>
      <c r="I373" s="15"/>
      <c r="J373" s="15"/>
      <c r="K373" s="15" t="s">
        <v>16</v>
      </c>
      <c r="L373" s="15"/>
      <c r="M373" s="15"/>
      <c r="N373" s="16"/>
    </row>
    <row r="374" spans="1:14" x14ac:dyDescent="0.25">
      <c r="A374" s="20"/>
      <c r="B374" s="22" t="s">
        <v>2173</v>
      </c>
      <c r="C374" s="55" t="s">
        <v>88</v>
      </c>
      <c r="D374" s="15" t="s">
        <v>37</v>
      </c>
      <c r="E374" s="15" t="s">
        <v>2174</v>
      </c>
      <c r="F374" s="15"/>
      <c r="G374" s="15"/>
      <c r="H374" s="15"/>
      <c r="I374" s="15"/>
      <c r="J374" s="15"/>
      <c r="K374" s="15" t="s">
        <v>16</v>
      </c>
      <c r="L374" s="15"/>
      <c r="M374" s="15"/>
      <c r="N374" s="16"/>
    </row>
    <row r="375" spans="1:14" x14ac:dyDescent="0.25">
      <c r="A375" s="20"/>
      <c r="B375" s="22" t="s">
        <v>2175</v>
      </c>
      <c r="C375" s="55" t="s">
        <v>88</v>
      </c>
      <c r="D375" s="15" t="s">
        <v>40</v>
      </c>
      <c r="E375" s="15" t="s">
        <v>2176</v>
      </c>
      <c r="F375" s="15"/>
      <c r="G375" s="15"/>
      <c r="H375" s="15"/>
      <c r="I375" s="15"/>
      <c r="J375" s="15"/>
      <c r="K375" s="15" t="s">
        <v>16</v>
      </c>
      <c r="L375" s="15"/>
      <c r="M375" s="15"/>
      <c r="N375" s="16"/>
    </row>
    <row r="376" spans="1:14" x14ac:dyDescent="0.25">
      <c r="A376" s="20"/>
      <c r="B376" s="56" t="s">
        <v>2177</v>
      </c>
      <c r="C376" s="55" t="s">
        <v>88</v>
      </c>
      <c r="D376" s="15" t="s">
        <v>43</v>
      </c>
      <c r="E376" s="15" t="s">
        <v>2178</v>
      </c>
      <c r="F376" s="15"/>
      <c r="G376" s="15"/>
      <c r="H376" s="15"/>
      <c r="I376" s="15"/>
      <c r="J376" s="15"/>
      <c r="K376" s="15" t="s">
        <v>16</v>
      </c>
      <c r="L376" s="15"/>
      <c r="M376" s="15"/>
      <c r="N376" s="16"/>
    </row>
    <row r="377" spans="1:14" x14ac:dyDescent="0.25">
      <c r="A377" s="20"/>
      <c r="B377" s="56" t="s">
        <v>2179</v>
      </c>
      <c r="C377" s="55" t="s">
        <v>1268</v>
      </c>
      <c r="D377" s="15" t="s">
        <v>46</v>
      </c>
      <c r="E377" s="15" t="s">
        <v>2180</v>
      </c>
      <c r="F377" s="15"/>
      <c r="G377" s="15"/>
      <c r="H377" s="15"/>
      <c r="I377" s="15"/>
      <c r="J377" s="15"/>
      <c r="K377" s="15" t="s">
        <v>16</v>
      </c>
      <c r="L377" s="15"/>
      <c r="M377" s="15"/>
      <c r="N377" s="16"/>
    </row>
    <row r="378" spans="1:14" x14ac:dyDescent="0.25">
      <c r="A378" s="20">
        <v>9</v>
      </c>
      <c r="B378" s="57" t="s">
        <v>2181</v>
      </c>
      <c r="C378" s="58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6"/>
    </row>
    <row r="379" spans="1:14" x14ac:dyDescent="0.25">
      <c r="A379" s="20"/>
      <c r="B379" s="56" t="s">
        <v>2182</v>
      </c>
      <c r="C379" s="14" t="s">
        <v>1981</v>
      </c>
      <c r="D379" s="15" t="s">
        <v>14</v>
      </c>
      <c r="E379" s="15" t="s">
        <v>2183</v>
      </c>
      <c r="F379" s="15"/>
      <c r="G379" s="15"/>
      <c r="H379" s="15"/>
      <c r="I379" s="15"/>
      <c r="J379" s="15"/>
      <c r="K379" s="15" t="s">
        <v>16</v>
      </c>
      <c r="L379" s="15"/>
      <c r="M379" s="15"/>
      <c r="N379" s="16"/>
    </row>
    <row r="380" spans="1:14" x14ac:dyDescent="0.25">
      <c r="A380" s="20"/>
      <c r="B380" s="56" t="s">
        <v>2184</v>
      </c>
      <c r="C380" s="14" t="s">
        <v>1981</v>
      </c>
      <c r="D380" s="15" t="s">
        <v>19</v>
      </c>
      <c r="E380" s="15" t="s">
        <v>2185</v>
      </c>
      <c r="F380" s="15"/>
      <c r="G380" s="15"/>
      <c r="H380" s="15"/>
      <c r="I380" s="15"/>
      <c r="J380" s="15"/>
      <c r="K380" s="15" t="s">
        <v>16</v>
      </c>
      <c r="L380" s="15"/>
      <c r="M380" s="15"/>
      <c r="N380" s="16"/>
    </row>
    <row r="381" spans="1:14" x14ac:dyDescent="0.25">
      <c r="A381" s="20">
        <v>10</v>
      </c>
      <c r="B381" s="59" t="s">
        <v>2186</v>
      </c>
      <c r="C381" s="37" t="s">
        <v>1268</v>
      </c>
      <c r="D381" s="15" t="s">
        <v>14</v>
      </c>
      <c r="E381" s="15" t="s">
        <v>2187</v>
      </c>
      <c r="F381" s="15"/>
      <c r="G381" s="15"/>
      <c r="H381" s="15"/>
      <c r="I381" s="15"/>
      <c r="J381" s="15"/>
      <c r="K381" s="15" t="s">
        <v>16</v>
      </c>
      <c r="L381" s="15"/>
      <c r="M381" s="15"/>
      <c r="N381" s="16"/>
    </row>
    <row r="382" spans="1:14" x14ac:dyDescent="0.25">
      <c r="A382" s="20">
        <v>11</v>
      </c>
      <c r="B382" s="59" t="s">
        <v>2188</v>
      </c>
      <c r="C382" s="37" t="s">
        <v>1268</v>
      </c>
      <c r="D382" s="15" t="s">
        <v>14</v>
      </c>
      <c r="E382" s="15" t="s">
        <v>2189</v>
      </c>
      <c r="F382" s="15"/>
      <c r="G382" s="15"/>
      <c r="H382" s="15"/>
      <c r="I382" s="15"/>
      <c r="J382" s="15"/>
      <c r="K382" s="15" t="s">
        <v>16</v>
      </c>
      <c r="L382" s="15"/>
      <c r="M382" s="15"/>
      <c r="N382" s="16"/>
    </row>
  </sheetData>
  <autoFilter ref="A4:N382" xr:uid="{00000000-0009-0000-0000-000003000000}"/>
  <mergeCells count="6">
    <mergeCell ref="A1:N1"/>
    <mergeCell ref="A2:N2"/>
    <mergeCell ref="A3:B3"/>
    <mergeCell ref="K3:N3"/>
    <mergeCell ref="N279:N281"/>
    <mergeCell ref="N264:N265"/>
  </mergeCells>
  <conditionalFormatting sqref="B4:C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 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2024-09-13T14:18:15Z</dcterms:modified>
</cp:coreProperties>
</file>