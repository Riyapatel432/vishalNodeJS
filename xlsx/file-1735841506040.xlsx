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F5FA3ECA-B6C0-4BBC-A90A-0CE89EF8D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externalReferences>
    <externalReference r:id="rId2"/>
  </externalReferences>
  <definedNames>
    <definedName name="_xlnm._FilterDatabase" localSheetId="0" hidden="1">'Daily-attendance-report'!$A$1:$P$323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P3" i="1"/>
  <c r="L4" i="1"/>
  <c r="M4" i="1"/>
  <c r="P4" i="1"/>
  <c r="L5" i="1"/>
  <c r="M5" i="1"/>
  <c r="P5" i="1"/>
  <c r="L6" i="1"/>
  <c r="M6" i="1"/>
  <c r="P6" i="1"/>
  <c r="L7" i="1"/>
  <c r="M7" i="1"/>
  <c r="P7" i="1"/>
  <c r="L8" i="1"/>
  <c r="M8" i="1"/>
  <c r="P8" i="1"/>
  <c r="L9" i="1"/>
  <c r="M9" i="1"/>
  <c r="P9" i="1"/>
  <c r="L10" i="1"/>
  <c r="M10" i="1"/>
  <c r="P10" i="1"/>
  <c r="L11" i="1"/>
  <c r="M11" i="1"/>
  <c r="P11" i="1"/>
  <c r="L12" i="1"/>
  <c r="M12" i="1"/>
  <c r="P12" i="1"/>
  <c r="L13" i="1"/>
  <c r="M13" i="1"/>
  <c r="P13" i="1"/>
  <c r="L14" i="1"/>
  <c r="M14" i="1"/>
  <c r="P14" i="1"/>
  <c r="L15" i="1"/>
  <c r="M15" i="1"/>
  <c r="P15" i="1"/>
  <c r="L16" i="1"/>
  <c r="M16" i="1"/>
  <c r="P16" i="1"/>
  <c r="L17" i="1"/>
  <c r="M17" i="1"/>
  <c r="P17" i="1"/>
  <c r="L18" i="1"/>
  <c r="M18" i="1"/>
  <c r="P18" i="1"/>
  <c r="L19" i="1"/>
  <c r="M19" i="1"/>
  <c r="P19" i="1"/>
  <c r="L20" i="1"/>
  <c r="M20" i="1"/>
  <c r="P20" i="1"/>
  <c r="L21" i="1"/>
  <c r="M21" i="1"/>
  <c r="P21" i="1"/>
  <c r="L22" i="1"/>
  <c r="M22" i="1"/>
  <c r="P22" i="1"/>
  <c r="L23" i="1"/>
  <c r="M23" i="1"/>
  <c r="P23" i="1"/>
  <c r="L24" i="1"/>
  <c r="M24" i="1"/>
  <c r="P24" i="1"/>
  <c r="L25" i="1"/>
  <c r="M25" i="1"/>
  <c r="P25" i="1"/>
  <c r="L26" i="1"/>
  <c r="M26" i="1"/>
  <c r="P26" i="1"/>
  <c r="L27" i="1"/>
  <c r="M27" i="1"/>
  <c r="P27" i="1"/>
  <c r="L28" i="1"/>
  <c r="M28" i="1"/>
  <c r="P28" i="1"/>
  <c r="L29" i="1"/>
  <c r="M29" i="1"/>
  <c r="P29" i="1"/>
  <c r="L30" i="1"/>
  <c r="M30" i="1"/>
  <c r="P30" i="1"/>
  <c r="L31" i="1"/>
  <c r="M31" i="1"/>
  <c r="P31" i="1"/>
  <c r="L32" i="1"/>
  <c r="M32" i="1"/>
  <c r="P32" i="1"/>
  <c r="L33" i="1"/>
  <c r="M33" i="1"/>
  <c r="P33" i="1"/>
  <c r="L34" i="1"/>
  <c r="M34" i="1"/>
  <c r="P34" i="1"/>
  <c r="L35" i="1"/>
  <c r="M35" i="1"/>
  <c r="P35" i="1"/>
  <c r="L36" i="1"/>
  <c r="M36" i="1"/>
  <c r="P36" i="1"/>
  <c r="L37" i="1"/>
  <c r="M37" i="1"/>
  <c r="P37" i="1"/>
  <c r="L38" i="1"/>
  <c r="M38" i="1"/>
  <c r="P38" i="1"/>
  <c r="L39" i="1"/>
  <c r="M39" i="1"/>
  <c r="P39" i="1"/>
  <c r="L40" i="1"/>
  <c r="M40" i="1"/>
  <c r="P40" i="1"/>
  <c r="L41" i="1"/>
  <c r="M41" i="1"/>
  <c r="P41" i="1"/>
  <c r="L42" i="1"/>
  <c r="M42" i="1"/>
  <c r="P42" i="1"/>
  <c r="L43" i="1"/>
  <c r="M43" i="1"/>
  <c r="P43" i="1"/>
  <c r="L44" i="1"/>
  <c r="M44" i="1"/>
  <c r="P44" i="1"/>
  <c r="L45" i="1"/>
  <c r="M45" i="1"/>
  <c r="P45" i="1"/>
  <c r="L46" i="1"/>
  <c r="M46" i="1"/>
  <c r="P46" i="1"/>
  <c r="L47" i="1"/>
  <c r="M47" i="1"/>
  <c r="P47" i="1"/>
  <c r="L48" i="1"/>
  <c r="M48" i="1"/>
  <c r="P48" i="1"/>
  <c r="L49" i="1"/>
  <c r="M49" i="1"/>
  <c r="P49" i="1"/>
  <c r="L50" i="1"/>
  <c r="M50" i="1"/>
  <c r="P50" i="1"/>
  <c r="L51" i="1"/>
  <c r="M51" i="1"/>
  <c r="P51" i="1"/>
  <c r="L52" i="1"/>
  <c r="M52" i="1"/>
  <c r="P52" i="1"/>
  <c r="L53" i="1"/>
  <c r="M53" i="1"/>
  <c r="P53" i="1"/>
  <c r="L54" i="1"/>
  <c r="M54" i="1"/>
  <c r="P54" i="1"/>
  <c r="L55" i="1"/>
  <c r="M55" i="1"/>
  <c r="P55" i="1"/>
  <c r="L56" i="1"/>
  <c r="M56" i="1"/>
  <c r="P56" i="1"/>
  <c r="L57" i="1"/>
  <c r="M57" i="1"/>
  <c r="P57" i="1"/>
  <c r="L58" i="1"/>
  <c r="M58" i="1"/>
  <c r="P58" i="1"/>
  <c r="L59" i="1"/>
  <c r="M59" i="1"/>
  <c r="P59" i="1"/>
  <c r="L60" i="1"/>
  <c r="M60" i="1"/>
  <c r="P60" i="1"/>
  <c r="L61" i="1"/>
  <c r="M61" i="1"/>
  <c r="P61" i="1"/>
  <c r="L62" i="1"/>
  <c r="M62" i="1"/>
  <c r="P62" i="1"/>
  <c r="L63" i="1"/>
  <c r="M63" i="1"/>
  <c r="P63" i="1"/>
  <c r="L64" i="1"/>
  <c r="M64" i="1"/>
  <c r="P64" i="1"/>
  <c r="L65" i="1"/>
  <c r="M65" i="1"/>
  <c r="P65" i="1"/>
  <c r="L66" i="1"/>
  <c r="M66" i="1"/>
  <c r="P66" i="1"/>
  <c r="L67" i="1"/>
  <c r="M67" i="1"/>
  <c r="P67" i="1"/>
  <c r="L68" i="1"/>
  <c r="M68" i="1"/>
  <c r="P68" i="1"/>
  <c r="L69" i="1"/>
  <c r="M69" i="1"/>
  <c r="P69" i="1"/>
  <c r="L70" i="1"/>
  <c r="M70" i="1"/>
  <c r="P70" i="1"/>
  <c r="L71" i="1"/>
  <c r="M71" i="1"/>
  <c r="P71" i="1"/>
  <c r="L72" i="1"/>
  <c r="M72" i="1"/>
  <c r="P72" i="1"/>
  <c r="L73" i="1"/>
  <c r="M73" i="1"/>
  <c r="P73" i="1"/>
  <c r="L74" i="1"/>
  <c r="M74" i="1"/>
  <c r="P74" i="1"/>
  <c r="L75" i="1"/>
  <c r="M75" i="1"/>
  <c r="P75" i="1"/>
  <c r="L76" i="1"/>
  <c r="M76" i="1"/>
  <c r="P76" i="1"/>
  <c r="L77" i="1"/>
  <c r="M77" i="1"/>
  <c r="P77" i="1"/>
  <c r="L78" i="1"/>
  <c r="M78" i="1"/>
  <c r="P78" i="1"/>
  <c r="L79" i="1"/>
  <c r="M79" i="1"/>
  <c r="P79" i="1"/>
  <c r="L80" i="1"/>
  <c r="M80" i="1"/>
  <c r="P80" i="1"/>
  <c r="L81" i="1"/>
  <c r="M81" i="1"/>
  <c r="P81" i="1"/>
  <c r="L82" i="1"/>
  <c r="M82" i="1"/>
  <c r="P82" i="1"/>
  <c r="L83" i="1"/>
  <c r="M83" i="1"/>
  <c r="P83" i="1"/>
  <c r="L84" i="1"/>
  <c r="M84" i="1"/>
  <c r="P84" i="1"/>
  <c r="L85" i="1"/>
  <c r="M85" i="1"/>
  <c r="P85" i="1"/>
  <c r="L86" i="1"/>
  <c r="M86" i="1"/>
  <c r="P86" i="1"/>
  <c r="L87" i="1"/>
  <c r="M87" i="1"/>
  <c r="P87" i="1"/>
  <c r="L88" i="1"/>
  <c r="M88" i="1"/>
  <c r="P88" i="1"/>
  <c r="L89" i="1"/>
  <c r="M89" i="1"/>
  <c r="P89" i="1"/>
  <c r="L90" i="1"/>
  <c r="M90" i="1"/>
  <c r="P90" i="1"/>
  <c r="L91" i="1"/>
  <c r="M91" i="1"/>
  <c r="P91" i="1"/>
  <c r="L92" i="1"/>
  <c r="M92" i="1"/>
  <c r="P92" i="1"/>
  <c r="L93" i="1"/>
  <c r="M93" i="1"/>
  <c r="P93" i="1"/>
  <c r="L94" i="1"/>
  <c r="M94" i="1"/>
  <c r="P94" i="1"/>
  <c r="L95" i="1"/>
  <c r="M95" i="1"/>
  <c r="P95" i="1"/>
  <c r="L96" i="1"/>
  <c r="M96" i="1"/>
  <c r="P96" i="1"/>
  <c r="L97" i="1"/>
  <c r="M97" i="1"/>
  <c r="P97" i="1"/>
  <c r="L98" i="1"/>
  <c r="M98" i="1"/>
  <c r="P98" i="1"/>
  <c r="L99" i="1"/>
  <c r="M99" i="1"/>
  <c r="P99" i="1"/>
  <c r="L100" i="1"/>
  <c r="M100" i="1"/>
  <c r="P100" i="1"/>
  <c r="L101" i="1"/>
  <c r="M101" i="1"/>
  <c r="P101" i="1"/>
  <c r="L102" i="1"/>
  <c r="M102" i="1"/>
  <c r="P102" i="1"/>
  <c r="L103" i="1"/>
  <c r="M103" i="1"/>
  <c r="P103" i="1"/>
  <c r="L104" i="1"/>
  <c r="M104" i="1"/>
  <c r="P104" i="1"/>
  <c r="L105" i="1"/>
  <c r="M105" i="1"/>
  <c r="P105" i="1"/>
  <c r="L106" i="1"/>
  <c r="M106" i="1"/>
  <c r="P106" i="1"/>
  <c r="L107" i="1"/>
  <c r="M107" i="1"/>
  <c r="P107" i="1"/>
  <c r="L108" i="1"/>
  <c r="M108" i="1"/>
  <c r="P108" i="1"/>
  <c r="L109" i="1"/>
  <c r="M109" i="1"/>
  <c r="P109" i="1"/>
  <c r="L110" i="1"/>
  <c r="M110" i="1"/>
  <c r="P110" i="1"/>
  <c r="L111" i="1"/>
  <c r="M111" i="1"/>
  <c r="P111" i="1"/>
  <c r="L112" i="1"/>
  <c r="M112" i="1"/>
  <c r="P112" i="1"/>
  <c r="L113" i="1"/>
  <c r="M113" i="1"/>
  <c r="P113" i="1"/>
  <c r="L114" i="1"/>
  <c r="M114" i="1"/>
  <c r="P114" i="1"/>
  <c r="L115" i="1"/>
  <c r="M115" i="1"/>
  <c r="P115" i="1"/>
  <c r="L116" i="1"/>
  <c r="M116" i="1"/>
  <c r="P116" i="1"/>
  <c r="L117" i="1"/>
  <c r="M117" i="1"/>
  <c r="P117" i="1"/>
  <c r="L118" i="1"/>
  <c r="M118" i="1"/>
  <c r="P118" i="1"/>
  <c r="L119" i="1"/>
  <c r="M119" i="1"/>
  <c r="P119" i="1"/>
  <c r="L120" i="1"/>
  <c r="M120" i="1"/>
  <c r="P120" i="1"/>
  <c r="L121" i="1"/>
  <c r="M121" i="1"/>
  <c r="P121" i="1"/>
  <c r="L122" i="1"/>
  <c r="M122" i="1"/>
  <c r="P122" i="1"/>
  <c r="L123" i="1"/>
  <c r="M123" i="1"/>
  <c r="P123" i="1"/>
  <c r="L124" i="1"/>
  <c r="M124" i="1"/>
  <c r="P124" i="1"/>
  <c r="L125" i="1"/>
  <c r="M125" i="1"/>
  <c r="P125" i="1"/>
  <c r="L126" i="1"/>
  <c r="M126" i="1"/>
  <c r="P126" i="1"/>
  <c r="L127" i="1"/>
  <c r="M127" i="1"/>
  <c r="P127" i="1"/>
  <c r="L128" i="1"/>
  <c r="M128" i="1"/>
  <c r="P128" i="1"/>
  <c r="L129" i="1"/>
  <c r="M129" i="1"/>
  <c r="P129" i="1"/>
  <c r="L130" i="1"/>
  <c r="M130" i="1"/>
  <c r="P130" i="1"/>
  <c r="L131" i="1"/>
  <c r="M131" i="1"/>
  <c r="P131" i="1"/>
  <c r="L132" i="1"/>
  <c r="M132" i="1"/>
  <c r="P132" i="1"/>
  <c r="L133" i="1"/>
  <c r="M133" i="1"/>
  <c r="P133" i="1"/>
  <c r="L134" i="1"/>
  <c r="M134" i="1"/>
  <c r="P134" i="1"/>
  <c r="L135" i="1"/>
  <c r="M135" i="1"/>
  <c r="P135" i="1"/>
  <c r="L136" i="1"/>
  <c r="M136" i="1"/>
  <c r="P136" i="1"/>
  <c r="L137" i="1"/>
  <c r="M137" i="1"/>
  <c r="P137" i="1"/>
  <c r="L138" i="1"/>
  <c r="M138" i="1"/>
  <c r="P138" i="1"/>
  <c r="L139" i="1"/>
  <c r="M139" i="1"/>
  <c r="P139" i="1"/>
  <c r="L140" i="1"/>
  <c r="M140" i="1"/>
  <c r="P140" i="1"/>
  <c r="L141" i="1"/>
  <c r="M141" i="1"/>
  <c r="P141" i="1"/>
  <c r="L142" i="1"/>
  <c r="M142" i="1"/>
  <c r="P142" i="1"/>
  <c r="L143" i="1"/>
  <c r="M143" i="1"/>
  <c r="P143" i="1"/>
  <c r="L144" i="1"/>
  <c r="M144" i="1"/>
  <c r="P144" i="1"/>
  <c r="L145" i="1"/>
  <c r="M145" i="1"/>
  <c r="P145" i="1"/>
  <c r="L146" i="1"/>
  <c r="M146" i="1"/>
  <c r="P146" i="1"/>
  <c r="L147" i="1"/>
  <c r="M147" i="1"/>
  <c r="P147" i="1"/>
  <c r="L148" i="1"/>
  <c r="M148" i="1"/>
  <c r="P148" i="1"/>
  <c r="L149" i="1"/>
  <c r="M149" i="1"/>
  <c r="P149" i="1"/>
  <c r="L150" i="1"/>
  <c r="M150" i="1"/>
  <c r="P150" i="1"/>
  <c r="L151" i="1"/>
  <c r="M151" i="1"/>
  <c r="P151" i="1"/>
  <c r="L152" i="1"/>
  <c r="M152" i="1"/>
  <c r="P152" i="1"/>
  <c r="L153" i="1"/>
  <c r="M153" i="1"/>
  <c r="P153" i="1"/>
  <c r="L154" i="1"/>
  <c r="M154" i="1"/>
  <c r="P154" i="1"/>
  <c r="L155" i="1"/>
  <c r="M155" i="1"/>
  <c r="P155" i="1"/>
  <c r="L156" i="1"/>
  <c r="M156" i="1"/>
  <c r="P156" i="1"/>
  <c r="L157" i="1"/>
  <c r="M157" i="1"/>
  <c r="P157" i="1"/>
  <c r="L158" i="1"/>
  <c r="M158" i="1"/>
  <c r="P158" i="1"/>
  <c r="L159" i="1"/>
  <c r="M159" i="1"/>
  <c r="P159" i="1"/>
  <c r="L160" i="1"/>
  <c r="M160" i="1"/>
  <c r="P160" i="1"/>
  <c r="L161" i="1"/>
  <c r="M161" i="1"/>
  <c r="P161" i="1"/>
  <c r="L162" i="1"/>
  <c r="M162" i="1"/>
  <c r="P162" i="1"/>
  <c r="L163" i="1"/>
  <c r="M163" i="1"/>
  <c r="P163" i="1"/>
  <c r="L164" i="1"/>
  <c r="M164" i="1"/>
  <c r="P164" i="1"/>
  <c r="L165" i="1"/>
  <c r="M165" i="1"/>
  <c r="P165" i="1"/>
  <c r="L166" i="1"/>
  <c r="M166" i="1"/>
  <c r="P166" i="1"/>
  <c r="L167" i="1"/>
  <c r="M167" i="1"/>
  <c r="P167" i="1"/>
  <c r="L168" i="1"/>
  <c r="M168" i="1"/>
  <c r="P168" i="1"/>
  <c r="L169" i="1"/>
  <c r="M169" i="1"/>
  <c r="P169" i="1"/>
  <c r="L170" i="1"/>
  <c r="M170" i="1"/>
  <c r="P170" i="1"/>
  <c r="L171" i="1"/>
  <c r="M171" i="1"/>
  <c r="P171" i="1"/>
  <c r="L172" i="1"/>
  <c r="M172" i="1"/>
  <c r="P172" i="1"/>
  <c r="L173" i="1"/>
  <c r="M173" i="1"/>
  <c r="P173" i="1"/>
  <c r="L174" i="1"/>
  <c r="M174" i="1"/>
  <c r="P174" i="1"/>
  <c r="L175" i="1"/>
  <c r="M175" i="1"/>
  <c r="P175" i="1"/>
  <c r="L176" i="1"/>
  <c r="M176" i="1"/>
  <c r="P176" i="1"/>
  <c r="L177" i="1"/>
  <c r="M177" i="1"/>
  <c r="P177" i="1"/>
  <c r="L178" i="1"/>
  <c r="M178" i="1"/>
  <c r="P178" i="1"/>
  <c r="L179" i="1"/>
  <c r="M179" i="1"/>
  <c r="P179" i="1"/>
  <c r="L180" i="1"/>
  <c r="M180" i="1"/>
  <c r="P180" i="1"/>
  <c r="L181" i="1"/>
  <c r="M181" i="1"/>
  <c r="P181" i="1"/>
  <c r="L182" i="1"/>
  <c r="M182" i="1"/>
  <c r="P182" i="1"/>
  <c r="L183" i="1"/>
  <c r="M183" i="1"/>
  <c r="P183" i="1"/>
  <c r="L184" i="1"/>
  <c r="M184" i="1"/>
  <c r="P184" i="1"/>
  <c r="L185" i="1"/>
  <c r="M185" i="1"/>
  <c r="P185" i="1"/>
  <c r="L186" i="1"/>
  <c r="M186" i="1"/>
  <c r="P186" i="1"/>
  <c r="L187" i="1"/>
  <c r="M187" i="1"/>
  <c r="P187" i="1"/>
  <c r="L188" i="1"/>
  <c r="M188" i="1"/>
  <c r="P188" i="1"/>
  <c r="L189" i="1"/>
  <c r="M189" i="1"/>
  <c r="P189" i="1"/>
  <c r="L190" i="1"/>
  <c r="M190" i="1"/>
  <c r="P190" i="1"/>
  <c r="L191" i="1"/>
  <c r="M191" i="1"/>
  <c r="P191" i="1"/>
  <c r="L192" i="1"/>
  <c r="M192" i="1"/>
  <c r="P192" i="1"/>
  <c r="L193" i="1"/>
  <c r="M193" i="1"/>
  <c r="P193" i="1"/>
  <c r="L194" i="1"/>
  <c r="M194" i="1"/>
  <c r="P194" i="1"/>
  <c r="L195" i="1"/>
  <c r="M195" i="1"/>
  <c r="P195" i="1"/>
  <c r="L196" i="1"/>
  <c r="M196" i="1"/>
  <c r="P196" i="1"/>
  <c r="L197" i="1"/>
  <c r="M197" i="1"/>
  <c r="P197" i="1"/>
  <c r="L198" i="1"/>
  <c r="M198" i="1"/>
  <c r="P198" i="1"/>
  <c r="L199" i="1"/>
  <c r="M199" i="1"/>
  <c r="P199" i="1"/>
  <c r="L200" i="1"/>
  <c r="M200" i="1"/>
  <c r="P200" i="1"/>
  <c r="L201" i="1"/>
  <c r="M201" i="1"/>
  <c r="P201" i="1"/>
  <c r="L202" i="1"/>
  <c r="M202" i="1"/>
  <c r="P202" i="1"/>
  <c r="L203" i="1"/>
  <c r="M203" i="1"/>
  <c r="P203" i="1"/>
  <c r="L204" i="1"/>
  <c r="M204" i="1"/>
  <c r="P204" i="1"/>
  <c r="L205" i="1"/>
  <c r="M205" i="1"/>
  <c r="P205" i="1"/>
  <c r="L206" i="1"/>
  <c r="M206" i="1"/>
  <c r="P206" i="1"/>
  <c r="L207" i="1"/>
  <c r="M207" i="1"/>
  <c r="P207" i="1"/>
  <c r="L208" i="1"/>
  <c r="M208" i="1"/>
  <c r="P208" i="1"/>
  <c r="L209" i="1"/>
  <c r="M209" i="1"/>
  <c r="P209" i="1"/>
  <c r="L210" i="1"/>
  <c r="M210" i="1"/>
  <c r="P210" i="1"/>
  <c r="L211" i="1"/>
  <c r="M211" i="1"/>
  <c r="P211" i="1"/>
  <c r="L212" i="1"/>
  <c r="M212" i="1"/>
  <c r="P212" i="1"/>
  <c r="L213" i="1"/>
  <c r="M213" i="1"/>
  <c r="P213" i="1"/>
  <c r="L214" i="1"/>
  <c r="M214" i="1"/>
  <c r="P214" i="1"/>
  <c r="L215" i="1"/>
  <c r="M215" i="1"/>
  <c r="P215" i="1"/>
  <c r="L216" i="1"/>
  <c r="M216" i="1"/>
  <c r="P216" i="1"/>
  <c r="L217" i="1"/>
  <c r="M217" i="1"/>
  <c r="P217" i="1"/>
  <c r="L218" i="1"/>
  <c r="M218" i="1"/>
  <c r="P218" i="1"/>
  <c r="L219" i="1"/>
  <c r="M219" i="1"/>
  <c r="P219" i="1"/>
  <c r="L220" i="1"/>
  <c r="M220" i="1"/>
  <c r="P220" i="1"/>
  <c r="L221" i="1"/>
  <c r="M221" i="1"/>
  <c r="P221" i="1"/>
  <c r="L222" i="1"/>
  <c r="M222" i="1"/>
  <c r="P222" i="1"/>
  <c r="L223" i="1"/>
  <c r="M223" i="1"/>
  <c r="P223" i="1"/>
  <c r="L224" i="1"/>
  <c r="M224" i="1"/>
  <c r="P224" i="1"/>
  <c r="L225" i="1"/>
  <c r="M225" i="1"/>
  <c r="P225" i="1"/>
  <c r="L226" i="1"/>
  <c r="M226" i="1"/>
  <c r="P226" i="1"/>
  <c r="L227" i="1"/>
  <c r="M227" i="1"/>
  <c r="P227" i="1"/>
  <c r="L228" i="1"/>
  <c r="M228" i="1"/>
  <c r="P228" i="1"/>
  <c r="L229" i="1"/>
  <c r="M229" i="1"/>
  <c r="P229" i="1"/>
  <c r="L230" i="1"/>
  <c r="M230" i="1"/>
  <c r="P230" i="1"/>
  <c r="L231" i="1"/>
  <c r="M231" i="1"/>
  <c r="P231" i="1"/>
  <c r="L232" i="1"/>
  <c r="M232" i="1"/>
  <c r="P232" i="1"/>
  <c r="L233" i="1"/>
  <c r="M233" i="1"/>
  <c r="P233" i="1"/>
  <c r="L234" i="1"/>
  <c r="M234" i="1"/>
  <c r="P234" i="1"/>
  <c r="L235" i="1"/>
  <c r="M235" i="1"/>
  <c r="P235" i="1"/>
  <c r="L236" i="1"/>
  <c r="M236" i="1"/>
  <c r="P236" i="1"/>
  <c r="L237" i="1"/>
  <c r="M237" i="1"/>
  <c r="P237" i="1"/>
  <c r="L238" i="1"/>
  <c r="M238" i="1"/>
  <c r="P238" i="1"/>
  <c r="L239" i="1"/>
  <c r="M239" i="1"/>
  <c r="P239" i="1"/>
  <c r="L240" i="1"/>
  <c r="M240" i="1"/>
  <c r="P240" i="1"/>
  <c r="L241" i="1"/>
  <c r="M241" i="1"/>
  <c r="P241" i="1"/>
  <c r="L242" i="1"/>
  <c r="M242" i="1"/>
  <c r="P242" i="1"/>
  <c r="L243" i="1"/>
  <c r="M243" i="1"/>
  <c r="P243" i="1"/>
  <c r="L244" i="1"/>
  <c r="M244" i="1"/>
  <c r="P244" i="1"/>
  <c r="L245" i="1"/>
  <c r="M245" i="1"/>
  <c r="P245" i="1"/>
  <c r="L246" i="1"/>
  <c r="M246" i="1"/>
  <c r="P246" i="1"/>
  <c r="L247" i="1"/>
  <c r="M247" i="1"/>
  <c r="P247" i="1"/>
  <c r="L248" i="1"/>
  <c r="M248" i="1"/>
  <c r="P248" i="1"/>
  <c r="L249" i="1"/>
  <c r="M249" i="1"/>
  <c r="P249" i="1"/>
  <c r="L250" i="1"/>
  <c r="M250" i="1"/>
  <c r="P250" i="1"/>
  <c r="L251" i="1"/>
  <c r="M251" i="1"/>
  <c r="P251" i="1"/>
  <c r="L252" i="1"/>
  <c r="M252" i="1"/>
  <c r="P252" i="1"/>
  <c r="L253" i="1"/>
  <c r="M253" i="1"/>
  <c r="P253" i="1"/>
  <c r="L254" i="1"/>
  <c r="M254" i="1"/>
  <c r="P254" i="1"/>
  <c r="L255" i="1"/>
  <c r="M255" i="1"/>
  <c r="P255" i="1"/>
  <c r="L256" i="1"/>
  <c r="M256" i="1"/>
  <c r="P256" i="1"/>
  <c r="L257" i="1"/>
  <c r="M257" i="1"/>
  <c r="P257" i="1"/>
  <c r="L258" i="1"/>
  <c r="M258" i="1"/>
  <c r="P258" i="1"/>
  <c r="L259" i="1"/>
  <c r="M259" i="1"/>
  <c r="P259" i="1"/>
  <c r="L260" i="1"/>
  <c r="M260" i="1"/>
  <c r="P260" i="1"/>
  <c r="L261" i="1"/>
  <c r="M261" i="1"/>
  <c r="P261" i="1"/>
  <c r="L262" i="1"/>
  <c r="M262" i="1"/>
  <c r="P262" i="1"/>
  <c r="L263" i="1"/>
  <c r="M263" i="1"/>
  <c r="P263" i="1"/>
  <c r="L264" i="1"/>
  <c r="M264" i="1"/>
  <c r="P264" i="1"/>
  <c r="L265" i="1"/>
  <c r="M265" i="1"/>
  <c r="P265" i="1"/>
  <c r="L266" i="1"/>
  <c r="M266" i="1"/>
  <c r="P266" i="1"/>
  <c r="L267" i="1"/>
  <c r="M267" i="1"/>
  <c r="P267" i="1"/>
  <c r="L268" i="1"/>
  <c r="M268" i="1"/>
  <c r="P268" i="1"/>
  <c r="L269" i="1"/>
  <c r="M269" i="1"/>
  <c r="P269" i="1"/>
  <c r="L270" i="1"/>
  <c r="M270" i="1"/>
  <c r="P270" i="1"/>
  <c r="L271" i="1"/>
  <c r="M271" i="1"/>
  <c r="P271" i="1"/>
  <c r="L272" i="1"/>
  <c r="M272" i="1"/>
  <c r="P272" i="1"/>
  <c r="L273" i="1"/>
  <c r="M273" i="1"/>
  <c r="P273" i="1"/>
  <c r="L274" i="1"/>
  <c r="M274" i="1"/>
  <c r="P274" i="1"/>
  <c r="L275" i="1"/>
  <c r="M275" i="1"/>
  <c r="P275" i="1"/>
  <c r="L276" i="1"/>
  <c r="M276" i="1"/>
  <c r="P276" i="1"/>
  <c r="L277" i="1"/>
  <c r="M277" i="1"/>
  <c r="P277" i="1"/>
  <c r="L278" i="1"/>
  <c r="M278" i="1"/>
  <c r="P278" i="1"/>
  <c r="L279" i="1"/>
  <c r="M279" i="1"/>
  <c r="P279" i="1"/>
  <c r="L280" i="1"/>
  <c r="M280" i="1"/>
  <c r="P280" i="1"/>
  <c r="L281" i="1"/>
  <c r="M281" i="1"/>
  <c r="P281" i="1"/>
  <c r="L282" i="1"/>
  <c r="M282" i="1"/>
  <c r="P282" i="1"/>
  <c r="L283" i="1"/>
  <c r="M283" i="1"/>
  <c r="P283" i="1"/>
  <c r="L284" i="1"/>
  <c r="M284" i="1"/>
  <c r="P284" i="1"/>
  <c r="L285" i="1"/>
  <c r="M285" i="1"/>
  <c r="P285" i="1"/>
  <c r="L286" i="1"/>
  <c r="M286" i="1"/>
  <c r="P286" i="1"/>
  <c r="L287" i="1"/>
  <c r="M287" i="1"/>
  <c r="P287" i="1"/>
  <c r="L288" i="1"/>
  <c r="M288" i="1"/>
  <c r="P288" i="1"/>
  <c r="L289" i="1"/>
  <c r="M289" i="1"/>
  <c r="P289" i="1"/>
  <c r="L290" i="1"/>
  <c r="M290" i="1"/>
  <c r="P290" i="1"/>
  <c r="L291" i="1"/>
  <c r="M291" i="1"/>
  <c r="P291" i="1"/>
  <c r="L292" i="1"/>
  <c r="M292" i="1"/>
  <c r="P292" i="1"/>
  <c r="L293" i="1"/>
  <c r="M293" i="1"/>
  <c r="P293" i="1"/>
  <c r="L294" i="1"/>
  <c r="M294" i="1"/>
  <c r="P294" i="1"/>
  <c r="L295" i="1"/>
  <c r="M295" i="1"/>
  <c r="P295" i="1"/>
  <c r="L296" i="1"/>
  <c r="M296" i="1"/>
  <c r="P296" i="1"/>
  <c r="L297" i="1"/>
  <c r="M297" i="1"/>
  <c r="P297" i="1"/>
  <c r="L298" i="1"/>
  <c r="M298" i="1"/>
  <c r="P298" i="1"/>
  <c r="L299" i="1"/>
  <c r="M299" i="1"/>
  <c r="P299" i="1"/>
  <c r="L300" i="1"/>
  <c r="M300" i="1"/>
  <c r="P300" i="1"/>
  <c r="L301" i="1"/>
  <c r="M301" i="1"/>
  <c r="P301" i="1"/>
  <c r="L302" i="1"/>
  <c r="M302" i="1"/>
  <c r="P302" i="1"/>
  <c r="L303" i="1"/>
  <c r="M303" i="1"/>
  <c r="P303" i="1"/>
  <c r="L304" i="1"/>
  <c r="M304" i="1"/>
  <c r="P304" i="1"/>
  <c r="L305" i="1"/>
  <c r="M305" i="1"/>
  <c r="P305" i="1"/>
  <c r="L306" i="1"/>
  <c r="M306" i="1"/>
  <c r="P306" i="1"/>
  <c r="L307" i="1"/>
  <c r="M307" i="1"/>
  <c r="P307" i="1"/>
  <c r="L308" i="1"/>
  <c r="M308" i="1"/>
  <c r="P308" i="1"/>
  <c r="L309" i="1"/>
  <c r="M309" i="1"/>
  <c r="P309" i="1"/>
  <c r="L310" i="1"/>
  <c r="M310" i="1"/>
  <c r="P310" i="1"/>
  <c r="L311" i="1"/>
  <c r="M311" i="1"/>
  <c r="P311" i="1"/>
  <c r="L312" i="1"/>
  <c r="M312" i="1"/>
  <c r="P312" i="1"/>
  <c r="L313" i="1"/>
  <c r="M313" i="1"/>
  <c r="P313" i="1"/>
  <c r="L314" i="1"/>
  <c r="M314" i="1"/>
  <c r="P314" i="1"/>
  <c r="L315" i="1"/>
  <c r="M315" i="1"/>
  <c r="P315" i="1"/>
  <c r="L316" i="1"/>
  <c r="M316" i="1"/>
  <c r="P316" i="1"/>
  <c r="L317" i="1"/>
  <c r="M317" i="1"/>
  <c r="P317" i="1"/>
  <c r="L318" i="1"/>
  <c r="M318" i="1"/>
  <c r="P318" i="1"/>
  <c r="L319" i="1"/>
  <c r="M319" i="1"/>
  <c r="P319" i="1"/>
  <c r="L320" i="1"/>
  <c r="M320" i="1"/>
  <c r="P320" i="1"/>
  <c r="L321" i="1"/>
  <c r="M321" i="1"/>
  <c r="P321" i="1"/>
  <c r="L322" i="1"/>
  <c r="M322" i="1"/>
  <c r="P322" i="1"/>
  <c r="L323" i="1"/>
  <c r="M323" i="1"/>
  <c r="P323" i="1"/>
  <c r="P2" i="1"/>
  <c r="M2" i="1"/>
  <c r="L2" i="1"/>
</calcChain>
</file>

<file path=xl/sharedStrings.xml><?xml version="1.0" encoding="utf-8"?>
<sst xmlns="http://schemas.openxmlformats.org/spreadsheetml/2006/main" count="3236" uniqueCount="995">
  <si>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</si>
  <si>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</si>
  <si>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</si>
  <si>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</si>
  <si>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</si>
  <si>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</si>
  <si>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</si>
  <si>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</si>
  <si>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</si>
  <si>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</si>
  <si>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</si>
  <si>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</si>
  <si>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</si>
  <si>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</si>
  <si>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</si>
  <si>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</si>
  <si>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2024-12-01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</si>
  <si>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</si>
  <si>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</si>
  <si>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</si>
  <si>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</si>
  <si>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</si>
  <si>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</si>
  <si>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</si>
  <si>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</si>
  <si>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</si>
  <si>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</si>
  <si>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</si>
  <si>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</si>
  <si>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</si>
  <si>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</si>
  <si>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</si>
  <si>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</si>
  <si>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</si>
  <si>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</si>
  <si>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</si>
  <si>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</si>
  <si>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</si>
  <si>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</si>
  <si>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</si>
  <si>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</si>
  <si>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</si>
  <si>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</si>
  <si>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</si>
  <si>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</si>
  <si>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</si>
  <si>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</si>
  <si>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</si>
  <si>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</si>
  <si>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</si>
  <si>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</si>
  <si>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</si>
  <si>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</si>
  <si>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</si>
  <si>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</si>
  <si>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</si>
  <si>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</si>
  <si>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</si>
  <si>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</si>
  <si>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</si>
  <si>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</si>
  <si>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</si>
  <si>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</si>
  <si>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</si>
  <si>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</si>
  <si>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</si>
  <si>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</si>
  <si>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</si>
  <si>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</si>
  <si>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</si>
  <si>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</si>
  <si>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</si>
  <si>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</si>
  <si>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</si>
  <si>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</si>
  <si>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</si>
  <si>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</si>
  <si>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</si>
  <si>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</si>
  <si>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</si>
  <si>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</si>
  <si>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</si>
  <si>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</si>
  <si>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</si>
  <si>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</si>
  <si>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</si>
  <si>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</si>
  <si>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</si>
  <si>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</si>
  <si>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</si>
  <si>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</si>
  <si>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</si>
  <si>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</si>
  <si>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</si>
  <si>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16</t>
  </si>
  <si>
    <t>Hardik Prajapati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</si>
  <si>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</si>
  <si>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</si>
  <si>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</si>
  <si>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</si>
  <si>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</si>
  <si>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</si>
  <si>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</si>
  <si>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</si>
  <si>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</si>
  <si>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</si>
  <si>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</si>
  <si>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</si>
  <si>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</si>
  <si>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</si>
  <si>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</si>
  <si>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</si>
  <si>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</si>
  <si>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</si>
  <si>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</si>
  <si>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</si>
  <si>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</si>
  <si>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</si>
  <si>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</si>
  <si>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</si>
  <si>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</si>
  <si>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</si>
  <si>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</si>
  <si>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</si>
  <si>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</si>
  <si>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</si>
  <si>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</si>
  <si>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</si>
  <si>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</si>
  <si>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</si>
  <si>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</si>
  <si>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</si>
  <si>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</si>
  <si>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</si>
  <si>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</si>
  <si>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</si>
  <si>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</si>
  <si>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</si>
  <si>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</si>
  <si>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</si>
  <si>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</si>
  <si>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</si>
  <si>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</si>
  <si>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</si>
  <si>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</si>
  <si>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</si>
  <si>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884</t>
  </si>
  <si>
    <t>Bhola  Sah</t>
  </si>
  <si>
    <t>974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</si>
  <si>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</si>
  <si>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</si>
  <si>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</si>
  <si>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</si>
  <si>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</si>
  <si>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</si>
  <si>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</si>
  <si>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</si>
  <si>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930</t>
  </si>
  <si>
    <t>Chandra Prakash Singh</t>
  </si>
  <si>
    <t>8020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</si>
  <si>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</si>
  <si>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</si>
  <si>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</si>
  <si>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</si>
  <si>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</si>
  <si>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</si>
  <si>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</si>
  <si>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</si>
  <si>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</si>
  <si>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</si>
  <si>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</si>
  <si>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</si>
  <si>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</si>
  <si>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</si>
  <si>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</si>
  <si>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</si>
  <si>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</si>
  <si>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</si>
  <si>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</si>
  <si>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</si>
  <si>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</si>
  <si>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</si>
  <si>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</si>
  <si>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</t>
  </si>
  <si>
    <t>393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</si>
  <si>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</si>
  <si>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</si>
  <si>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</si>
  <si>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</si>
  <si>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</si>
  <si>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</si>
  <si>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</si>
  <si>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</si>
  <si>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</si>
  <si>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</si>
  <si>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</si>
  <si>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</si>
  <si>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</si>
  <si>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</si>
  <si>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</si>
  <si>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</si>
  <si>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</si>
  <si>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</si>
  <si>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</si>
  <si>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</si>
  <si>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</si>
  <si>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</si>
  <si>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</si>
  <si>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</si>
  <si>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</si>
  <si>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</si>
  <si>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</si>
  <si>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</si>
  <si>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</si>
  <si>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</si>
  <si>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</si>
  <si>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</si>
  <si>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</si>
  <si>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</si>
  <si>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</si>
  <si>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</si>
  <si>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</si>
  <si>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</si>
  <si>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</si>
  <si>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</si>
  <si>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</si>
  <si>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</si>
  <si>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</si>
  <si>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</si>
  <si>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</si>
  <si>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</si>
  <si>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</si>
  <si>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</si>
  <si>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</si>
  <si>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</si>
  <si>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</si>
  <si>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</si>
  <si>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</si>
  <si>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</si>
  <si>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</si>
  <si>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</si>
  <si>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</si>
  <si>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</si>
  <si>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</si>
  <si>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</si>
  <si>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</si>
  <si>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</si>
  <si>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</si>
  <si>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</si>
  <si>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</si>
  <si>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</si>
  <si>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</si>
  <si>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</si>
  <si>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</si>
  <si>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</si>
  <si>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</si>
  <si>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</si>
  <si>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</si>
  <si>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</si>
  <si>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</si>
  <si>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</si>
  <si>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</si>
  <si>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</si>
  <si>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</si>
  <si>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</si>
  <si>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</si>
  <si>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</si>
  <si>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</si>
  <si>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</si>
  <si>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</si>
  <si>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</si>
  <si>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</si>
  <si>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</si>
  <si>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</si>
  <si>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</si>
  <si>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</si>
  <si>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</si>
  <si>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</si>
  <si>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</si>
  <si>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</si>
  <si>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</si>
  <si>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</si>
  <si>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</si>
  <si>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</si>
  <si>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</si>
  <si>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</si>
  <si>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</si>
  <si>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</si>
  <si>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105</t>
  </si>
  <si>
    <t>Syam Kumar V</t>
  </si>
  <si>
    <t>7025</t>
  </si>
  <si>
    <t>134</t>
  </si>
  <si>
    <t>Subhash Kumar</t>
  </si>
  <si>
    <t>7054</t>
  </si>
  <si>
    <t>430</t>
  </si>
  <si>
    <t>Mukalesh Kumar Yadav</t>
  </si>
  <si>
    <t>517</t>
  </si>
  <si>
    <t>168</t>
  </si>
  <si>
    <t>Aswini Kumar Dehuri</t>
  </si>
  <si>
    <t>566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</si>
  <si>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</si>
  <si>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</si>
  <si>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</si>
  <si>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</si>
  <si>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</si>
  <si>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</si>
  <si>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</si>
  <si>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</si>
  <si>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</si>
  <si>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</si>
  <si>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</si>
  <si>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</si>
  <si>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</si>
  <si>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</si>
  <si>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</si>
  <si>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</si>
  <si>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</si>
  <si>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</si>
  <si>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</si>
  <si>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</si>
  <si>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</si>
  <si>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</si>
  <si>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</si>
  <si>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</si>
  <si>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</si>
  <si>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</si>
  <si>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</si>
  <si>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</si>
  <si>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</si>
  <si>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</si>
  <si>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</si>
  <si>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</si>
  <si>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</si>
  <si>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</si>
  <si>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</si>
  <si>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</si>
  <si>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</si>
  <si>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</si>
  <si>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</si>
  <si>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</si>
  <si>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</si>
  <si>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</si>
  <si>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</si>
  <si>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</si>
  <si>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</si>
  <si>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</si>
  <si>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</si>
  <si>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</si>
  <si>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</si>
  <si>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</si>
  <si>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</si>
  <si>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</si>
  <si>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</si>
  <si>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</si>
  <si>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</si>
  <si>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</si>
  <si>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</si>
  <si>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</si>
  <si>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</si>
  <si>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</si>
  <si>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</si>
  <si>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</si>
  <si>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</si>
  <si>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</si>
  <si>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</si>
  <si>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</si>
  <si>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</si>
  <si>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</si>
  <si>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</si>
  <si>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</si>
  <si>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</si>
  <si>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</si>
  <si>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</si>
  <si>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</si>
  <si>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</si>
  <si>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</si>
  <si>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</si>
  <si>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</si>
  <si>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</si>
  <si>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</si>
  <si>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</si>
  <si>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</si>
  <si>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</si>
  <si>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</si>
  <si>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</si>
  <si>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</si>
  <si>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</si>
  <si>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Welder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</si>
  <si>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</si>
  <si>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</si>
  <si>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</si>
  <si>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</si>
  <si>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</si>
  <si>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</si>
  <si>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</si>
  <si>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</si>
  <si>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</si>
  <si>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</si>
  <si>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</si>
  <si>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</si>
  <si>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</si>
  <si>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</si>
  <si>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</si>
  <si>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</si>
  <si>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</si>
  <si>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</si>
  <si>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</si>
  <si>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</si>
  <si>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</si>
  <si>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</si>
  <si>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</si>
  <si>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</si>
  <si>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</si>
  <si>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</si>
  <si>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</si>
  <si>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</si>
  <si>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</si>
  <si>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</si>
  <si>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</si>
  <si>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</si>
  <si>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</si>
  <si>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</si>
  <si>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</si>
  <si>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</si>
  <si>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</si>
  <si>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</si>
  <si>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</si>
  <si>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</si>
  <si>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</si>
  <si>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</si>
  <si>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</si>
  <si>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</si>
  <si>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</si>
  <si>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</si>
  <si>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</si>
  <si>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</si>
  <si>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646</t>
  </si>
  <si>
    <t>Dharmendra</t>
  </si>
  <si>
    <t>736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</si>
  <si>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</si>
  <si>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</si>
  <si>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</si>
  <si>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</si>
  <si>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</si>
  <si>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</si>
  <si>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</si>
  <si>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</si>
  <si>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</si>
  <si>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</si>
  <si>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Mess Helper</t>
  </si>
  <si>
    <t>564</t>
  </si>
  <si>
    <t>Ankit Kumar</t>
  </si>
  <si>
    <t>654</t>
  </si>
  <si>
    <t>1354</t>
  </si>
  <si>
    <t>Mrityunjaya Kumar Kumar</t>
  </si>
  <si>
    <t>515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</si>
  <si>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</si>
  <si>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</si>
  <si>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</si>
  <si>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</si>
  <si>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</si>
  <si>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</si>
  <si>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</si>
  <si>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</si>
  <si>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</si>
  <si>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</si>
  <si>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</si>
  <si>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</si>
  <si>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</si>
  <si>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</si>
  <si>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</si>
  <si>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</si>
  <si>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</si>
  <si>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</si>
  <si>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</si>
  <si>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</si>
  <si>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</si>
  <si>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</si>
  <si>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</si>
  <si>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</si>
  <si>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</si>
  <si>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</si>
  <si>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</si>
  <si>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</si>
  <si>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</si>
  <si>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</si>
  <si>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</si>
  <si>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</si>
  <si>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</si>
  <si>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</si>
  <si>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</si>
  <si>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</si>
  <si>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</si>
  <si>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</si>
  <si>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</si>
  <si>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</si>
  <si>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</si>
  <si>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408</t>
  </si>
  <si>
    <t>Manish Yadav</t>
  </si>
  <si>
    <t>494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</si>
  <si>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</si>
  <si>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</si>
  <si>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</si>
  <si>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</si>
  <si>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</si>
  <si>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</si>
  <si>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</si>
  <si>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</si>
  <si>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</si>
  <si>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</si>
  <si>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</si>
  <si>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</si>
  <si>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</si>
  <si>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</si>
  <si>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</si>
  <si>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</si>
  <si>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</si>
  <si>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</si>
  <si>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</si>
  <si>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</si>
  <si>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</si>
  <si>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</si>
  <si>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</si>
  <si>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</si>
  <si>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1458</t>
  </si>
  <si>
    <t>Krishna</t>
  </si>
  <si>
    <t>8242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</si>
  <si>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</si>
  <si>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</si>
  <si>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</si>
  <si>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</si>
  <si>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</si>
  <si>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</si>
  <si>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</si>
  <si>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</si>
  <si>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</si>
  <si>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1099</t>
  </si>
  <si>
    <t>Ritesh Kumar PANDEY</t>
  </si>
  <si>
    <t>8189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</si>
  <si>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</si>
  <si>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</si>
  <si>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</si>
  <si>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</si>
  <si>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</si>
  <si>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</si>
  <si>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</si>
  <si>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</si>
  <si>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</si>
  <si>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</si>
  <si>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</si>
  <si>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</si>
  <si>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</si>
  <si>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</si>
  <si>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</si>
  <si>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</si>
  <si>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</si>
  <si>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</si>
  <si>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</si>
  <si>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</si>
  <si>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</si>
  <si>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</si>
  <si>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</si>
  <si>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</si>
  <si>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</si>
  <si>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</si>
  <si>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</si>
  <si>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</si>
  <si>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</si>
  <si>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</si>
  <si>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</si>
  <si>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</si>
  <si>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</si>
  <si>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</si>
  <si>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</si>
  <si>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</si>
  <si>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</si>
  <si>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</si>
  <si>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</si>
  <si>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</si>
  <si>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</si>
  <si>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</si>
  <si>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</si>
  <si>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1476</t>
  </si>
  <si>
    <t>Anish Yadav</t>
  </si>
  <si>
    <t>8257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</si>
  <si>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</si>
  <si>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</si>
  <si>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</si>
  <si>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</si>
  <si>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</si>
  <si>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</si>
  <si>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</si>
  <si>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</si>
  <si>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</si>
  <si>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</si>
  <si>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</si>
  <si>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</si>
  <si>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</si>
  <si>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</si>
  <si>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</si>
  <si>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</si>
  <si>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</si>
  <si>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</si>
  <si>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</si>
  <si>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1488</t>
  </si>
  <si>
    <t xml:space="preserve">Vivek Kumar Thakur </t>
  </si>
  <si>
    <t>7072</t>
  </si>
  <si>
    <t>Store Supervisor</t>
  </si>
  <si>
    <t>1502</t>
  </si>
  <si>
    <t>Santosh Singh</t>
  </si>
  <si>
    <t>8273</t>
  </si>
  <si>
    <t>1060</t>
  </si>
  <si>
    <t xml:space="preserve">Ramesh  </t>
  </si>
  <si>
    <t>8150</t>
  </si>
  <si>
    <t>165</t>
  </si>
  <si>
    <t>Mitaraj Rajak</t>
  </si>
  <si>
    <t>182</t>
  </si>
  <si>
    <t>Anil kr Ray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</si>
  <si>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</si>
  <si>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</si>
  <si>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</si>
  <si>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</si>
  <si>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</si>
  <si>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</si>
  <si>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</si>
  <si>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</si>
  <si>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</si>
  <si>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</si>
  <si>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</si>
  <si>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</si>
  <si>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</si>
  <si>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</si>
  <si>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</si>
  <si>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</si>
  <si>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</si>
  <si>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</si>
  <si>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</si>
  <si>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</si>
  <si>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</si>
  <si>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</si>
  <si>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</si>
  <si>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</si>
  <si>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</si>
  <si>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</si>
  <si>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</si>
  <si>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</si>
  <si>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</si>
  <si>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</si>
  <si>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</si>
  <si>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</si>
  <si>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</si>
  <si>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</si>
  <si>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</si>
  <si>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</si>
  <si>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</si>
  <si>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</si>
  <si>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</si>
  <si>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</si>
  <si>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</si>
  <si>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</si>
  <si>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</si>
  <si>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</si>
  <si>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</si>
  <si>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</si>
  <si>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</si>
  <si>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</si>
  <si>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</si>
  <si>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</si>
  <si>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</si>
  <si>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</si>
  <si>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1491</t>
  </si>
  <si>
    <t>Durgesh Kumar Kushwaha</t>
  </si>
  <si>
    <t>8266</t>
  </si>
  <si>
    <t>1432</t>
  </si>
  <si>
    <t>Nagendra Singh</t>
  </si>
  <si>
    <t>8218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</si>
  <si>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</si>
  <si>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</si>
  <si>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</si>
  <si>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</si>
  <si>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</si>
  <si>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</si>
  <si>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</si>
  <si>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</si>
  <si>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</si>
  <si>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</si>
  <si>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</si>
  <si>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</si>
  <si>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</si>
  <si>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</si>
  <si>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</si>
  <si>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</si>
  <si>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</si>
  <si>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</si>
  <si>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</si>
  <si>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</si>
  <si>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657</t>
  </si>
  <si>
    <t>Umesh Singh</t>
  </si>
  <si>
    <t>747</t>
  </si>
  <si>
    <t>707</t>
  </si>
  <si>
    <t>Dinesh Kumar</t>
  </si>
  <si>
    <t>797</t>
  </si>
  <si>
    <t>990</t>
  </si>
  <si>
    <t>Javahar Paswan</t>
  </si>
  <si>
    <t>8080</t>
  </si>
  <si>
    <t>1035</t>
  </si>
  <si>
    <t>Ramvriksha Mandal</t>
  </si>
  <si>
    <t>8125</t>
  </si>
  <si>
    <t>1435</t>
  </si>
  <si>
    <t>Prem Pratigya</t>
  </si>
  <si>
    <t>8220</t>
  </si>
  <si>
    <t>1473</t>
  </si>
  <si>
    <t>Sachin Kumar</t>
  </si>
  <si>
    <t>7069</t>
  </si>
  <si>
    <t>1095</t>
  </si>
  <si>
    <t>Alok Kumar</t>
  </si>
  <si>
    <t>8185</t>
  </si>
  <si>
    <t>1115</t>
  </si>
  <si>
    <t>Ritesh Kumar Rajbhar</t>
  </si>
  <si>
    <t>8205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</si>
  <si>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</si>
  <si>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</si>
  <si>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</si>
  <si>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</si>
  <si>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</si>
  <si>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</si>
  <si>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</si>
  <si>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</si>
  <si>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</si>
  <si>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</si>
  <si>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</si>
  <si>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</si>
  <si>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</si>
  <si>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</si>
  <si>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</si>
  <si>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</si>
  <si>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</si>
  <si>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</si>
  <si>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</si>
  <si>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</si>
  <si>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</si>
  <si>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</si>
  <si>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</si>
  <si>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</si>
  <si>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</si>
  <si>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</t>
  </si>
  <si>
    <t>8057</t>
  </si>
  <si>
    <t>1444</t>
  </si>
  <si>
    <t xml:space="preserve">Pintu  </t>
  </si>
  <si>
    <t>8236</t>
  </si>
  <si>
    <t>1470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</si>
  <si>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</si>
  <si>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</si>
  <si>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</si>
  <si>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</si>
  <si>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</si>
  <si>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</si>
  <si>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</si>
  <si>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</si>
  <si>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</si>
  <si>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</si>
  <si>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</si>
  <si>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CNC Operator</t>
  </si>
  <si>
    <t>Anurag Kumar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</si>
  <si>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</si>
  <si>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</si>
  <si>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</si>
  <si>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</si>
  <si>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</si>
  <si>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</si>
  <si>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</si>
  <si>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</si>
  <si>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</si>
  <si>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</si>
  <si>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</si>
  <si>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</si>
  <si>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</si>
  <si>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</si>
  <si>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</si>
  <si>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Lovepreet Singh</t>
  </si>
  <si>
    <t>8268</t>
  </si>
  <si>
    <t>1416</t>
  </si>
  <si>
    <t>Lalan Mandal</t>
  </si>
  <si>
    <t>8296</t>
  </si>
  <si>
    <t>1468</t>
  </si>
  <si>
    <t>Hemant Kushwaha</t>
  </si>
  <si>
    <t>8251</t>
  </si>
  <si>
    <t>1496</t>
  </si>
  <si>
    <t>Rohan Kumar</t>
  </si>
  <si>
    <t>8269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</si>
  <si>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</si>
  <si>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</si>
  <si>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</si>
  <si>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</si>
  <si>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</si>
  <si>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</si>
  <si>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</si>
  <si>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</si>
  <si>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</si>
  <si>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</si>
  <si>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</si>
  <si>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</si>
  <si>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</si>
  <si>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</si>
  <si>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</si>
  <si>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</si>
  <si>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</si>
  <si>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</si>
  <si>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</si>
  <si>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</si>
  <si>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</si>
  <si>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</si>
  <si>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</si>
  <si>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</si>
  <si>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</si>
  <si>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</si>
  <si>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</si>
  <si>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</si>
  <si>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</si>
  <si>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</si>
  <si>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</si>
  <si>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</si>
  <si>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</si>
  <si>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</si>
  <si>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</si>
  <si>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</si>
  <si>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</si>
  <si>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</si>
  <si>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</si>
  <si>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</si>
  <si>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</si>
  <si>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1475</t>
  </si>
  <si>
    <t>Nitish Yadav</t>
  </si>
  <si>
    <t>8256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</si>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</sst>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DMD\2024\12%20December%202024\ATTENDANCE\DAHEJ%20WORKSHOP%20ATTENDANCE-2024.xlsx" TargetMode="External"/><Relationship Id="rId1" Type="http://schemas.openxmlformats.org/officeDocument/2006/relationships/externalLinkPath" Target="DAHEJ%20WORKSHOP%20ATTENDANCE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PL-DEC-24"/>
      <sheetName val="Sheet1"/>
    </sheetNames>
    <sheetDataSet>
      <sheetData sheetId="0">
        <row r="1">
          <cell r="D1" t="str">
            <v>AADHAR NO</v>
          </cell>
          <cell r="E1" t="str">
            <v>NAME</v>
          </cell>
          <cell r="F1" t="str">
            <v>DESIGNATION</v>
          </cell>
          <cell r="G1" t="str">
            <v>PROJECT NAME</v>
          </cell>
          <cell r="H1" t="str">
            <v>PID</v>
          </cell>
          <cell r="I1">
            <v>45303</v>
          </cell>
          <cell r="K1">
            <v>45334</v>
          </cell>
          <cell r="M1">
            <v>45363</v>
          </cell>
          <cell r="O1">
            <v>45394</v>
          </cell>
          <cell r="Q1">
            <v>45424</v>
          </cell>
          <cell r="S1">
            <v>45455</v>
          </cell>
          <cell r="U1">
            <v>45485</v>
          </cell>
          <cell r="W1">
            <v>45516</v>
          </cell>
          <cell r="Y1">
            <v>45547</v>
          </cell>
          <cell r="AA1">
            <v>45577</v>
          </cell>
          <cell r="AC1">
            <v>45608</v>
          </cell>
          <cell r="AE1">
            <v>45638</v>
          </cell>
          <cell r="AG1" t="str">
            <v>13-12-2025</v>
          </cell>
          <cell r="AI1" t="str">
            <v>14-12-2025</v>
          </cell>
          <cell r="AK1" t="str">
            <v>15-12-2024</v>
          </cell>
          <cell r="AM1" t="str">
            <v>16-12-2024</v>
          </cell>
          <cell r="AO1" t="str">
            <v>17-12-2024</v>
          </cell>
          <cell r="AQ1" t="str">
            <v>18-12-2024</v>
          </cell>
          <cell r="AS1" t="str">
            <v>19-12-2024</v>
          </cell>
        </row>
        <row r="2">
          <cell r="D2">
            <v>934650495375</v>
          </cell>
          <cell r="E2" t="str">
            <v>B L Patel</v>
          </cell>
          <cell r="F2" t="str">
            <v>Site Incharge</v>
          </cell>
          <cell r="G2" t="str">
            <v>LINDE NETHA.BLUSE H2</v>
          </cell>
          <cell r="H2">
            <v>10009</v>
          </cell>
          <cell r="I2" t="str">
            <v>O</v>
          </cell>
          <cell r="K2" t="str">
            <v>P</v>
          </cell>
          <cell r="M2" t="str">
            <v>P</v>
          </cell>
          <cell r="O2" t="str">
            <v>P</v>
          </cell>
          <cell r="Q2" t="str">
            <v>P</v>
          </cell>
          <cell r="S2" t="str">
            <v>P</v>
          </cell>
          <cell r="U2" t="str">
            <v>P</v>
          </cell>
          <cell r="W2" t="str">
            <v>O</v>
          </cell>
          <cell r="Y2" t="str">
            <v>P</v>
          </cell>
          <cell r="AA2" t="str">
            <v>P</v>
          </cell>
          <cell r="AC2" t="str">
            <v>P</v>
          </cell>
          <cell r="AE2" t="str">
            <v>P</v>
          </cell>
          <cell r="AG2" t="str">
            <v>P</v>
          </cell>
          <cell r="AI2" t="str">
            <v>P</v>
          </cell>
          <cell r="AK2" t="str">
            <v>O</v>
          </cell>
          <cell r="AM2" t="str">
            <v>P</v>
          </cell>
          <cell r="AO2" t="str">
            <v>P</v>
          </cell>
          <cell r="AQ2" t="str">
            <v>P</v>
          </cell>
          <cell r="AS2" t="str">
            <v>P</v>
          </cell>
        </row>
        <row r="3">
          <cell r="D3">
            <v>431319605425</v>
          </cell>
          <cell r="E3" t="str">
            <v>Manish Dhimar</v>
          </cell>
          <cell r="F3" t="str">
            <v>HR Admin</v>
          </cell>
          <cell r="G3" t="str">
            <v>TATA LINE KILN</v>
          </cell>
          <cell r="H3">
            <v>10008</v>
          </cell>
          <cell r="I3" t="str">
            <v>SP</v>
          </cell>
          <cell r="K3" t="str">
            <v>P</v>
          </cell>
          <cell r="M3" t="str">
            <v>P</v>
          </cell>
          <cell r="O3" t="str">
            <v>P</v>
          </cell>
          <cell r="Q3" t="str">
            <v>P</v>
          </cell>
          <cell r="S3" t="str">
            <v>CL</v>
          </cell>
          <cell r="U3" t="str">
            <v>CL</v>
          </cell>
          <cell r="W3" t="str">
            <v>O</v>
          </cell>
          <cell r="Y3" t="str">
            <v>P</v>
          </cell>
          <cell r="AA3" t="str">
            <v>P</v>
          </cell>
          <cell r="AC3" t="str">
            <v>P</v>
          </cell>
          <cell r="AE3" t="str">
            <v>P</v>
          </cell>
          <cell r="AG3" t="str">
            <v>P</v>
          </cell>
          <cell r="AI3" t="str">
            <v>P</v>
          </cell>
          <cell r="AK3" t="str">
            <v>O</v>
          </cell>
          <cell r="AM3" t="str">
            <v>P</v>
          </cell>
          <cell r="AO3" t="str">
            <v>P</v>
          </cell>
          <cell r="AQ3" t="str">
            <v>P</v>
          </cell>
          <cell r="AS3" t="str">
            <v>P</v>
          </cell>
        </row>
        <row r="4">
          <cell r="D4">
            <v>473303096926</v>
          </cell>
          <cell r="E4" t="str">
            <v>Pintu Kumar</v>
          </cell>
          <cell r="F4" t="str">
            <v>Electrician</v>
          </cell>
          <cell r="G4" t="str">
            <v>LINDE NETHA.BLUSE H2</v>
          </cell>
          <cell r="H4">
            <v>10009</v>
          </cell>
          <cell r="I4" t="str">
            <v>P</v>
          </cell>
          <cell r="K4" t="str">
            <v>P</v>
          </cell>
          <cell r="M4" t="str">
            <v>P</v>
          </cell>
          <cell r="O4" t="str">
            <v>P</v>
          </cell>
          <cell r="Q4" t="str">
            <v>P</v>
          </cell>
          <cell r="S4" t="str">
            <v>P</v>
          </cell>
          <cell r="U4" t="str">
            <v>P</v>
          </cell>
          <cell r="W4" t="str">
            <v>P</v>
          </cell>
          <cell r="Y4" t="str">
            <v>P</v>
          </cell>
          <cell r="AA4" t="str">
            <v>P</v>
          </cell>
          <cell r="AC4" t="str">
            <v>P</v>
          </cell>
          <cell r="AE4" t="str">
            <v>P</v>
          </cell>
          <cell r="AG4" t="str">
            <v>P</v>
          </cell>
          <cell r="AI4" t="str">
            <v>P</v>
          </cell>
          <cell r="AK4" t="str">
            <v>O</v>
          </cell>
          <cell r="AM4" t="str">
            <v>P</v>
          </cell>
          <cell r="AO4" t="str">
            <v>P</v>
          </cell>
          <cell r="AQ4" t="str">
            <v>P</v>
          </cell>
          <cell r="AS4" t="str">
            <v>P</v>
          </cell>
        </row>
        <row r="5">
          <cell r="D5">
            <v>815610013900</v>
          </cell>
          <cell r="E5" t="str">
            <v>Gopal Bharwad</v>
          </cell>
          <cell r="F5" t="str">
            <v>Driver</v>
          </cell>
          <cell r="G5" t="str">
            <v>LINDE PANIPAT HGU</v>
          </cell>
          <cell r="H5">
            <v>10006</v>
          </cell>
          <cell r="I5" t="str">
            <v>P</v>
          </cell>
          <cell r="K5" t="str">
            <v>P</v>
          </cell>
          <cell r="L5">
            <v>2</v>
          </cell>
          <cell r="M5" t="str">
            <v>P</v>
          </cell>
          <cell r="N5">
            <v>3</v>
          </cell>
          <cell r="O5" t="str">
            <v>P</v>
          </cell>
          <cell r="P5">
            <v>11</v>
          </cell>
          <cell r="Q5" t="str">
            <v>P</v>
          </cell>
          <cell r="R5">
            <v>3</v>
          </cell>
          <cell r="S5" t="str">
            <v>P</v>
          </cell>
          <cell r="T5">
            <v>4</v>
          </cell>
          <cell r="U5" t="str">
            <v>P</v>
          </cell>
          <cell r="V5">
            <v>3</v>
          </cell>
          <cell r="W5" t="str">
            <v>P</v>
          </cell>
          <cell r="Y5" t="str">
            <v>P</v>
          </cell>
          <cell r="Z5">
            <v>2</v>
          </cell>
          <cell r="AA5" t="str">
            <v>P</v>
          </cell>
          <cell r="AB5">
            <v>3</v>
          </cell>
          <cell r="AC5" t="str">
            <v>P</v>
          </cell>
          <cell r="AD5">
            <v>2</v>
          </cell>
          <cell r="AE5" t="str">
            <v>P</v>
          </cell>
          <cell r="AF5">
            <v>11</v>
          </cell>
          <cell r="AG5" t="str">
            <v>P</v>
          </cell>
          <cell r="AH5">
            <v>2</v>
          </cell>
          <cell r="AI5" t="str">
            <v>P</v>
          </cell>
          <cell r="AJ5">
            <v>3</v>
          </cell>
          <cell r="AK5" t="str">
            <v>O</v>
          </cell>
          <cell r="AM5" t="str">
            <v>P</v>
          </cell>
          <cell r="AN5">
            <v>2</v>
          </cell>
          <cell r="AO5" t="str">
            <v>P</v>
          </cell>
          <cell r="AP5">
            <v>3</v>
          </cell>
          <cell r="AQ5" t="str">
            <v>P</v>
          </cell>
          <cell r="AR5">
            <v>2</v>
          </cell>
          <cell r="AS5" t="str">
            <v>P</v>
          </cell>
          <cell r="AT5">
            <v>3</v>
          </cell>
        </row>
        <row r="6">
          <cell r="D6">
            <v>742738597780</v>
          </cell>
          <cell r="E6" t="str">
            <v>Piyush Chaudhary</v>
          </cell>
          <cell r="F6" t="str">
            <v>Planning Engg.</v>
          </cell>
          <cell r="G6" t="str">
            <v>EPCM  NAVIN</v>
          </cell>
          <cell r="H6">
            <v>10003</v>
          </cell>
          <cell r="I6" t="str">
            <v>SP</v>
          </cell>
          <cell r="K6" t="str">
            <v>P</v>
          </cell>
          <cell r="M6" t="str">
            <v>P</v>
          </cell>
          <cell r="O6" t="str">
            <v>P</v>
          </cell>
          <cell r="Q6" t="str">
            <v>P</v>
          </cell>
          <cell r="S6" t="str">
            <v>P</v>
          </cell>
          <cell r="U6" t="str">
            <v>P</v>
          </cell>
          <cell r="W6" t="str">
            <v>SP</v>
          </cell>
          <cell r="Y6" t="str">
            <v>P</v>
          </cell>
          <cell r="AA6" t="str">
            <v>P</v>
          </cell>
          <cell r="AC6" t="str">
            <v>P</v>
          </cell>
          <cell r="AE6" t="str">
            <v>P</v>
          </cell>
          <cell r="AG6" t="str">
            <v>P</v>
          </cell>
          <cell r="AI6" t="str">
            <v>P</v>
          </cell>
          <cell r="AK6" t="str">
            <v>O</v>
          </cell>
          <cell r="AM6" t="str">
            <v>P</v>
          </cell>
          <cell r="AO6" t="str">
            <v>P</v>
          </cell>
          <cell r="AQ6" t="str">
            <v>P</v>
          </cell>
          <cell r="AS6" t="str">
            <v>P</v>
          </cell>
        </row>
        <row r="7">
          <cell r="D7">
            <v>943031777704</v>
          </cell>
          <cell r="E7" t="str">
            <v>Ronit Ranjan</v>
          </cell>
          <cell r="F7" t="str">
            <v>Planning Engg.</v>
          </cell>
          <cell r="G7" t="str">
            <v>LINDE NETHA.BLUSE H2</v>
          </cell>
          <cell r="H7">
            <v>10009</v>
          </cell>
          <cell r="I7" t="str">
            <v>O</v>
          </cell>
          <cell r="K7" t="str">
            <v>A</v>
          </cell>
          <cell r="M7" t="str">
            <v>A</v>
          </cell>
          <cell r="O7" t="str">
            <v>A</v>
          </cell>
          <cell r="Q7" t="str">
            <v>A</v>
          </cell>
          <cell r="S7" t="str">
            <v>A</v>
          </cell>
          <cell r="U7" t="str">
            <v>A</v>
          </cell>
          <cell r="W7" t="str">
            <v>O</v>
          </cell>
          <cell r="Y7" t="str">
            <v>A</v>
          </cell>
          <cell r="AA7" t="str">
            <v>A</v>
          </cell>
          <cell r="AC7" t="str">
            <v>A</v>
          </cell>
          <cell r="AE7" t="str">
            <v>A</v>
          </cell>
          <cell r="AG7" t="str">
            <v>A</v>
          </cell>
          <cell r="AI7" t="str">
            <v>A</v>
          </cell>
          <cell r="AK7" t="str">
            <v>O</v>
          </cell>
          <cell r="AM7" t="str">
            <v>A</v>
          </cell>
          <cell r="AO7" t="str">
            <v>A</v>
          </cell>
          <cell r="AQ7" t="str">
            <v>A</v>
          </cell>
          <cell r="AS7" t="str">
            <v>A</v>
          </cell>
        </row>
        <row r="8">
          <cell r="D8">
            <v>577578197006</v>
          </cell>
          <cell r="E8" t="str">
            <v>Vivek Singh</v>
          </cell>
          <cell r="F8" t="str">
            <v>QA/QC Engg.</v>
          </cell>
          <cell r="G8" t="str">
            <v>LINDE NETHA.BLUSE H2</v>
          </cell>
          <cell r="H8">
            <v>10009</v>
          </cell>
          <cell r="I8" t="str">
            <v>SP</v>
          </cell>
          <cell r="K8" t="str">
            <v>P</v>
          </cell>
          <cell r="M8" t="str">
            <v>P</v>
          </cell>
          <cell r="O8" t="str">
            <v>P</v>
          </cell>
          <cell r="Q8" t="str">
            <v>P</v>
          </cell>
          <cell r="S8" t="str">
            <v>P</v>
          </cell>
          <cell r="U8" t="str">
            <v>P</v>
          </cell>
          <cell r="W8" t="str">
            <v>SP</v>
          </cell>
          <cell r="Y8" t="str">
            <v>P</v>
          </cell>
          <cell r="AA8" t="str">
            <v>P</v>
          </cell>
          <cell r="AC8" t="str">
            <v>P</v>
          </cell>
          <cell r="AE8" t="str">
            <v>P</v>
          </cell>
          <cell r="AG8" t="str">
            <v>P</v>
          </cell>
          <cell r="AI8" t="str">
            <v>P</v>
          </cell>
          <cell r="AK8" t="str">
            <v>O</v>
          </cell>
          <cell r="AM8" t="str">
            <v>P</v>
          </cell>
          <cell r="AO8" t="str">
            <v>P</v>
          </cell>
          <cell r="AQ8" t="str">
            <v>P</v>
          </cell>
          <cell r="AS8" t="str">
            <v>P</v>
          </cell>
        </row>
        <row r="9">
          <cell r="D9">
            <v>902318979561</v>
          </cell>
          <cell r="E9" t="str">
            <v>Jigarkumar Malabhai Chaudhary</v>
          </cell>
          <cell r="F9" t="str">
            <v>Planning Engg.</v>
          </cell>
          <cell r="G9" t="str">
            <v>PI MPP -12 H PLANT</v>
          </cell>
          <cell r="H9">
            <v>10002</v>
          </cell>
          <cell r="I9" t="str">
            <v>SP</v>
          </cell>
          <cell r="K9" t="str">
            <v>P</v>
          </cell>
          <cell r="M9" t="str">
            <v>P</v>
          </cell>
          <cell r="O9" t="str">
            <v>P</v>
          </cell>
          <cell r="Q9" t="str">
            <v>P</v>
          </cell>
          <cell r="S9" t="str">
            <v>P</v>
          </cell>
          <cell r="U9" t="str">
            <v>P</v>
          </cell>
          <cell r="W9" t="str">
            <v>SP</v>
          </cell>
          <cell r="Y9" t="str">
            <v>P</v>
          </cell>
          <cell r="AA9" t="str">
            <v>P</v>
          </cell>
          <cell r="AC9" t="str">
            <v>P</v>
          </cell>
          <cell r="AE9" t="str">
            <v>P</v>
          </cell>
          <cell r="AG9" t="str">
            <v>P</v>
          </cell>
          <cell r="AH9" t="str">
            <v>FN</v>
          </cell>
          <cell r="AI9" t="str">
            <v>P</v>
          </cell>
          <cell r="AJ9" t="str">
            <v>FN</v>
          </cell>
          <cell r="AK9" t="str">
            <v>SP</v>
          </cell>
          <cell r="AM9" t="str">
            <v>P</v>
          </cell>
          <cell r="AN9" t="str">
            <v>FN</v>
          </cell>
          <cell r="AO9" t="str">
            <v>P</v>
          </cell>
          <cell r="AQ9" t="str">
            <v>P</v>
          </cell>
          <cell r="AS9" t="str">
            <v>P</v>
          </cell>
        </row>
        <row r="10">
          <cell r="D10">
            <v>675380871787</v>
          </cell>
          <cell r="E10" t="str">
            <v xml:space="preserve">Debashish Mallick
</v>
          </cell>
          <cell r="F10" t="str">
            <v xml:space="preserve">Safety Officer
</v>
          </cell>
          <cell r="G10" t="str">
            <v>PI MPP -12 H PLANT</v>
          </cell>
          <cell r="H10">
            <v>10002</v>
          </cell>
          <cell r="I10" t="str">
            <v>SP</v>
          </cell>
          <cell r="K10" t="str">
            <v>P</v>
          </cell>
          <cell r="M10" t="str">
            <v>P</v>
          </cell>
          <cell r="O10" t="str">
            <v>P</v>
          </cell>
          <cell r="Q10" t="str">
            <v>P</v>
          </cell>
          <cell r="S10" t="str">
            <v>P</v>
          </cell>
          <cell r="U10" t="str">
            <v>P</v>
          </cell>
          <cell r="W10" t="str">
            <v>O</v>
          </cell>
          <cell r="Y10" t="str">
            <v>P</v>
          </cell>
          <cell r="AA10" t="str">
            <v>P</v>
          </cell>
          <cell r="AC10" t="str">
            <v>P</v>
          </cell>
          <cell r="AE10" t="str">
            <v>P</v>
          </cell>
          <cell r="AG10" t="str">
            <v>P</v>
          </cell>
          <cell r="AI10" t="str">
            <v>P</v>
          </cell>
          <cell r="AK10" t="str">
            <v>O</v>
          </cell>
          <cell r="AM10" t="str">
            <v>P</v>
          </cell>
          <cell r="AO10" t="str">
            <v>P</v>
          </cell>
          <cell r="AQ10" t="str">
            <v>P</v>
          </cell>
          <cell r="AS10" t="str">
            <v>P</v>
          </cell>
        </row>
        <row r="11">
          <cell r="D11">
            <v>375213291260</v>
          </cell>
          <cell r="E11" t="str">
            <v>Dinesh Yadav</v>
          </cell>
          <cell r="F11" t="str">
            <v>Execution Supervisor</v>
          </cell>
          <cell r="G11" t="str">
            <v>PI MPP -12 H PLANT</v>
          </cell>
          <cell r="H11">
            <v>10002</v>
          </cell>
          <cell r="I11" t="str">
            <v>SP</v>
          </cell>
          <cell r="K11" t="str">
            <v>P</v>
          </cell>
          <cell r="M11" t="str">
            <v>P</v>
          </cell>
          <cell r="O11" t="str">
            <v>P</v>
          </cell>
          <cell r="Q11" t="str">
            <v>P</v>
          </cell>
          <cell r="S11" t="str">
            <v>P</v>
          </cell>
          <cell r="U11" t="str">
            <v>P</v>
          </cell>
          <cell r="W11" t="str">
            <v>SP</v>
          </cell>
          <cell r="Y11" t="str">
            <v>P</v>
          </cell>
          <cell r="AA11" t="str">
            <v>P</v>
          </cell>
          <cell r="AC11" t="str">
            <v>P</v>
          </cell>
          <cell r="AE11" t="str">
            <v>P</v>
          </cell>
          <cell r="AG11" t="str">
            <v>P</v>
          </cell>
          <cell r="AI11" t="str">
            <v>P</v>
          </cell>
          <cell r="AK11" t="str">
            <v>O</v>
          </cell>
          <cell r="AM11" t="str">
            <v>A</v>
          </cell>
          <cell r="AO11" t="str">
            <v>A</v>
          </cell>
          <cell r="AQ11" t="str">
            <v>A</v>
          </cell>
          <cell r="AS11" t="str">
            <v>A</v>
          </cell>
        </row>
        <row r="12">
          <cell r="D12">
            <v>252878558631</v>
          </cell>
          <cell r="E12" t="str">
            <v>Odedara Ajay Nagajanbhai</v>
          </cell>
          <cell r="F12" t="str">
            <v>Planning Engg.</v>
          </cell>
          <cell r="G12" t="str">
            <v>LINDE PANIPAT HGU</v>
          </cell>
          <cell r="H12">
            <v>10006</v>
          </cell>
          <cell r="I12" t="str">
            <v>SP</v>
          </cell>
          <cell r="K12" t="str">
            <v>P</v>
          </cell>
          <cell r="M12" t="str">
            <v>P</v>
          </cell>
          <cell r="O12" t="str">
            <v>P</v>
          </cell>
          <cell r="Q12" t="str">
            <v>P</v>
          </cell>
          <cell r="S12" t="str">
            <v>P</v>
          </cell>
          <cell r="U12" t="str">
            <v>P</v>
          </cell>
          <cell r="W12" t="str">
            <v>SP</v>
          </cell>
          <cell r="Y12" t="str">
            <v>P</v>
          </cell>
          <cell r="AA12" t="str">
            <v>P</v>
          </cell>
          <cell r="AC12" t="str">
            <v>P</v>
          </cell>
          <cell r="AE12" t="str">
            <v>P</v>
          </cell>
          <cell r="AG12" t="str">
            <v>P</v>
          </cell>
          <cell r="AI12" t="str">
            <v>P</v>
          </cell>
          <cell r="AK12" t="str">
            <v>O</v>
          </cell>
          <cell r="AM12" t="str">
            <v>P</v>
          </cell>
          <cell r="AO12" t="str">
            <v>P</v>
          </cell>
          <cell r="AQ12" t="str">
            <v>P</v>
          </cell>
          <cell r="AS12" t="str">
            <v>P</v>
          </cell>
        </row>
        <row r="13">
          <cell r="D13">
            <v>624820565368</v>
          </cell>
          <cell r="E13" t="str">
            <v xml:space="preserve">Shivang Diwakar </v>
          </cell>
          <cell r="F13" t="str">
            <v>QA/QC Engineer</v>
          </cell>
          <cell r="G13" t="str">
            <v>LINDE NETHA.BLUSE H2</v>
          </cell>
          <cell r="H13">
            <v>10009</v>
          </cell>
          <cell r="I13" t="str">
            <v>O</v>
          </cell>
          <cell r="K13" t="str">
            <v>P</v>
          </cell>
          <cell r="M13" t="str">
            <v>P</v>
          </cell>
          <cell r="O13" t="str">
            <v>P</v>
          </cell>
          <cell r="Q13" t="str">
            <v>P</v>
          </cell>
          <cell r="S13" t="str">
            <v>P</v>
          </cell>
          <cell r="U13" t="str">
            <v>P</v>
          </cell>
          <cell r="W13" t="str">
            <v>SP</v>
          </cell>
          <cell r="Y13" t="str">
            <v>P</v>
          </cell>
          <cell r="AA13" t="str">
            <v>P</v>
          </cell>
          <cell r="AC13" t="str">
            <v>P</v>
          </cell>
          <cell r="AE13" t="str">
            <v>P</v>
          </cell>
          <cell r="AG13" t="str">
            <v>P</v>
          </cell>
          <cell r="AI13" t="str">
            <v>P</v>
          </cell>
          <cell r="AK13" t="str">
            <v>O</v>
          </cell>
          <cell r="AM13" t="str">
            <v>P</v>
          </cell>
          <cell r="AO13" t="str">
            <v>P</v>
          </cell>
          <cell r="AQ13" t="str">
            <v>A</v>
          </cell>
          <cell r="AS13" t="str">
            <v>A</v>
          </cell>
        </row>
        <row r="14">
          <cell r="D14">
            <v>663428945548</v>
          </cell>
          <cell r="E14" t="str">
            <v>Ram Niranjan Jaiswal</v>
          </cell>
          <cell r="F14" t="str">
            <v>Supervisor</v>
          </cell>
          <cell r="G14" t="str">
            <v>PI MPP -12 H PLANT</v>
          </cell>
          <cell r="H14">
            <v>10002</v>
          </cell>
          <cell r="I14" t="str">
            <v>SP</v>
          </cell>
          <cell r="K14" t="str">
            <v>P</v>
          </cell>
          <cell r="M14" t="str">
            <v>P</v>
          </cell>
          <cell r="O14" t="str">
            <v>P</v>
          </cell>
          <cell r="Q14" t="str">
            <v>P</v>
          </cell>
          <cell r="S14" t="str">
            <v>P</v>
          </cell>
          <cell r="T14" t="str">
            <v>FN</v>
          </cell>
          <cell r="U14" t="str">
            <v>P</v>
          </cell>
          <cell r="W14" t="str">
            <v>SP</v>
          </cell>
          <cell r="Y14" t="str">
            <v>P</v>
          </cell>
          <cell r="AA14" t="str">
            <v>P</v>
          </cell>
          <cell r="AC14" t="str">
            <v>P</v>
          </cell>
          <cell r="AE14" t="str">
            <v>P</v>
          </cell>
          <cell r="AG14" t="str">
            <v>P</v>
          </cell>
          <cell r="AH14" t="str">
            <v>FN</v>
          </cell>
          <cell r="AI14" t="str">
            <v>P</v>
          </cell>
          <cell r="AK14" t="str">
            <v>O</v>
          </cell>
          <cell r="AM14" t="str">
            <v>A</v>
          </cell>
          <cell r="AO14" t="str">
            <v>A</v>
          </cell>
          <cell r="AQ14" t="str">
            <v>A</v>
          </cell>
          <cell r="AS14" t="str">
            <v>A</v>
          </cell>
        </row>
        <row r="15">
          <cell r="D15">
            <v>968163658982</v>
          </cell>
          <cell r="E15" t="str">
            <v xml:space="preserve">Syam Kumar V
</v>
          </cell>
          <cell r="F15" t="str">
            <v xml:space="preserve">QA/QC Engineer
</v>
          </cell>
          <cell r="G15" t="str">
            <v>PI MPP -12 H PLANT</v>
          </cell>
          <cell r="H15">
            <v>10002</v>
          </cell>
          <cell r="I15" t="str">
            <v>O</v>
          </cell>
          <cell r="K15" t="str">
            <v>P</v>
          </cell>
          <cell r="M15" t="str">
            <v>P</v>
          </cell>
          <cell r="O15" t="str">
            <v>P</v>
          </cell>
          <cell r="Q15" t="str">
            <v>P</v>
          </cell>
          <cell r="S15" t="str">
            <v>P</v>
          </cell>
          <cell r="U15" t="str">
            <v>P</v>
          </cell>
          <cell r="W15" t="str">
            <v>O</v>
          </cell>
          <cell r="Y15" t="str">
            <v>A</v>
          </cell>
          <cell r="AA15" t="str">
            <v>P</v>
          </cell>
          <cell r="AC15" t="str">
            <v>P</v>
          </cell>
          <cell r="AE15" t="str">
            <v>P</v>
          </cell>
          <cell r="AG15" t="str">
            <v>A</v>
          </cell>
          <cell r="AI15" t="str">
            <v>P</v>
          </cell>
          <cell r="AK15" t="str">
            <v>O</v>
          </cell>
          <cell r="AM15" t="str">
            <v>P</v>
          </cell>
          <cell r="AO15" t="str">
            <v>P</v>
          </cell>
          <cell r="AQ15" t="str">
            <v>P</v>
          </cell>
          <cell r="AS15" t="str">
            <v>P</v>
          </cell>
        </row>
        <row r="16">
          <cell r="D16">
            <v>995967508194</v>
          </cell>
          <cell r="E16" t="str">
            <v xml:space="preserve">Bharatkumar Makanbhai Patel
</v>
          </cell>
          <cell r="F16" t="str">
            <v>Supervisor</v>
          </cell>
          <cell r="G16" t="str">
            <v>PI MPP -12 H PLANT</v>
          </cell>
          <cell r="H16">
            <v>10002</v>
          </cell>
          <cell r="I16" t="str">
            <v>O</v>
          </cell>
          <cell r="K16" t="str">
            <v>A</v>
          </cell>
          <cell r="M16" t="str">
            <v>P</v>
          </cell>
          <cell r="O16" t="str">
            <v>P</v>
          </cell>
          <cell r="Q16" t="str">
            <v>P</v>
          </cell>
          <cell r="S16" t="str">
            <v>P</v>
          </cell>
          <cell r="U16" t="str">
            <v>P</v>
          </cell>
          <cell r="W16" t="str">
            <v>SP</v>
          </cell>
          <cell r="Y16" t="str">
            <v>P</v>
          </cell>
          <cell r="AA16" t="str">
            <v>P</v>
          </cell>
          <cell r="AC16" t="str">
            <v>A</v>
          </cell>
          <cell r="AE16" t="str">
            <v>A</v>
          </cell>
          <cell r="AG16" t="str">
            <v>A</v>
          </cell>
          <cell r="AI16" t="str">
            <v>P</v>
          </cell>
          <cell r="AK16" t="str">
            <v>SP</v>
          </cell>
          <cell r="AM16" t="str">
            <v>P</v>
          </cell>
          <cell r="AO16" t="str">
            <v>P</v>
          </cell>
          <cell r="AQ16" t="str">
            <v>P</v>
          </cell>
          <cell r="AS16" t="str">
            <v>P</v>
          </cell>
        </row>
        <row r="17">
          <cell r="D17">
            <v>274508964136</v>
          </cell>
          <cell r="E17" t="str">
            <v xml:space="preserve">Rahul Prajapati
</v>
          </cell>
          <cell r="F17" t="str">
            <v xml:space="preserve">Planning Engg.
</v>
          </cell>
          <cell r="G17" t="str">
            <v>EPCM  NAVIN</v>
          </cell>
          <cell r="H17">
            <v>10003</v>
          </cell>
          <cell r="I17" t="str">
            <v>SP</v>
          </cell>
          <cell r="K17" t="str">
            <v>P</v>
          </cell>
          <cell r="M17" t="str">
            <v>P</v>
          </cell>
          <cell r="O17" t="str">
            <v>P</v>
          </cell>
          <cell r="Q17" t="str">
            <v>P</v>
          </cell>
          <cell r="S17" t="str">
            <v>P</v>
          </cell>
          <cell r="U17" t="str">
            <v>P</v>
          </cell>
          <cell r="W17" t="str">
            <v>SP</v>
          </cell>
          <cell r="Y17" t="str">
            <v>P</v>
          </cell>
          <cell r="AA17" t="str">
            <v>P</v>
          </cell>
          <cell r="AC17" t="str">
            <v>P</v>
          </cell>
          <cell r="AE17" t="str">
            <v>P</v>
          </cell>
          <cell r="AG17" t="str">
            <v>P</v>
          </cell>
          <cell r="AI17" t="str">
            <v>P</v>
          </cell>
          <cell r="AK17" t="str">
            <v>O</v>
          </cell>
          <cell r="AM17" t="str">
            <v>P</v>
          </cell>
          <cell r="AO17" t="str">
            <v>P</v>
          </cell>
          <cell r="AQ17" t="str">
            <v>P</v>
          </cell>
          <cell r="AS17" t="str">
            <v>P</v>
          </cell>
        </row>
        <row r="18">
          <cell r="D18">
            <v>574086757078</v>
          </cell>
          <cell r="E18" t="str">
            <v xml:space="preserve">Bikash Chandra Samanta
</v>
          </cell>
          <cell r="F18" t="str">
            <v>Supervisor</v>
          </cell>
          <cell r="G18" t="str">
            <v>EPCM  NAVIN</v>
          </cell>
          <cell r="H18">
            <v>10003</v>
          </cell>
          <cell r="I18" t="str">
            <v>SP</v>
          </cell>
          <cell r="K18" t="str">
            <v>P</v>
          </cell>
          <cell r="M18" t="str">
            <v>P</v>
          </cell>
          <cell r="O18" t="str">
            <v>P</v>
          </cell>
          <cell r="P18" t="str">
            <v>FN</v>
          </cell>
          <cell r="Q18" t="str">
            <v>P</v>
          </cell>
          <cell r="S18" t="str">
            <v>P</v>
          </cell>
          <cell r="U18" t="str">
            <v>P</v>
          </cell>
          <cell r="W18" t="str">
            <v>SP</v>
          </cell>
          <cell r="Y18" t="str">
            <v>P</v>
          </cell>
          <cell r="Z18" t="str">
            <v>FN</v>
          </cell>
          <cell r="AA18" t="str">
            <v>P</v>
          </cell>
          <cell r="AC18" t="str">
            <v>P</v>
          </cell>
          <cell r="AE18" t="str">
            <v>P</v>
          </cell>
          <cell r="AG18" t="str">
            <v>P</v>
          </cell>
          <cell r="AH18" t="str">
            <v>FN</v>
          </cell>
          <cell r="AI18" t="str">
            <v>P</v>
          </cell>
          <cell r="AK18" t="str">
            <v>SP</v>
          </cell>
          <cell r="AM18" t="str">
            <v>P</v>
          </cell>
          <cell r="AO18" t="str">
            <v>P</v>
          </cell>
          <cell r="AQ18" t="str">
            <v>P</v>
          </cell>
          <cell r="AS18" t="str">
            <v>P</v>
          </cell>
          <cell r="AT18" t="str">
            <v>FN</v>
          </cell>
        </row>
        <row r="19">
          <cell r="D19">
            <v>923853057392</v>
          </cell>
          <cell r="E19" t="str">
            <v>Prajapati Abhishek Dineshkumar</v>
          </cell>
          <cell r="F19" t="str">
            <v>QA/QC Engineer</v>
          </cell>
          <cell r="G19" t="str">
            <v>LINDE PANIPAT HGU</v>
          </cell>
          <cell r="H19">
            <v>10006</v>
          </cell>
          <cell r="I19" t="str">
            <v>O</v>
          </cell>
          <cell r="K19" t="str">
            <v>P</v>
          </cell>
          <cell r="M19" t="str">
            <v>P</v>
          </cell>
          <cell r="O19" t="str">
            <v>P</v>
          </cell>
          <cell r="Q19" t="str">
            <v>P</v>
          </cell>
          <cell r="S19" t="str">
            <v>P</v>
          </cell>
          <cell r="U19" t="str">
            <v>P</v>
          </cell>
          <cell r="W19" t="str">
            <v>O</v>
          </cell>
          <cell r="Y19" t="str">
            <v>P</v>
          </cell>
          <cell r="AA19" t="str">
            <v>P</v>
          </cell>
          <cell r="AC19" t="str">
            <v>A</v>
          </cell>
          <cell r="AE19" t="str">
            <v>A</v>
          </cell>
          <cell r="AG19" t="str">
            <v>P</v>
          </cell>
          <cell r="AI19" t="str">
            <v>P</v>
          </cell>
          <cell r="AK19" t="str">
            <v>O</v>
          </cell>
          <cell r="AM19" t="str">
            <v>P</v>
          </cell>
          <cell r="AO19" t="str">
            <v>P</v>
          </cell>
          <cell r="AQ19" t="str">
            <v>P</v>
          </cell>
          <cell r="AS19" t="str">
            <v>P</v>
          </cell>
        </row>
        <row r="20">
          <cell r="D20">
            <v>482807174939</v>
          </cell>
          <cell r="E20" t="str">
            <v>MD Rashid</v>
          </cell>
          <cell r="F20" t="str">
            <v>Supervisor</v>
          </cell>
          <cell r="G20" t="str">
            <v>PI MPP -12 H PLANT</v>
          </cell>
          <cell r="H20">
            <v>10002</v>
          </cell>
          <cell r="I20" t="str">
            <v>SP</v>
          </cell>
          <cell r="K20" t="str">
            <v>P</v>
          </cell>
          <cell r="M20" t="str">
            <v>P</v>
          </cell>
          <cell r="O20" t="str">
            <v>P</v>
          </cell>
          <cell r="P20" t="str">
            <v>FN</v>
          </cell>
          <cell r="Q20" t="str">
            <v>P</v>
          </cell>
          <cell r="S20" t="str">
            <v>P</v>
          </cell>
          <cell r="U20" t="str">
            <v>P</v>
          </cell>
          <cell r="W20" t="str">
            <v>SP</v>
          </cell>
          <cell r="Y20" t="str">
            <v>P</v>
          </cell>
          <cell r="Z20" t="str">
            <v>FN</v>
          </cell>
          <cell r="AA20" t="str">
            <v>P</v>
          </cell>
          <cell r="AC20" t="str">
            <v>P</v>
          </cell>
          <cell r="AE20" t="str">
            <v>P</v>
          </cell>
          <cell r="AG20" t="str">
            <v>P</v>
          </cell>
          <cell r="AH20" t="str">
            <v>FN</v>
          </cell>
          <cell r="AI20" t="str">
            <v>P</v>
          </cell>
          <cell r="AK20" t="str">
            <v>O</v>
          </cell>
          <cell r="AM20" t="str">
            <v>P</v>
          </cell>
          <cell r="AN20" t="str">
            <v>FN</v>
          </cell>
          <cell r="AO20" t="str">
            <v>P</v>
          </cell>
          <cell r="AQ20" t="str">
            <v>P</v>
          </cell>
          <cell r="AS20" t="str">
            <v>P</v>
          </cell>
        </row>
        <row r="21">
          <cell r="D21">
            <v>652542431912</v>
          </cell>
          <cell r="E21" t="str">
            <v>Rudra Kumar Patel</v>
          </cell>
          <cell r="F21" t="str">
            <v>Supervisor</v>
          </cell>
          <cell r="G21" t="str">
            <v>PI MPP -12 H PLANT</v>
          </cell>
          <cell r="H21">
            <v>10002</v>
          </cell>
          <cell r="I21" t="str">
            <v>SP</v>
          </cell>
          <cell r="K21" t="str">
            <v>P</v>
          </cell>
          <cell r="M21" t="str">
            <v>P</v>
          </cell>
          <cell r="O21" t="str">
            <v>P</v>
          </cell>
          <cell r="Q21" t="str">
            <v>P</v>
          </cell>
          <cell r="S21" t="str">
            <v>P</v>
          </cell>
          <cell r="T21" t="str">
            <v>FN</v>
          </cell>
          <cell r="U21" t="str">
            <v>P</v>
          </cell>
          <cell r="W21" t="str">
            <v>SP</v>
          </cell>
          <cell r="Y21" t="str">
            <v>P</v>
          </cell>
          <cell r="AA21" t="str">
            <v>P</v>
          </cell>
          <cell r="AC21" t="str">
            <v>P</v>
          </cell>
          <cell r="AE21" t="str">
            <v>A</v>
          </cell>
          <cell r="AG21" t="str">
            <v>P</v>
          </cell>
          <cell r="AI21" t="str">
            <v>P</v>
          </cell>
          <cell r="AK21" t="str">
            <v>O</v>
          </cell>
          <cell r="AM21" t="str">
            <v>P</v>
          </cell>
          <cell r="AN21" t="str">
            <v>FN</v>
          </cell>
          <cell r="AO21" t="str">
            <v>P</v>
          </cell>
          <cell r="AP21" t="str">
            <v>FN</v>
          </cell>
          <cell r="AQ21" t="str">
            <v>P</v>
          </cell>
          <cell r="AR21" t="str">
            <v>FN</v>
          </cell>
          <cell r="AS21" t="str">
            <v>P</v>
          </cell>
          <cell r="AT21" t="str">
            <v>FN</v>
          </cell>
        </row>
        <row r="22">
          <cell r="D22">
            <v>603127674951</v>
          </cell>
          <cell r="E22" t="str">
            <v>Brijbhan Rajbhar</v>
          </cell>
          <cell r="F22" t="str">
            <v>QA/QC Engineer</v>
          </cell>
          <cell r="G22" t="str">
            <v>LINDE NETHA.BLUSE H2</v>
          </cell>
          <cell r="H22">
            <v>10009</v>
          </cell>
          <cell r="I22" t="str">
            <v>SP</v>
          </cell>
          <cell r="K22" t="str">
            <v>P</v>
          </cell>
          <cell r="M22" t="str">
            <v>P</v>
          </cell>
          <cell r="O22" t="str">
            <v>P</v>
          </cell>
          <cell r="Q22" t="str">
            <v>P</v>
          </cell>
          <cell r="S22" t="str">
            <v>P</v>
          </cell>
          <cell r="U22" t="str">
            <v>P</v>
          </cell>
          <cell r="W22" t="str">
            <v>SP</v>
          </cell>
          <cell r="Y22" t="str">
            <v>A</v>
          </cell>
          <cell r="AA22" t="str">
            <v>P</v>
          </cell>
          <cell r="AC22" t="str">
            <v>P</v>
          </cell>
          <cell r="AE22" t="str">
            <v>P</v>
          </cell>
          <cell r="AG22" t="str">
            <v>P</v>
          </cell>
          <cell r="AI22" t="str">
            <v>P</v>
          </cell>
          <cell r="AK22" t="str">
            <v>O</v>
          </cell>
          <cell r="AM22" t="str">
            <v>P</v>
          </cell>
          <cell r="AO22" t="str">
            <v>P</v>
          </cell>
          <cell r="AQ22" t="str">
            <v>P</v>
          </cell>
          <cell r="AR22" t="str">
            <v>FN</v>
          </cell>
          <cell r="AS22" t="str">
            <v>P</v>
          </cell>
        </row>
        <row r="23">
          <cell r="D23">
            <v>669596576994</v>
          </cell>
          <cell r="E23" t="str">
            <v>Birendra Kumar</v>
          </cell>
          <cell r="F23" t="str">
            <v>Supervisor</v>
          </cell>
          <cell r="G23" t="str">
            <v>EPCM  NAVIN</v>
          </cell>
          <cell r="H23">
            <v>10003</v>
          </cell>
          <cell r="I23" t="str">
            <v>SP</v>
          </cell>
          <cell r="K23" t="str">
            <v>P</v>
          </cell>
          <cell r="M23" t="str">
            <v>P</v>
          </cell>
          <cell r="O23" t="str">
            <v>P</v>
          </cell>
          <cell r="Q23" t="str">
            <v>P</v>
          </cell>
          <cell r="S23" t="str">
            <v>P</v>
          </cell>
          <cell r="U23" t="str">
            <v>P</v>
          </cell>
          <cell r="W23" t="str">
            <v>SP</v>
          </cell>
          <cell r="Y23" t="str">
            <v>P</v>
          </cell>
          <cell r="AA23" t="str">
            <v>P</v>
          </cell>
          <cell r="AC23" t="str">
            <v>P</v>
          </cell>
          <cell r="AE23" t="str">
            <v>P</v>
          </cell>
          <cell r="AG23" t="str">
            <v>P</v>
          </cell>
          <cell r="AI23" t="str">
            <v>P</v>
          </cell>
          <cell r="AK23" t="str">
            <v>SP</v>
          </cell>
          <cell r="AM23" t="str">
            <v>P</v>
          </cell>
          <cell r="AO23" t="str">
            <v>P</v>
          </cell>
          <cell r="AQ23" t="str">
            <v>P</v>
          </cell>
          <cell r="AS23" t="str">
            <v>P</v>
          </cell>
        </row>
        <row r="24">
          <cell r="D24">
            <v>555165455144</v>
          </cell>
          <cell r="E24" t="str">
            <v>Deepak Singh</v>
          </cell>
          <cell r="F24" t="str">
            <v>Supervisor</v>
          </cell>
          <cell r="G24" t="str">
            <v>EPCM  NAVIN</v>
          </cell>
          <cell r="H24">
            <v>10003</v>
          </cell>
          <cell r="I24" t="str">
            <v>O</v>
          </cell>
          <cell r="K24" t="str">
            <v>A</v>
          </cell>
          <cell r="M24" t="str">
            <v>A</v>
          </cell>
          <cell r="O24" t="str">
            <v>A</v>
          </cell>
          <cell r="Q24" t="str">
            <v>A</v>
          </cell>
          <cell r="S24" t="str">
            <v>A</v>
          </cell>
          <cell r="U24" t="str">
            <v>A</v>
          </cell>
          <cell r="W24" t="str">
            <v>O</v>
          </cell>
          <cell r="Y24" t="str">
            <v>A</v>
          </cell>
          <cell r="AA24" t="str">
            <v>A</v>
          </cell>
          <cell r="AC24" t="str">
            <v>A</v>
          </cell>
          <cell r="AE24" t="str">
            <v>A</v>
          </cell>
          <cell r="AG24" t="str">
            <v>A</v>
          </cell>
          <cell r="AI24" t="str">
            <v>A</v>
          </cell>
          <cell r="AK24" t="str">
            <v>O</v>
          </cell>
          <cell r="AM24" t="str">
            <v>A</v>
          </cell>
          <cell r="AO24" t="str">
            <v>A</v>
          </cell>
          <cell r="AQ24" t="str">
            <v>A</v>
          </cell>
          <cell r="AS24" t="str">
            <v>A</v>
          </cell>
        </row>
        <row r="25">
          <cell r="D25">
            <v>965320008114</v>
          </cell>
          <cell r="E25" t="str">
            <v>Iliyas Ansari</v>
          </cell>
          <cell r="F25" t="str">
            <v>Supervisor</v>
          </cell>
          <cell r="G25" t="str">
            <v>LINDE NETHA.BLUSE H2</v>
          </cell>
          <cell r="H25">
            <v>10009</v>
          </cell>
          <cell r="I25" t="str">
            <v>SP</v>
          </cell>
          <cell r="K25" t="str">
            <v>P</v>
          </cell>
          <cell r="M25" t="str">
            <v>P</v>
          </cell>
          <cell r="O25" t="str">
            <v>P</v>
          </cell>
          <cell r="Q25" t="str">
            <v>P</v>
          </cell>
          <cell r="S25" t="str">
            <v>P</v>
          </cell>
          <cell r="U25" t="str">
            <v>P</v>
          </cell>
          <cell r="W25" t="str">
            <v>SP</v>
          </cell>
          <cell r="Y25" t="str">
            <v>P</v>
          </cell>
          <cell r="AA25" t="str">
            <v>P</v>
          </cell>
          <cell r="AC25" t="str">
            <v>P</v>
          </cell>
          <cell r="AE25" t="str">
            <v>P</v>
          </cell>
          <cell r="AG25" t="str">
            <v>P</v>
          </cell>
          <cell r="AI25" t="str">
            <v>P</v>
          </cell>
          <cell r="AK25" t="str">
            <v>SP</v>
          </cell>
          <cell r="AM25" t="str">
            <v>P</v>
          </cell>
          <cell r="AO25" t="str">
            <v>P</v>
          </cell>
          <cell r="AQ25" t="str">
            <v>P</v>
          </cell>
          <cell r="AS25" t="str">
            <v>P</v>
          </cell>
        </row>
        <row r="26">
          <cell r="D26">
            <v>663955584797</v>
          </cell>
          <cell r="E26" t="str">
            <v>Chintankumar Kuwarbhai Chaudhary</v>
          </cell>
          <cell r="F26" t="str">
            <v>Supervisor</v>
          </cell>
          <cell r="G26" t="str">
            <v>EPCM  NAVIN</v>
          </cell>
          <cell r="H26">
            <v>10003</v>
          </cell>
          <cell r="I26" t="str">
            <v>O</v>
          </cell>
          <cell r="K26" t="str">
            <v>A</v>
          </cell>
          <cell r="M26" t="str">
            <v>A</v>
          </cell>
          <cell r="O26" t="str">
            <v>A</v>
          </cell>
          <cell r="Q26" t="str">
            <v>A</v>
          </cell>
          <cell r="S26" t="str">
            <v>A</v>
          </cell>
          <cell r="U26" t="str">
            <v>A</v>
          </cell>
          <cell r="W26" t="str">
            <v>O</v>
          </cell>
          <cell r="Y26" t="str">
            <v>A</v>
          </cell>
          <cell r="AA26" t="str">
            <v>A</v>
          </cell>
          <cell r="AC26" t="str">
            <v>P</v>
          </cell>
          <cell r="AE26" t="str">
            <v>P</v>
          </cell>
          <cell r="AG26" t="str">
            <v>P</v>
          </cell>
          <cell r="AI26" t="str">
            <v>P</v>
          </cell>
          <cell r="AK26" t="str">
            <v>O</v>
          </cell>
          <cell r="AM26" t="str">
            <v>P</v>
          </cell>
          <cell r="AO26" t="str">
            <v>P</v>
          </cell>
          <cell r="AQ26" t="str">
            <v>P</v>
          </cell>
          <cell r="AS26" t="str">
            <v>P</v>
          </cell>
        </row>
        <row r="27">
          <cell r="D27">
            <v>793722972426</v>
          </cell>
          <cell r="E27" t="str">
            <v>Sonoo Thakur</v>
          </cell>
          <cell r="F27" t="str">
            <v>QA/QC Engineer</v>
          </cell>
          <cell r="G27" t="str">
            <v>EPCM  NAVIN</v>
          </cell>
          <cell r="H27">
            <v>10003</v>
          </cell>
          <cell r="I27" t="str">
            <v>O</v>
          </cell>
          <cell r="K27" t="str">
            <v>P</v>
          </cell>
          <cell r="M27" t="str">
            <v>P</v>
          </cell>
          <cell r="O27" t="str">
            <v>P</v>
          </cell>
          <cell r="Q27" t="str">
            <v>P</v>
          </cell>
          <cell r="S27" t="str">
            <v>P</v>
          </cell>
          <cell r="U27" t="str">
            <v>P</v>
          </cell>
          <cell r="W27" t="str">
            <v>O</v>
          </cell>
          <cell r="Y27" t="str">
            <v>P</v>
          </cell>
          <cell r="AA27" t="str">
            <v>P</v>
          </cell>
          <cell r="AC27" t="str">
            <v>P</v>
          </cell>
          <cell r="AE27" t="str">
            <v>P</v>
          </cell>
          <cell r="AG27" t="str">
            <v>P</v>
          </cell>
          <cell r="AI27" t="str">
            <v>P</v>
          </cell>
          <cell r="AK27" t="str">
            <v>O</v>
          </cell>
          <cell r="AM27" t="str">
            <v>P</v>
          </cell>
          <cell r="AO27" t="str">
            <v>P</v>
          </cell>
          <cell r="AQ27" t="str">
            <v>A</v>
          </cell>
          <cell r="AS27" t="str">
            <v>A</v>
          </cell>
        </row>
        <row r="28">
          <cell r="D28">
            <v>526130942284</v>
          </cell>
          <cell r="E28" t="str">
            <v>Sachin Kumar</v>
          </cell>
          <cell r="F28" t="str">
            <v>Traner Engineer</v>
          </cell>
          <cell r="G28" t="str">
            <v>PI MPP -12 H PLANT</v>
          </cell>
          <cell r="H28">
            <v>10002</v>
          </cell>
          <cell r="I28" t="str">
            <v>SP</v>
          </cell>
          <cell r="K28" t="str">
            <v>P</v>
          </cell>
          <cell r="M28" t="str">
            <v>P</v>
          </cell>
          <cell r="O28" t="str">
            <v>P</v>
          </cell>
          <cell r="Q28" t="str">
            <v>P</v>
          </cell>
          <cell r="S28" t="str">
            <v>P</v>
          </cell>
          <cell r="U28" t="str">
            <v>P</v>
          </cell>
          <cell r="W28" t="str">
            <v>SP</v>
          </cell>
          <cell r="Y28" t="str">
            <v>P</v>
          </cell>
          <cell r="AA28" t="str">
            <v>P</v>
          </cell>
          <cell r="AC28" t="str">
            <v>P</v>
          </cell>
          <cell r="AE28" t="str">
            <v>P</v>
          </cell>
          <cell r="AG28" t="str">
            <v>P</v>
          </cell>
          <cell r="AI28" t="str">
            <v>P</v>
          </cell>
          <cell r="AK28" t="str">
            <v>O</v>
          </cell>
          <cell r="AM28" t="str">
            <v>P</v>
          </cell>
          <cell r="AO28" t="str">
            <v>P</v>
          </cell>
          <cell r="AQ28" t="str">
            <v>P</v>
          </cell>
          <cell r="AS28" t="str">
            <v>P</v>
          </cell>
        </row>
        <row r="29">
          <cell r="D29">
            <v>464456275468</v>
          </cell>
          <cell r="E29" t="str">
            <v>Ankit Kumar</v>
          </cell>
          <cell r="F29" t="str">
            <v>Traner Engineer</v>
          </cell>
          <cell r="G29" t="str">
            <v>EPCM  NAVIN</v>
          </cell>
          <cell r="H29">
            <v>10003</v>
          </cell>
          <cell r="I29" t="str">
            <v>SP</v>
          </cell>
          <cell r="K29" t="str">
            <v>P</v>
          </cell>
          <cell r="M29" t="str">
            <v>A</v>
          </cell>
          <cell r="O29" t="str">
            <v>P</v>
          </cell>
          <cell r="Q29" t="str">
            <v>A</v>
          </cell>
          <cell r="S29" t="str">
            <v>A</v>
          </cell>
          <cell r="U29" t="str">
            <v>A</v>
          </cell>
          <cell r="W29" t="str">
            <v>O</v>
          </cell>
          <cell r="Y29" t="str">
            <v>P</v>
          </cell>
          <cell r="AA29" t="str">
            <v>P</v>
          </cell>
          <cell r="AC29" t="str">
            <v>P</v>
          </cell>
          <cell r="AE29" t="str">
            <v>P</v>
          </cell>
          <cell r="AG29" t="str">
            <v>P</v>
          </cell>
          <cell r="AI29" t="str">
            <v>P</v>
          </cell>
          <cell r="AK29" t="str">
            <v>O</v>
          </cell>
          <cell r="AM29" t="str">
            <v>P</v>
          </cell>
          <cell r="AO29" t="str">
            <v>P</v>
          </cell>
          <cell r="AQ29" t="str">
            <v>P</v>
          </cell>
          <cell r="AS29" t="str">
            <v>P</v>
          </cell>
        </row>
        <row r="30">
          <cell r="D30">
            <v>383547400592</v>
          </cell>
          <cell r="E30" t="str">
            <v>Abhimanyu Kushwaha</v>
          </cell>
          <cell r="F30" t="str">
            <v>Store Keeper</v>
          </cell>
          <cell r="G30" t="str">
            <v>EPCM  NAVIN</v>
          </cell>
          <cell r="H30">
            <v>10003</v>
          </cell>
          <cell r="I30" t="str">
            <v>SP</v>
          </cell>
          <cell r="K30" t="str">
            <v>P</v>
          </cell>
          <cell r="M30" t="str">
            <v>P</v>
          </cell>
          <cell r="O30" t="str">
            <v>P</v>
          </cell>
          <cell r="Q30" t="str">
            <v>P</v>
          </cell>
          <cell r="S30" t="str">
            <v>P</v>
          </cell>
          <cell r="U30" t="str">
            <v>P</v>
          </cell>
          <cell r="W30" t="str">
            <v>SP</v>
          </cell>
          <cell r="Y30" t="str">
            <v>P</v>
          </cell>
          <cell r="AA30" t="str">
            <v>P</v>
          </cell>
          <cell r="AC30" t="str">
            <v>P</v>
          </cell>
          <cell r="AE30" t="str">
            <v>P</v>
          </cell>
          <cell r="AG30" t="str">
            <v>A</v>
          </cell>
          <cell r="AI30" t="str">
            <v>P</v>
          </cell>
          <cell r="AK30" t="str">
            <v>O</v>
          </cell>
          <cell r="AM30" t="str">
            <v>P</v>
          </cell>
          <cell r="AO30" t="str">
            <v>P</v>
          </cell>
          <cell r="AQ30" t="str">
            <v>P</v>
          </cell>
          <cell r="AS30" t="str">
            <v>P</v>
          </cell>
        </row>
        <row r="31">
          <cell r="D31">
            <v>370453697681</v>
          </cell>
          <cell r="E31" t="str">
            <v>Vivek Kumar Thakur</v>
          </cell>
          <cell r="F31" t="str">
            <v>Store Supervisor</v>
          </cell>
          <cell r="G31" t="str">
            <v>EPCM  NAVIN</v>
          </cell>
          <cell r="H31">
            <v>10003</v>
          </cell>
          <cell r="I31" t="str">
            <v>O</v>
          </cell>
          <cell r="K31" t="str">
            <v>P</v>
          </cell>
          <cell r="M31" t="str">
            <v>P</v>
          </cell>
          <cell r="O31" t="str">
            <v>P</v>
          </cell>
          <cell r="Q31" t="str">
            <v>P</v>
          </cell>
          <cell r="S31" t="str">
            <v>P</v>
          </cell>
          <cell r="U31" t="str">
            <v>P</v>
          </cell>
          <cell r="W31" t="str">
            <v>SP</v>
          </cell>
          <cell r="Y31" t="str">
            <v>P</v>
          </cell>
          <cell r="AA31" t="str">
            <v>P</v>
          </cell>
          <cell r="AC31" t="str">
            <v>P</v>
          </cell>
          <cell r="AE31" t="str">
            <v>P</v>
          </cell>
          <cell r="AG31" t="str">
            <v>P</v>
          </cell>
          <cell r="AI31" t="str">
            <v>P</v>
          </cell>
          <cell r="AK31" t="str">
            <v>O</v>
          </cell>
          <cell r="AM31" t="str">
            <v>P</v>
          </cell>
          <cell r="AO31" t="str">
            <v>P</v>
          </cell>
          <cell r="AQ31">
            <v>0</v>
          </cell>
          <cell r="AS31" t="str">
            <v>o</v>
          </cell>
        </row>
        <row r="32">
          <cell r="D32">
            <v>582992393804</v>
          </cell>
          <cell r="E32" t="str">
            <v>Sanjay</v>
          </cell>
          <cell r="F32" t="str">
            <v>Supervisor</v>
          </cell>
          <cell r="G32" t="str">
            <v>EPCM  NAVIN</v>
          </cell>
          <cell r="H32">
            <v>10003</v>
          </cell>
          <cell r="I32" t="str">
            <v>SP</v>
          </cell>
          <cell r="K32" t="str">
            <v>P</v>
          </cell>
          <cell r="M32" t="str">
            <v>P</v>
          </cell>
          <cell r="O32" t="str">
            <v>P</v>
          </cell>
          <cell r="Q32" t="str">
            <v>P</v>
          </cell>
          <cell r="S32" t="str">
            <v>P</v>
          </cell>
          <cell r="U32" t="str">
            <v>P</v>
          </cell>
          <cell r="W32" t="str">
            <v>O</v>
          </cell>
          <cell r="Y32" t="str">
            <v>P</v>
          </cell>
          <cell r="AA32" t="str">
            <v>P</v>
          </cell>
          <cell r="AC32" t="str">
            <v>P</v>
          </cell>
          <cell r="AE32" t="str">
            <v>P</v>
          </cell>
          <cell r="AG32" t="str">
            <v>P</v>
          </cell>
          <cell r="AI32" t="str">
            <v>P</v>
          </cell>
          <cell r="AK32" t="str">
            <v>O</v>
          </cell>
          <cell r="AM32" t="str">
            <v>P</v>
          </cell>
          <cell r="AO32" t="str">
            <v>P</v>
          </cell>
          <cell r="AQ32" t="str">
            <v>P</v>
          </cell>
          <cell r="AS32" t="str">
            <v>P</v>
          </cell>
        </row>
        <row r="33">
          <cell r="D33">
            <v>847670112857</v>
          </cell>
          <cell r="E33" t="str">
            <v>Deepak Kumar Singh</v>
          </cell>
          <cell r="F33" t="str">
            <v>Safety Supervisor</v>
          </cell>
          <cell r="G33" t="str">
            <v>EPCM  NAVIN</v>
          </cell>
          <cell r="H33">
            <v>10003</v>
          </cell>
          <cell r="I33" t="str">
            <v>SP</v>
          </cell>
          <cell r="K33" t="str">
            <v>P</v>
          </cell>
          <cell r="M33" t="str">
            <v>P</v>
          </cell>
          <cell r="O33" t="str">
            <v>P</v>
          </cell>
          <cell r="Q33" t="str">
            <v>P</v>
          </cell>
          <cell r="S33" t="str">
            <v>P</v>
          </cell>
          <cell r="U33" t="str">
            <v>P</v>
          </cell>
          <cell r="W33" t="str">
            <v>SP</v>
          </cell>
          <cell r="Y33" t="str">
            <v>P</v>
          </cell>
          <cell r="AA33" t="str">
            <v>P</v>
          </cell>
          <cell r="AC33" t="str">
            <v>P</v>
          </cell>
          <cell r="AE33" t="str">
            <v>P</v>
          </cell>
          <cell r="AG33" t="str">
            <v>P</v>
          </cell>
          <cell r="AI33" t="str">
            <v>P</v>
          </cell>
          <cell r="AK33" t="str">
            <v>O</v>
          </cell>
          <cell r="AM33" t="str">
            <v>P</v>
          </cell>
          <cell r="AO33" t="str">
            <v>P</v>
          </cell>
          <cell r="AQ33" t="str">
            <v>P</v>
          </cell>
          <cell r="AS33" t="str">
            <v>P</v>
          </cell>
        </row>
        <row r="34">
          <cell r="D34">
            <v>300811552517</v>
          </cell>
          <cell r="E34" t="str">
            <v>Sher Bahadur Singh</v>
          </cell>
          <cell r="F34" t="str">
            <v>QA/QC Engineer</v>
          </cell>
          <cell r="G34" t="str">
            <v>LINDE NETHA.BLUSE H2</v>
          </cell>
          <cell r="H34">
            <v>10009</v>
          </cell>
          <cell r="I34" t="str">
            <v>SP</v>
          </cell>
          <cell r="K34" t="str">
            <v>P</v>
          </cell>
          <cell r="L34" t="str">
            <v>FN</v>
          </cell>
          <cell r="M34" t="str">
            <v>P</v>
          </cell>
          <cell r="N34" t="str">
            <v>FN</v>
          </cell>
          <cell r="O34" t="str">
            <v>P</v>
          </cell>
          <cell r="Q34" t="str">
            <v>P</v>
          </cell>
          <cell r="S34" t="str">
            <v>P</v>
          </cell>
          <cell r="T34" t="str">
            <v>FN</v>
          </cell>
          <cell r="U34" t="str">
            <v>P</v>
          </cell>
          <cell r="V34" t="str">
            <v>FN</v>
          </cell>
          <cell r="W34" t="str">
            <v>SP</v>
          </cell>
          <cell r="Y34" t="str">
            <v>P</v>
          </cell>
          <cell r="Z34" t="str">
            <v>FN</v>
          </cell>
          <cell r="AA34" t="str">
            <v>P</v>
          </cell>
          <cell r="AC34" t="str">
            <v>P</v>
          </cell>
          <cell r="AE34" t="str">
            <v>P</v>
          </cell>
          <cell r="AG34" t="str">
            <v>P</v>
          </cell>
          <cell r="AI34" t="str">
            <v>P</v>
          </cell>
          <cell r="AK34" t="str">
            <v>O</v>
          </cell>
          <cell r="AM34" t="str">
            <v>P</v>
          </cell>
          <cell r="AN34" t="str">
            <v>FN</v>
          </cell>
          <cell r="AO34" t="str">
            <v>P</v>
          </cell>
          <cell r="AP34" t="str">
            <v>FN</v>
          </cell>
          <cell r="AQ34" t="str">
            <v>P</v>
          </cell>
          <cell r="AR34" t="str">
            <v>FN</v>
          </cell>
          <cell r="AS34" t="str">
            <v>P</v>
          </cell>
          <cell r="AT34" t="str">
            <v>FN</v>
          </cell>
        </row>
        <row r="35">
          <cell r="D35">
            <v>411837463322</v>
          </cell>
          <cell r="E35" t="str">
            <v>Nitish Kumar</v>
          </cell>
          <cell r="F35" t="str">
            <v>Supervisor</v>
          </cell>
          <cell r="G35" t="str">
            <v>LINDE NETHA.BLUSE H2</v>
          </cell>
          <cell r="H35">
            <v>10009</v>
          </cell>
          <cell r="I35" t="str">
            <v>SP</v>
          </cell>
          <cell r="K35" t="str">
            <v>P</v>
          </cell>
          <cell r="M35" t="str">
            <v>P</v>
          </cell>
          <cell r="N35" t="str">
            <v>FN</v>
          </cell>
          <cell r="O35" t="str">
            <v>P</v>
          </cell>
          <cell r="Q35" t="str">
            <v>P</v>
          </cell>
          <cell r="S35" t="str">
            <v>P</v>
          </cell>
          <cell r="U35" t="str">
            <v>P</v>
          </cell>
          <cell r="W35" t="str">
            <v>SP</v>
          </cell>
          <cell r="Y35" t="str">
            <v>P</v>
          </cell>
          <cell r="AA35" t="str">
            <v>P</v>
          </cell>
          <cell r="AC35" t="str">
            <v>P</v>
          </cell>
          <cell r="AE35" t="str">
            <v>P</v>
          </cell>
          <cell r="AG35" t="str">
            <v>P</v>
          </cell>
          <cell r="AI35" t="str">
            <v>P</v>
          </cell>
          <cell r="AK35" t="str">
            <v>O</v>
          </cell>
          <cell r="AM35" t="str">
            <v>P</v>
          </cell>
          <cell r="AO35" t="str">
            <v>P</v>
          </cell>
          <cell r="AQ35" t="str">
            <v>P</v>
          </cell>
          <cell r="AR35" t="str">
            <v>FN</v>
          </cell>
          <cell r="AS35" t="str">
            <v>P</v>
          </cell>
          <cell r="AT35" t="str">
            <v>FN</v>
          </cell>
        </row>
        <row r="36">
          <cell r="D36">
            <v>253143978131</v>
          </cell>
          <cell r="E36" t="str">
            <v>Hardik Prajapati</v>
          </cell>
          <cell r="F36" t="str">
            <v>QA/QC Engineer</v>
          </cell>
          <cell r="G36" t="str">
            <v>PI MPP -12 H PLANT</v>
          </cell>
          <cell r="H36">
            <v>10002</v>
          </cell>
          <cell r="I36" t="str">
            <v>O</v>
          </cell>
          <cell r="K36" t="str">
            <v>P</v>
          </cell>
          <cell r="M36" t="str">
            <v>P</v>
          </cell>
          <cell r="O36" t="str">
            <v>P</v>
          </cell>
          <cell r="Q36" t="str">
            <v>P</v>
          </cell>
          <cell r="S36" t="str">
            <v>CL</v>
          </cell>
          <cell r="U36" t="str">
            <v>CL</v>
          </cell>
          <cell r="W36" t="str">
            <v>O</v>
          </cell>
          <cell r="Y36" t="str">
            <v>CL</v>
          </cell>
          <cell r="AA36" t="str">
            <v>P</v>
          </cell>
          <cell r="AC36" t="str">
            <v>P</v>
          </cell>
          <cell r="AE36" t="str">
            <v>P</v>
          </cell>
          <cell r="AG36" t="str">
            <v>P</v>
          </cell>
          <cell r="AI36" t="str">
            <v>P</v>
          </cell>
          <cell r="AK36" t="str">
            <v>O</v>
          </cell>
          <cell r="AM36" t="str">
            <v>P</v>
          </cell>
          <cell r="AO36" t="str">
            <v>P</v>
          </cell>
          <cell r="AQ36" t="str">
            <v>P</v>
          </cell>
          <cell r="AS36" t="str">
            <v>P</v>
          </cell>
        </row>
        <row r="37">
          <cell r="D37">
            <v>646333786960</v>
          </cell>
          <cell r="E37" t="str">
            <v>Saroj Singh</v>
          </cell>
          <cell r="F37" t="str">
            <v>Material Supervisor</v>
          </cell>
          <cell r="G37" t="str">
            <v>EPCM  NAVIN</v>
          </cell>
          <cell r="H37">
            <v>10003</v>
          </cell>
          <cell r="I37" t="str">
            <v>O</v>
          </cell>
          <cell r="K37" t="str">
            <v>P</v>
          </cell>
          <cell r="M37" t="str">
            <v>P</v>
          </cell>
          <cell r="O37" t="str">
            <v>P</v>
          </cell>
          <cell r="Q37" t="str">
            <v>P</v>
          </cell>
          <cell r="S37" t="str">
            <v>P</v>
          </cell>
          <cell r="U37" t="str">
            <v>P</v>
          </cell>
          <cell r="W37" t="str">
            <v>O</v>
          </cell>
          <cell r="Y37" t="str">
            <v>P</v>
          </cell>
          <cell r="AA37" t="str">
            <v>P</v>
          </cell>
          <cell r="AC37" t="str">
            <v>P</v>
          </cell>
          <cell r="AE37" t="str">
            <v>P</v>
          </cell>
          <cell r="AG37" t="str">
            <v>P</v>
          </cell>
          <cell r="AI37" t="str">
            <v>P</v>
          </cell>
          <cell r="AK37" t="str">
            <v>O</v>
          </cell>
          <cell r="AM37" t="str">
            <v>P</v>
          </cell>
          <cell r="AO37" t="str">
            <v>P</v>
          </cell>
          <cell r="AQ37" t="str">
            <v>P</v>
          </cell>
          <cell r="AS37" t="str">
            <v>P</v>
          </cell>
        </row>
        <row r="38">
          <cell r="D38">
            <v>623216630426</v>
          </cell>
          <cell r="E38" t="str">
            <v>Govind Kumar</v>
          </cell>
          <cell r="F38" t="str">
            <v>Planning Engg.</v>
          </cell>
          <cell r="G38" t="str">
            <v>LINDE NETHA.BLUSE H2</v>
          </cell>
          <cell r="H38">
            <v>10009</v>
          </cell>
          <cell r="I38" t="str">
            <v>SP</v>
          </cell>
          <cell r="K38" t="str">
            <v>P</v>
          </cell>
          <cell r="M38" t="str">
            <v>P</v>
          </cell>
          <cell r="O38" t="str">
            <v>P</v>
          </cell>
          <cell r="Q38" t="str">
            <v>P</v>
          </cell>
          <cell r="S38" t="str">
            <v>P</v>
          </cell>
          <cell r="U38" t="str">
            <v>P</v>
          </cell>
          <cell r="W38" t="str">
            <v>SP</v>
          </cell>
          <cell r="Y38" t="str">
            <v>P</v>
          </cell>
          <cell r="AA38" t="str">
            <v>P</v>
          </cell>
          <cell r="AC38" t="str">
            <v>P</v>
          </cell>
          <cell r="AE38" t="str">
            <v>P</v>
          </cell>
          <cell r="AG38" t="str">
            <v>P</v>
          </cell>
          <cell r="AI38" t="str">
            <v>P</v>
          </cell>
          <cell r="AK38" t="str">
            <v>O</v>
          </cell>
          <cell r="AM38" t="str">
            <v>P</v>
          </cell>
          <cell r="AN38" t="str">
            <v>FN</v>
          </cell>
          <cell r="AO38" t="str">
            <v>P</v>
          </cell>
          <cell r="AP38" t="str">
            <v>FN</v>
          </cell>
          <cell r="AQ38" t="str">
            <v>P</v>
          </cell>
          <cell r="AS38" t="str">
            <v>P</v>
          </cell>
        </row>
        <row r="39">
          <cell r="D39">
            <v>863963221271</v>
          </cell>
          <cell r="E39" t="str">
            <v>Sonu Kumar Singh</v>
          </cell>
          <cell r="F39" t="str">
            <v>Supervisor</v>
          </cell>
          <cell r="G39" t="str">
            <v>EPCM  NAVIN</v>
          </cell>
          <cell r="H39">
            <v>10003</v>
          </cell>
          <cell r="I39" t="str">
            <v>SP</v>
          </cell>
          <cell r="K39" t="str">
            <v>P</v>
          </cell>
          <cell r="M39" t="str">
            <v>P</v>
          </cell>
          <cell r="O39" t="str">
            <v>P</v>
          </cell>
          <cell r="Q39" t="str">
            <v>P</v>
          </cell>
          <cell r="S39" t="str">
            <v>P</v>
          </cell>
          <cell r="U39" t="str">
            <v>P</v>
          </cell>
          <cell r="W39" t="str">
            <v>SP</v>
          </cell>
          <cell r="Y39" t="str">
            <v>P</v>
          </cell>
          <cell r="AA39" t="str">
            <v>P</v>
          </cell>
          <cell r="AC39" t="str">
            <v>P</v>
          </cell>
          <cell r="AE39" t="str">
            <v>P</v>
          </cell>
          <cell r="AG39" t="str">
            <v>P</v>
          </cell>
          <cell r="AI39" t="str">
            <v>P</v>
          </cell>
          <cell r="AK39" t="str">
            <v>O</v>
          </cell>
          <cell r="AM39" t="str">
            <v>P</v>
          </cell>
          <cell r="AO39" t="str">
            <v>P</v>
          </cell>
          <cell r="AQ39" t="str">
            <v>P</v>
          </cell>
          <cell r="AS39" t="str">
            <v>P</v>
          </cell>
        </row>
        <row r="40">
          <cell r="D40">
            <v>639103711247</v>
          </cell>
          <cell r="E40" t="str">
            <v>Deepak Kumar Singh</v>
          </cell>
          <cell r="F40" t="str">
            <v>Supervisor</v>
          </cell>
          <cell r="G40" t="str">
            <v>LINDE NETHA.BLUSE H2</v>
          </cell>
          <cell r="H40">
            <v>10009</v>
          </cell>
          <cell r="I40" t="str">
            <v>SP</v>
          </cell>
          <cell r="K40" t="str">
            <v>P</v>
          </cell>
          <cell r="M40" t="str">
            <v>P</v>
          </cell>
          <cell r="O40" t="str">
            <v>P</v>
          </cell>
          <cell r="Q40" t="str">
            <v>P</v>
          </cell>
          <cell r="S40" t="str">
            <v>P</v>
          </cell>
          <cell r="T40" t="str">
            <v>FN</v>
          </cell>
          <cell r="U40" t="str">
            <v>P</v>
          </cell>
          <cell r="V40" t="str">
            <v>FN</v>
          </cell>
          <cell r="W40" t="str">
            <v>SP</v>
          </cell>
          <cell r="Y40" t="str">
            <v>P</v>
          </cell>
          <cell r="AA40" t="str">
            <v>P</v>
          </cell>
          <cell r="AC40" t="str">
            <v>P</v>
          </cell>
          <cell r="AE40" t="str">
            <v>P</v>
          </cell>
          <cell r="AG40" t="str">
            <v>P</v>
          </cell>
          <cell r="AI40" t="str">
            <v>P</v>
          </cell>
          <cell r="AK40" t="str">
            <v>O</v>
          </cell>
          <cell r="AM40" t="str">
            <v>P</v>
          </cell>
          <cell r="AO40" t="str">
            <v>P</v>
          </cell>
          <cell r="AQ40" t="str">
            <v>P</v>
          </cell>
          <cell r="AS40" t="str">
            <v>P</v>
          </cell>
        </row>
        <row r="41">
          <cell r="D41">
            <v>734417607980</v>
          </cell>
          <cell r="E41" t="str">
            <v>Sunil Kumar</v>
          </cell>
          <cell r="F41" t="str">
            <v>Traner Engineer</v>
          </cell>
          <cell r="G41" t="str">
            <v>PI MPP -12 H PLANT</v>
          </cell>
          <cell r="H41">
            <v>10002</v>
          </cell>
          <cell r="I41" t="str">
            <v>SP</v>
          </cell>
          <cell r="K41" t="str">
            <v>P</v>
          </cell>
          <cell r="M41" t="str">
            <v>P</v>
          </cell>
          <cell r="O41" t="str">
            <v>P</v>
          </cell>
          <cell r="Q41" t="str">
            <v>P</v>
          </cell>
          <cell r="S41" t="str">
            <v>P</v>
          </cell>
          <cell r="U41" t="str">
            <v>P</v>
          </cell>
          <cell r="W41" t="str">
            <v>O</v>
          </cell>
          <cell r="Y41" t="str">
            <v>P</v>
          </cell>
          <cell r="AA41" t="str">
            <v>P</v>
          </cell>
          <cell r="AC41" t="str">
            <v>P</v>
          </cell>
          <cell r="AE41" t="str">
            <v>P</v>
          </cell>
          <cell r="AG41" t="str">
            <v>P</v>
          </cell>
          <cell r="AH41" t="str">
            <v>FN</v>
          </cell>
          <cell r="AI41" t="str">
            <v>P</v>
          </cell>
          <cell r="AK41" t="str">
            <v>O</v>
          </cell>
          <cell r="AM41" t="str">
            <v>P</v>
          </cell>
          <cell r="AO41" t="str">
            <v>P</v>
          </cell>
          <cell r="AQ41" t="str">
            <v>P</v>
          </cell>
          <cell r="AS41" t="str">
            <v>P</v>
          </cell>
        </row>
        <row r="42">
          <cell r="D42">
            <v>598478402402</v>
          </cell>
          <cell r="E42" t="str">
            <v>Subhash Kumar</v>
          </cell>
          <cell r="F42" t="str">
            <v>QA/QC Engineer</v>
          </cell>
          <cell r="G42" t="str">
            <v>TATA LINE KILN</v>
          </cell>
          <cell r="H42">
            <v>10008</v>
          </cell>
          <cell r="I42" t="str">
            <v>SP</v>
          </cell>
          <cell r="K42" t="str">
            <v>P</v>
          </cell>
          <cell r="L42" t="str">
            <v>FN</v>
          </cell>
          <cell r="M42" t="str">
            <v>P</v>
          </cell>
          <cell r="O42" t="str">
            <v>P</v>
          </cell>
          <cell r="Q42" t="str">
            <v>P</v>
          </cell>
          <cell r="S42" t="str">
            <v>P</v>
          </cell>
          <cell r="U42" t="str">
            <v>P</v>
          </cell>
          <cell r="W42" t="str">
            <v>O</v>
          </cell>
          <cell r="Y42" t="str">
            <v>P</v>
          </cell>
          <cell r="AA42" t="str">
            <v>P</v>
          </cell>
          <cell r="AC42" t="str">
            <v>P</v>
          </cell>
          <cell r="AE42" t="str">
            <v>P</v>
          </cell>
          <cell r="AG42" t="str">
            <v>P</v>
          </cell>
          <cell r="AI42" t="str">
            <v>P</v>
          </cell>
          <cell r="AK42" t="str">
            <v>O</v>
          </cell>
          <cell r="AM42" t="str">
            <v>P</v>
          </cell>
          <cell r="AN42" t="str">
            <v>FN</v>
          </cell>
          <cell r="AO42" t="str">
            <v>P</v>
          </cell>
          <cell r="AQ42" t="str">
            <v>P</v>
          </cell>
          <cell r="AS42" t="str">
            <v>P</v>
          </cell>
        </row>
        <row r="43">
          <cell r="D43">
            <v>286081476647</v>
          </cell>
          <cell r="E43" t="str">
            <v>Karan Kumar Mandal</v>
          </cell>
          <cell r="F43" t="str">
            <v>Store Asst.</v>
          </cell>
          <cell r="G43" t="str">
            <v>LINDE NETHA.BLUSE H2</v>
          </cell>
          <cell r="H43">
            <v>10009</v>
          </cell>
          <cell r="I43" t="str">
            <v>SP</v>
          </cell>
          <cell r="K43" t="str">
            <v>P</v>
          </cell>
          <cell r="M43" t="str">
            <v>P</v>
          </cell>
          <cell r="O43" t="str">
            <v>P</v>
          </cell>
          <cell r="P43" t="str">
            <v>FN</v>
          </cell>
          <cell r="Q43" t="str">
            <v>P</v>
          </cell>
          <cell r="S43" t="str">
            <v>P</v>
          </cell>
          <cell r="U43" t="str">
            <v>P</v>
          </cell>
          <cell r="W43" t="str">
            <v>SP</v>
          </cell>
          <cell r="Y43" t="str">
            <v>P</v>
          </cell>
          <cell r="AA43" t="str">
            <v>P</v>
          </cell>
          <cell r="AC43" t="str">
            <v>P</v>
          </cell>
          <cell r="AE43" t="str">
            <v>P</v>
          </cell>
          <cell r="AG43" t="str">
            <v>P</v>
          </cell>
          <cell r="AI43" t="str">
            <v>P</v>
          </cell>
          <cell r="AK43" t="str">
            <v>O</v>
          </cell>
          <cell r="AM43" t="str">
            <v>P</v>
          </cell>
          <cell r="AO43" t="str">
            <v>P</v>
          </cell>
          <cell r="AQ43" t="str">
            <v>P</v>
          </cell>
          <cell r="AS43" t="str">
            <v>P</v>
          </cell>
        </row>
        <row r="44">
          <cell r="D44">
            <v>514628135608</v>
          </cell>
          <cell r="E44" t="str">
            <v>Sanjib Bit</v>
          </cell>
          <cell r="F44" t="str">
            <v>QA/QC Engineer</v>
          </cell>
          <cell r="G44" t="str">
            <v>LINDE NETHA.BLUSE H2</v>
          </cell>
          <cell r="H44">
            <v>10009</v>
          </cell>
          <cell r="O44" t="str">
            <v>P</v>
          </cell>
          <cell r="Q44" t="str">
            <v>P</v>
          </cell>
          <cell r="S44" t="str">
            <v>P</v>
          </cell>
          <cell r="U44" t="str">
            <v>P</v>
          </cell>
          <cell r="V44" t="str">
            <v>FN</v>
          </cell>
          <cell r="W44" t="str">
            <v>SP</v>
          </cell>
          <cell r="Y44" t="str">
            <v>P</v>
          </cell>
          <cell r="Z44" t="str">
            <v>FN</v>
          </cell>
          <cell r="AA44" t="str">
            <v>P</v>
          </cell>
          <cell r="AC44" t="str">
            <v>P</v>
          </cell>
          <cell r="AE44" t="str">
            <v>P</v>
          </cell>
          <cell r="AG44" t="str">
            <v>P</v>
          </cell>
          <cell r="AI44" t="str">
            <v>P</v>
          </cell>
          <cell r="AK44" t="str">
            <v>O</v>
          </cell>
          <cell r="AM44" t="str">
            <v>P</v>
          </cell>
          <cell r="AN44" t="str">
            <v>FN</v>
          </cell>
          <cell r="AO44" t="str">
            <v>P</v>
          </cell>
          <cell r="AP44" t="str">
            <v>FN</v>
          </cell>
          <cell r="AQ44" t="str">
            <v>P</v>
          </cell>
          <cell r="AR44" t="str">
            <v>FN</v>
          </cell>
          <cell r="AS44" t="str">
            <v>P</v>
          </cell>
        </row>
        <row r="45">
          <cell r="D45">
            <v>211342708077</v>
          </cell>
          <cell r="E45" t="str">
            <v>Sunil</v>
          </cell>
          <cell r="F45" t="str">
            <v>Store Keeper</v>
          </cell>
          <cell r="G45" t="str">
            <v>LINDE NETHA.BLUSE H2</v>
          </cell>
          <cell r="H45">
            <v>10009</v>
          </cell>
          <cell r="AC45" t="str">
            <v>o</v>
          </cell>
          <cell r="AG45" t="str">
            <v>P</v>
          </cell>
          <cell r="AI45" t="str">
            <v>P</v>
          </cell>
          <cell r="AK45" t="str">
            <v>O</v>
          </cell>
          <cell r="AM45" t="str">
            <v>P</v>
          </cell>
          <cell r="AO45" t="str">
            <v>P</v>
          </cell>
          <cell r="AQ45" t="str">
            <v>P</v>
          </cell>
          <cell r="AS45" t="str">
            <v>P</v>
          </cell>
        </row>
        <row r="46">
          <cell r="D46">
            <v>569379185418</v>
          </cell>
          <cell r="E46" t="str">
            <v>Nikhil Singh</v>
          </cell>
          <cell r="F46" t="str">
            <v>QA/QC Engineer</v>
          </cell>
          <cell r="G46" t="str">
            <v>PI MPP -12 H PLANT</v>
          </cell>
          <cell r="H46">
            <v>10002</v>
          </cell>
          <cell r="AC46" t="str">
            <v>o</v>
          </cell>
          <cell r="AI46" t="str">
            <v>O</v>
          </cell>
          <cell r="AM46" t="str">
            <v>o</v>
          </cell>
          <cell r="AQ46" t="str">
            <v>P</v>
          </cell>
          <cell r="AS46" t="str">
            <v>P</v>
          </cell>
        </row>
        <row r="47">
          <cell r="D47">
            <v>821131028229</v>
          </cell>
          <cell r="E47" t="str">
            <v>Rohit Singh</v>
          </cell>
          <cell r="F47" t="str">
            <v>Planning Engg.</v>
          </cell>
          <cell r="G47" t="str">
            <v>EPCM  NAVIN</v>
          </cell>
          <cell r="H47">
            <v>10003</v>
          </cell>
          <cell r="AC47" t="str">
            <v>o</v>
          </cell>
          <cell r="AI47" t="str">
            <v>O</v>
          </cell>
          <cell r="AM47" t="str">
            <v>o</v>
          </cell>
          <cell r="AQ47" t="str">
            <v>P</v>
          </cell>
          <cell r="AS47" t="str">
            <v>P</v>
          </cell>
        </row>
        <row r="48">
          <cell r="D48">
            <v>278180530971</v>
          </cell>
          <cell r="E48" t="str">
            <v>Suraj Singh</v>
          </cell>
          <cell r="F48" t="str">
            <v>QA/QC Engineer</v>
          </cell>
          <cell r="G48" t="str">
            <v>EPCM  NAVIN</v>
          </cell>
          <cell r="H48">
            <v>10003</v>
          </cell>
          <cell r="AC48" t="str">
            <v>o</v>
          </cell>
          <cell r="AI48" t="str">
            <v>O</v>
          </cell>
          <cell r="AM48" t="str">
            <v>o</v>
          </cell>
          <cell r="AQ48" t="str">
            <v>P</v>
          </cell>
          <cell r="AS48" t="str">
            <v>P</v>
          </cell>
        </row>
        <row r="49">
          <cell r="D49">
            <v>924197184416</v>
          </cell>
          <cell r="E49" t="str">
            <v>Rahul Yadav</v>
          </cell>
          <cell r="F49" t="str">
            <v>Store Keeper</v>
          </cell>
          <cell r="G49" t="str">
            <v>EPCM  NAVIN</v>
          </cell>
          <cell r="H49">
            <v>10003</v>
          </cell>
          <cell r="AC49" t="str">
            <v>o</v>
          </cell>
          <cell r="AI49" t="str">
            <v>O</v>
          </cell>
          <cell r="AM49" t="str">
            <v>o</v>
          </cell>
          <cell r="AQ49">
            <v>0</v>
          </cell>
          <cell r="AS49" t="str">
            <v>P</v>
          </cell>
        </row>
        <row r="50">
          <cell r="D50">
            <v>808389577563</v>
          </cell>
          <cell r="E50" t="str">
            <v>Saurabh Kumar Tuntun Ray</v>
          </cell>
          <cell r="F50" t="str">
            <v>Supervisor</v>
          </cell>
          <cell r="G50" t="str">
            <v>EPCM  NAVIN</v>
          </cell>
          <cell r="H50">
            <v>10003</v>
          </cell>
          <cell r="AC50" t="str">
            <v>o</v>
          </cell>
          <cell r="AI50" t="str">
            <v>O</v>
          </cell>
          <cell r="AM50" t="str">
            <v>o</v>
          </cell>
          <cell r="AQ50">
            <v>0</v>
          </cell>
          <cell r="AS50" t="str">
            <v>o</v>
          </cell>
        </row>
        <row r="51">
          <cell r="D51">
            <v>553520491656</v>
          </cell>
          <cell r="E51" t="str">
            <v>Bhim Thapa</v>
          </cell>
          <cell r="F51" t="str">
            <v>Mess Helper</v>
          </cell>
          <cell r="G51" t="str">
            <v>PI MPP -12 H PLANT</v>
          </cell>
          <cell r="H51">
            <v>10002</v>
          </cell>
          <cell r="AC51" t="str">
            <v>o</v>
          </cell>
          <cell r="AI51" t="str">
            <v>O</v>
          </cell>
          <cell r="AM51" t="str">
            <v>o</v>
          </cell>
          <cell r="AQ51">
            <v>0</v>
          </cell>
          <cell r="AS51" t="str">
            <v>o</v>
          </cell>
        </row>
        <row r="52">
          <cell r="D52">
            <v>123456789101</v>
          </cell>
          <cell r="E52" t="str">
            <v>Angid</v>
          </cell>
          <cell r="F52" t="str">
            <v>Mess Helper</v>
          </cell>
          <cell r="G52" t="str">
            <v>PI MPP -12 H PLANT</v>
          </cell>
          <cell r="H52">
            <v>10003</v>
          </cell>
          <cell r="I52" t="str">
            <v>P</v>
          </cell>
          <cell r="K52" t="str">
            <v>P</v>
          </cell>
          <cell r="M52" t="str">
            <v>P</v>
          </cell>
          <cell r="O52" t="str">
            <v>P</v>
          </cell>
          <cell r="Q52" t="str">
            <v>P</v>
          </cell>
          <cell r="S52" t="str">
            <v>P</v>
          </cell>
          <cell r="U52" t="str">
            <v>P</v>
          </cell>
          <cell r="W52" t="str">
            <v>P</v>
          </cell>
          <cell r="Y52" t="str">
            <v>P</v>
          </cell>
          <cell r="AA52" t="str">
            <v>P</v>
          </cell>
          <cell r="AC52" t="str">
            <v>P</v>
          </cell>
          <cell r="AE52" t="str">
            <v>P</v>
          </cell>
          <cell r="AG52" t="str">
            <v>P</v>
          </cell>
          <cell r="AI52" t="str">
            <v>P</v>
          </cell>
          <cell r="AK52" t="str">
            <v>P</v>
          </cell>
          <cell r="AM52" t="str">
            <v>P</v>
          </cell>
          <cell r="AO52" t="str">
            <v>P</v>
          </cell>
          <cell r="AQ52" t="str">
            <v>P</v>
          </cell>
          <cell r="AS52" t="str">
            <v>P</v>
          </cell>
        </row>
        <row r="53">
          <cell r="D53">
            <v>250592598458</v>
          </cell>
          <cell r="E53" t="str">
            <v>Avaneesh Kumar</v>
          </cell>
          <cell r="F53" t="str">
            <v>Mess Cook</v>
          </cell>
          <cell r="G53" t="str">
            <v>EPCM  NAVIN</v>
          </cell>
          <cell r="H53">
            <v>10003</v>
          </cell>
          <cell r="I53" t="str">
            <v>P</v>
          </cell>
          <cell r="K53" t="str">
            <v>P</v>
          </cell>
          <cell r="M53" t="str">
            <v>P</v>
          </cell>
          <cell r="O53" t="str">
            <v>P</v>
          </cell>
          <cell r="Q53" t="str">
            <v>P</v>
          </cell>
          <cell r="S53" t="str">
            <v>P</v>
          </cell>
          <cell r="U53" t="str">
            <v>P</v>
          </cell>
          <cell r="W53" t="str">
            <v>P</v>
          </cell>
          <cell r="Y53" t="str">
            <v>P</v>
          </cell>
          <cell r="AA53" t="str">
            <v>P</v>
          </cell>
          <cell r="AC53" t="str">
            <v>P</v>
          </cell>
          <cell r="AE53" t="str">
            <v>P</v>
          </cell>
          <cell r="AG53" t="str">
            <v>P</v>
          </cell>
          <cell r="AI53" t="str">
            <v>P</v>
          </cell>
          <cell r="AK53" t="str">
            <v>P</v>
          </cell>
          <cell r="AM53" t="str">
            <v>P</v>
          </cell>
          <cell r="AO53" t="str">
            <v>P</v>
          </cell>
          <cell r="AQ53" t="str">
            <v>P</v>
          </cell>
          <cell r="AS53" t="str">
            <v>P</v>
          </cell>
        </row>
        <row r="54">
          <cell r="D54">
            <v>539354421843</v>
          </cell>
          <cell r="E54" t="str">
            <v>Ravi Prkash</v>
          </cell>
          <cell r="F54" t="str">
            <v>Mess Helper</v>
          </cell>
          <cell r="G54" t="str">
            <v>TATA LINE KILN</v>
          </cell>
          <cell r="H54">
            <v>10008</v>
          </cell>
          <cell r="I54" t="str">
            <v>P</v>
          </cell>
          <cell r="K54" t="str">
            <v>P</v>
          </cell>
          <cell r="M54" t="str">
            <v>P</v>
          </cell>
          <cell r="O54" t="str">
            <v>P</v>
          </cell>
          <cell r="Q54" t="str">
            <v>P</v>
          </cell>
          <cell r="S54" t="str">
            <v>P</v>
          </cell>
          <cell r="U54" t="str">
            <v>P</v>
          </cell>
          <cell r="W54" t="str">
            <v>P</v>
          </cell>
          <cell r="Y54" t="str">
            <v>P</v>
          </cell>
          <cell r="AA54" t="str">
            <v>P</v>
          </cell>
          <cell r="AC54" t="str">
            <v>P</v>
          </cell>
          <cell r="AE54" t="str">
            <v>P</v>
          </cell>
          <cell r="AG54" t="str">
            <v>P</v>
          </cell>
          <cell r="AI54" t="str">
            <v>P</v>
          </cell>
          <cell r="AK54" t="str">
            <v>P</v>
          </cell>
          <cell r="AM54" t="str">
            <v>P</v>
          </cell>
          <cell r="AO54" t="str">
            <v>P</v>
          </cell>
          <cell r="AQ54" t="str">
            <v>P</v>
          </cell>
          <cell r="AS54" t="str">
            <v>P</v>
          </cell>
        </row>
        <row r="55">
          <cell r="D55">
            <v>843365275421</v>
          </cell>
          <cell r="E55" t="str">
            <v>Tikaram</v>
          </cell>
          <cell r="F55" t="str">
            <v>Mess Helper</v>
          </cell>
          <cell r="G55" t="str">
            <v>LINDE NETHA.BLUSE H2</v>
          </cell>
          <cell r="H55">
            <v>10009</v>
          </cell>
          <cell r="I55" t="str">
            <v>P</v>
          </cell>
          <cell r="K55" t="str">
            <v>P</v>
          </cell>
          <cell r="M55" t="str">
            <v>P</v>
          </cell>
          <cell r="O55" t="str">
            <v>P</v>
          </cell>
          <cell r="Q55" t="str">
            <v>P</v>
          </cell>
          <cell r="S55" t="str">
            <v>P</v>
          </cell>
          <cell r="U55" t="str">
            <v>P</v>
          </cell>
          <cell r="W55" t="str">
            <v>P</v>
          </cell>
          <cell r="Y55" t="str">
            <v>P</v>
          </cell>
          <cell r="AA55" t="str">
            <v>P</v>
          </cell>
          <cell r="AC55" t="str">
            <v>P</v>
          </cell>
          <cell r="AE55" t="str">
            <v>P</v>
          </cell>
          <cell r="AG55" t="str">
            <v>P</v>
          </cell>
          <cell r="AI55" t="str">
            <v>P</v>
          </cell>
          <cell r="AK55" t="str">
            <v>P</v>
          </cell>
          <cell r="AM55" t="str">
            <v>P</v>
          </cell>
          <cell r="AO55" t="str">
            <v>P</v>
          </cell>
          <cell r="AQ55" t="str">
            <v>P</v>
          </cell>
          <cell r="AS55" t="str">
            <v>P</v>
          </cell>
        </row>
        <row r="56">
          <cell r="D56">
            <v>326608512131</v>
          </cell>
          <cell r="E56" t="str">
            <v>Hari Singh</v>
          </cell>
          <cell r="F56" t="str">
            <v>Mess Cook</v>
          </cell>
          <cell r="G56" t="str">
            <v>TATA LINE KILN</v>
          </cell>
          <cell r="H56">
            <v>10008</v>
          </cell>
          <cell r="I56" t="str">
            <v>P</v>
          </cell>
          <cell r="K56" t="str">
            <v>P</v>
          </cell>
          <cell r="M56" t="str">
            <v>P</v>
          </cell>
          <cell r="O56" t="str">
            <v>P</v>
          </cell>
          <cell r="Q56" t="str">
            <v>P</v>
          </cell>
          <cell r="S56" t="str">
            <v>P</v>
          </cell>
          <cell r="U56" t="str">
            <v>P</v>
          </cell>
          <cell r="W56" t="str">
            <v>P</v>
          </cell>
          <cell r="Y56" t="str">
            <v>P</v>
          </cell>
          <cell r="AA56" t="str">
            <v>P</v>
          </cell>
          <cell r="AC56" t="str">
            <v>P</v>
          </cell>
          <cell r="AE56" t="str">
            <v>P</v>
          </cell>
          <cell r="AG56" t="str">
            <v>P</v>
          </cell>
          <cell r="AI56" t="str">
            <v>P</v>
          </cell>
          <cell r="AK56" t="str">
            <v>P</v>
          </cell>
          <cell r="AM56" t="str">
            <v>P</v>
          </cell>
          <cell r="AO56" t="str">
            <v>P</v>
          </cell>
          <cell r="AQ56" t="str">
            <v>P</v>
          </cell>
          <cell r="AS56" t="str">
            <v>P</v>
          </cell>
        </row>
        <row r="57">
          <cell r="D57">
            <v>965752412742</v>
          </cell>
          <cell r="E57" t="str">
            <v>Anshu Kumar</v>
          </cell>
          <cell r="F57" t="str">
            <v>Mess Helper</v>
          </cell>
          <cell r="G57" t="str">
            <v>TATA LINE KILN</v>
          </cell>
          <cell r="H57">
            <v>10008</v>
          </cell>
          <cell r="I57" t="str">
            <v>P</v>
          </cell>
          <cell r="K57" t="str">
            <v>P</v>
          </cell>
          <cell r="M57" t="str">
            <v>P</v>
          </cell>
          <cell r="O57" t="str">
            <v>P</v>
          </cell>
          <cell r="Q57" t="str">
            <v>P</v>
          </cell>
          <cell r="S57" t="str">
            <v>P</v>
          </cell>
          <cell r="U57" t="str">
            <v>P</v>
          </cell>
          <cell r="W57" t="str">
            <v>P</v>
          </cell>
          <cell r="Y57" t="str">
            <v>P</v>
          </cell>
          <cell r="AA57" t="str">
            <v>P</v>
          </cell>
          <cell r="AC57" t="str">
            <v>P</v>
          </cell>
          <cell r="AE57" t="str">
            <v>P</v>
          </cell>
          <cell r="AG57" t="str">
            <v>P</v>
          </cell>
          <cell r="AI57" t="str">
            <v>P</v>
          </cell>
          <cell r="AK57" t="str">
            <v>P</v>
          </cell>
          <cell r="AM57" t="str">
            <v>P</v>
          </cell>
          <cell r="AO57" t="str">
            <v>P</v>
          </cell>
          <cell r="AQ57" t="str">
            <v>P</v>
          </cell>
          <cell r="AS57" t="str">
            <v>P</v>
          </cell>
        </row>
        <row r="58">
          <cell r="D58">
            <v>584365626331</v>
          </cell>
          <cell r="E58" t="str">
            <v>Sairajul Haque</v>
          </cell>
          <cell r="F58" t="str">
            <v>Rigger</v>
          </cell>
          <cell r="G58" t="str">
            <v>LINDE PANIPAT HGU</v>
          </cell>
          <cell r="H58">
            <v>10006</v>
          </cell>
          <cell r="I58" t="str">
            <v>P</v>
          </cell>
          <cell r="K58" t="str">
            <v>P</v>
          </cell>
          <cell r="L58">
            <v>11</v>
          </cell>
          <cell r="M58" t="str">
            <v>P</v>
          </cell>
          <cell r="O58" t="str">
            <v>P</v>
          </cell>
          <cell r="Q58" t="str">
            <v>P</v>
          </cell>
          <cell r="S58" t="str">
            <v>P</v>
          </cell>
          <cell r="U58" t="str">
            <v>P</v>
          </cell>
          <cell r="W58" t="str">
            <v>P</v>
          </cell>
          <cell r="Y58" t="str">
            <v>P</v>
          </cell>
          <cell r="AA58" t="str">
            <v>P</v>
          </cell>
          <cell r="AC58" t="str">
            <v>P</v>
          </cell>
          <cell r="AE58" t="str">
            <v>P</v>
          </cell>
          <cell r="AG58" t="str">
            <v>P</v>
          </cell>
          <cell r="AI58" t="str">
            <v>P</v>
          </cell>
          <cell r="AK58" t="str">
            <v>O</v>
          </cell>
          <cell r="AM58" t="str">
            <v>P</v>
          </cell>
          <cell r="AO58" t="str">
            <v>P</v>
          </cell>
          <cell r="AQ58" t="str">
            <v>P</v>
          </cell>
          <cell r="AS58" t="str">
            <v>P</v>
          </cell>
          <cell r="AT58">
            <v>11</v>
          </cell>
        </row>
        <row r="59">
          <cell r="D59">
            <v>938248012311</v>
          </cell>
          <cell r="E59" t="str">
            <v xml:space="preserve">Dhruv Lal Mahto
</v>
          </cell>
          <cell r="F59" t="str">
            <v xml:space="preserve">Tackar Welder
</v>
          </cell>
          <cell r="G59" t="str">
            <v>PI MPP -12 H PLANT</v>
          </cell>
          <cell r="H59">
            <v>10002</v>
          </cell>
          <cell r="I59" t="str">
            <v>P</v>
          </cell>
          <cell r="K59" t="str">
            <v>P</v>
          </cell>
          <cell r="L59">
            <v>11</v>
          </cell>
          <cell r="M59" t="str">
            <v>P</v>
          </cell>
          <cell r="N59">
            <v>11</v>
          </cell>
          <cell r="O59" t="str">
            <v>P</v>
          </cell>
          <cell r="Q59" t="str">
            <v>P</v>
          </cell>
          <cell r="S59" t="str">
            <v>P</v>
          </cell>
          <cell r="T59">
            <v>11</v>
          </cell>
          <cell r="U59" t="str">
            <v>P</v>
          </cell>
          <cell r="W59" t="str">
            <v>P</v>
          </cell>
          <cell r="Y59" t="str">
            <v>P</v>
          </cell>
          <cell r="AA59" t="str">
            <v>P</v>
          </cell>
          <cell r="AC59" t="str">
            <v>P</v>
          </cell>
          <cell r="AE59" t="str">
            <v>P</v>
          </cell>
          <cell r="AG59" t="str">
            <v>P</v>
          </cell>
          <cell r="AI59" t="str">
            <v>P</v>
          </cell>
          <cell r="AK59" t="str">
            <v>O</v>
          </cell>
          <cell r="AM59" t="str">
            <v>P</v>
          </cell>
          <cell r="AO59" t="str">
            <v>P</v>
          </cell>
          <cell r="AQ59" t="str">
            <v>P</v>
          </cell>
          <cell r="AS59" t="str">
            <v>P</v>
          </cell>
          <cell r="AT59">
            <v>11</v>
          </cell>
        </row>
        <row r="60">
          <cell r="D60">
            <v>659812438855</v>
          </cell>
          <cell r="E60" t="str">
            <v xml:space="preserve">Mitaraj Rajak
</v>
          </cell>
          <cell r="F60" t="str">
            <v xml:space="preserve">Gas Cutter
</v>
          </cell>
          <cell r="G60" t="str">
            <v>LINDE NETHA.BLUSE H2</v>
          </cell>
          <cell r="H60">
            <v>10009</v>
          </cell>
          <cell r="I60" t="str">
            <v>P</v>
          </cell>
          <cell r="K60" t="str">
            <v>P</v>
          </cell>
          <cell r="L60">
            <v>11</v>
          </cell>
          <cell r="M60" t="str">
            <v>P</v>
          </cell>
          <cell r="N60">
            <v>11</v>
          </cell>
          <cell r="O60" t="str">
            <v>P</v>
          </cell>
          <cell r="P60">
            <v>11</v>
          </cell>
          <cell r="Q60" t="str">
            <v>P</v>
          </cell>
          <cell r="R60">
            <v>11</v>
          </cell>
          <cell r="S60" t="str">
            <v>P</v>
          </cell>
          <cell r="U60" t="str">
            <v>P</v>
          </cell>
          <cell r="W60" t="str">
            <v>P</v>
          </cell>
          <cell r="Y60" t="str">
            <v>P</v>
          </cell>
          <cell r="AA60" t="str">
            <v>P</v>
          </cell>
          <cell r="AB60">
            <v>11</v>
          </cell>
          <cell r="AC60" t="str">
            <v>P</v>
          </cell>
          <cell r="AE60" t="str">
            <v>P</v>
          </cell>
          <cell r="AG60" t="str">
            <v>P</v>
          </cell>
          <cell r="AI60" t="str">
            <v>P</v>
          </cell>
          <cell r="AK60" t="str">
            <v>O</v>
          </cell>
          <cell r="AM60" t="str">
            <v>P</v>
          </cell>
          <cell r="AO60" t="str">
            <v>P</v>
          </cell>
          <cell r="AQ60" t="str">
            <v>P</v>
          </cell>
          <cell r="AS60" t="str">
            <v>P</v>
          </cell>
        </row>
        <row r="61">
          <cell r="D61">
            <v>216231763226</v>
          </cell>
          <cell r="E61" t="str">
            <v xml:space="preserve">Ajad Rajbhar
</v>
          </cell>
          <cell r="F61" t="str">
            <v xml:space="preserve">Grinder
</v>
          </cell>
          <cell r="G61" t="str">
            <v>PI MPP -12 H PLANT</v>
          </cell>
          <cell r="H61">
            <v>10002</v>
          </cell>
          <cell r="I61" t="str">
            <v>P</v>
          </cell>
          <cell r="K61" t="str">
            <v>P</v>
          </cell>
          <cell r="L61">
            <v>11</v>
          </cell>
          <cell r="M61" t="str">
            <v>P</v>
          </cell>
          <cell r="N61">
            <v>11</v>
          </cell>
          <cell r="O61" t="str">
            <v>P</v>
          </cell>
          <cell r="P61">
            <v>11</v>
          </cell>
          <cell r="Q61" t="str">
            <v>P</v>
          </cell>
          <cell r="R61">
            <v>11</v>
          </cell>
          <cell r="S61" t="str">
            <v>P</v>
          </cell>
          <cell r="T61">
            <v>11</v>
          </cell>
          <cell r="U61" t="str">
            <v>P</v>
          </cell>
          <cell r="W61" t="str">
            <v>P</v>
          </cell>
          <cell r="Y61" t="str">
            <v>P</v>
          </cell>
          <cell r="Z61">
            <v>11</v>
          </cell>
          <cell r="AA61" t="str">
            <v>A</v>
          </cell>
          <cell r="AC61" t="str">
            <v>P</v>
          </cell>
          <cell r="AE61" t="str">
            <v>P</v>
          </cell>
          <cell r="AG61" t="str">
            <v>P</v>
          </cell>
          <cell r="AI61" t="str">
            <v>P</v>
          </cell>
          <cell r="AK61" t="str">
            <v>O</v>
          </cell>
          <cell r="AM61" t="str">
            <v>P</v>
          </cell>
          <cell r="AO61" t="str">
            <v>P</v>
          </cell>
          <cell r="AQ61" t="str">
            <v>P</v>
          </cell>
          <cell r="AS61" t="str">
            <v>P</v>
          </cell>
          <cell r="AT61">
            <v>11</v>
          </cell>
        </row>
        <row r="62">
          <cell r="D62">
            <v>619402285686</v>
          </cell>
          <cell r="E62" t="str">
            <v>Indranath Kashyap</v>
          </cell>
          <cell r="F62" t="str">
            <v>Grinder</v>
          </cell>
          <cell r="G62" t="str">
            <v>PI MPP -12 H PLANT</v>
          </cell>
          <cell r="H62">
            <v>10002</v>
          </cell>
          <cell r="I62" t="str">
            <v>P</v>
          </cell>
          <cell r="K62" t="str">
            <v>P</v>
          </cell>
          <cell r="L62">
            <v>11</v>
          </cell>
          <cell r="M62" t="str">
            <v>P</v>
          </cell>
          <cell r="O62" t="str">
            <v>P</v>
          </cell>
          <cell r="P62">
            <v>11</v>
          </cell>
          <cell r="Q62" t="str">
            <v>P</v>
          </cell>
          <cell r="R62">
            <v>11</v>
          </cell>
          <cell r="S62" t="str">
            <v>P</v>
          </cell>
          <cell r="T62">
            <v>11</v>
          </cell>
          <cell r="U62" t="str">
            <v>P</v>
          </cell>
          <cell r="W62" t="str">
            <v>P</v>
          </cell>
          <cell r="Y62" t="str">
            <v>P</v>
          </cell>
          <cell r="Z62">
            <v>11</v>
          </cell>
          <cell r="AA62" t="str">
            <v>P</v>
          </cell>
          <cell r="AB62">
            <v>11</v>
          </cell>
          <cell r="AC62" t="str">
            <v>P</v>
          </cell>
          <cell r="AE62" t="str">
            <v>A</v>
          </cell>
          <cell r="AG62" t="str">
            <v>P</v>
          </cell>
          <cell r="AH62">
            <v>11</v>
          </cell>
          <cell r="AI62" t="str">
            <v>P</v>
          </cell>
          <cell r="AK62" t="str">
            <v>O</v>
          </cell>
          <cell r="AM62" t="str">
            <v>P</v>
          </cell>
          <cell r="AO62" t="str">
            <v>P</v>
          </cell>
          <cell r="AQ62" t="str">
            <v>P</v>
          </cell>
          <cell r="AS62" t="str">
            <v>P</v>
          </cell>
        </row>
        <row r="63">
          <cell r="D63">
            <v>788702732510</v>
          </cell>
          <cell r="E63" t="str">
            <v>Prajapati Manharbhai</v>
          </cell>
          <cell r="F63" t="str">
            <v>Office Boy</v>
          </cell>
          <cell r="G63" t="str">
            <v>EPCM  NAVIN</v>
          </cell>
          <cell r="H63">
            <v>10003</v>
          </cell>
          <cell r="I63" t="str">
            <v>P</v>
          </cell>
          <cell r="K63" t="str">
            <v>P</v>
          </cell>
          <cell r="M63" t="str">
            <v>P</v>
          </cell>
          <cell r="O63" t="str">
            <v>P</v>
          </cell>
          <cell r="Q63" t="str">
            <v>P</v>
          </cell>
          <cell r="S63" t="str">
            <v>P</v>
          </cell>
          <cell r="U63" t="str">
            <v>P</v>
          </cell>
          <cell r="W63" t="str">
            <v>P</v>
          </cell>
          <cell r="Y63" t="str">
            <v>P</v>
          </cell>
          <cell r="AA63" t="str">
            <v>P</v>
          </cell>
          <cell r="AC63" t="str">
            <v>P</v>
          </cell>
          <cell r="AE63" t="str">
            <v>P</v>
          </cell>
          <cell r="AG63" t="str">
            <v>P</v>
          </cell>
          <cell r="AI63" t="str">
            <v>P</v>
          </cell>
          <cell r="AK63" t="str">
            <v>O</v>
          </cell>
          <cell r="AM63" t="str">
            <v>P</v>
          </cell>
          <cell r="AO63" t="str">
            <v>P</v>
          </cell>
          <cell r="AQ63" t="str">
            <v>P</v>
          </cell>
          <cell r="AS63" t="str">
            <v>P</v>
          </cell>
        </row>
        <row r="64">
          <cell r="D64">
            <v>655032188637</v>
          </cell>
          <cell r="E64" t="str">
            <v>Pramod Chaubey</v>
          </cell>
          <cell r="F64" t="str">
            <v>Rigger</v>
          </cell>
          <cell r="G64" t="str">
            <v>PI MPP -12 H PLANT</v>
          </cell>
          <cell r="H64">
            <v>10002</v>
          </cell>
          <cell r="I64" t="str">
            <v>P</v>
          </cell>
          <cell r="K64" t="str">
            <v>P</v>
          </cell>
          <cell r="M64" t="str">
            <v>P</v>
          </cell>
          <cell r="O64" t="str">
            <v>P</v>
          </cell>
          <cell r="Q64" t="str">
            <v>P</v>
          </cell>
          <cell r="S64" t="str">
            <v>P</v>
          </cell>
          <cell r="U64" t="str">
            <v>P</v>
          </cell>
          <cell r="W64" t="str">
            <v>P</v>
          </cell>
          <cell r="Y64" t="str">
            <v>P</v>
          </cell>
          <cell r="AA64" t="str">
            <v>A</v>
          </cell>
          <cell r="AC64" t="str">
            <v>P</v>
          </cell>
          <cell r="AE64" t="str">
            <v>P</v>
          </cell>
          <cell r="AG64" t="str">
            <v>P</v>
          </cell>
          <cell r="AI64" t="str">
            <v>P</v>
          </cell>
          <cell r="AK64" t="str">
            <v>O</v>
          </cell>
          <cell r="AM64" t="str">
            <v>P</v>
          </cell>
          <cell r="AO64" t="str">
            <v>P</v>
          </cell>
          <cell r="AQ64" t="str">
            <v>P</v>
          </cell>
          <cell r="AS64" t="str">
            <v>P</v>
          </cell>
        </row>
        <row r="65">
          <cell r="D65">
            <v>968629268004</v>
          </cell>
          <cell r="E65" t="str">
            <v>Jatinder Singh</v>
          </cell>
          <cell r="F65" t="str">
            <v>Rigger</v>
          </cell>
          <cell r="G65" t="str">
            <v>TATA LINE KILN</v>
          </cell>
          <cell r="H65">
            <v>10008</v>
          </cell>
          <cell r="I65" t="str">
            <v>P</v>
          </cell>
          <cell r="K65" t="str">
            <v>P</v>
          </cell>
          <cell r="M65" t="str">
            <v>P</v>
          </cell>
          <cell r="N65">
            <v>11</v>
          </cell>
          <cell r="O65" t="str">
            <v>P</v>
          </cell>
          <cell r="P65">
            <v>11</v>
          </cell>
          <cell r="Q65" t="str">
            <v>P</v>
          </cell>
          <cell r="S65" t="str">
            <v>P</v>
          </cell>
          <cell r="T65">
            <v>11</v>
          </cell>
          <cell r="U65" t="str">
            <v>P</v>
          </cell>
          <cell r="W65" t="str">
            <v>P</v>
          </cell>
          <cell r="Y65" t="str">
            <v>A</v>
          </cell>
          <cell r="AA65" t="str">
            <v>A</v>
          </cell>
          <cell r="AC65" t="str">
            <v>P</v>
          </cell>
          <cell r="AE65" t="str">
            <v>P</v>
          </cell>
          <cell r="AG65" t="str">
            <v>A</v>
          </cell>
          <cell r="AI65" t="str">
            <v>P</v>
          </cell>
          <cell r="AK65" t="str">
            <v>O</v>
          </cell>
          <cell r="AM65" t="str">
            <v>P</v>
          </cell>
          <cell r="AO65" t="str">
            <v>P</v>
          </cell>
          <cell r="AP65">
            <v>11</v>
          </cell>
          <cell r="AQ65" t="str">
            <v>A</v>
          </cell>
          <cell r="AS65" t="str">
            <v>P</v>
          </cell>
        </row>
        <row r="66">
          <cell r="D66">
            <v>582142197684</v>
          </cell>
          <cell r="E66" t="str">
            <v>Manish Kumar</v>
          </cell>
          <cell r="F66" t="str">
            <v>CO2 Welder</v>
          </cell>
          <cell r="G66" t="str">
            <v>PI MPP -12 H PLANT</v>
          </cell>
          <cell r="H66">
            <v>10002</v>
          </cell>
          <cell r="I66" t="str">
            <v>P</v>
          </cell>
          <cell r="K66" t="str">
            <v>P</v>
          </cell>
          <cell r="L66">
            <v>11</v>
          </cell>
          <cell r="M66" t="str">
            <v>P</v>
          </cell>
          <cell r="N66">
            <v>11</v>
          </cell>
          <cell r="O66" t="str">
            <v>P</v>
          </cell>
          <cell r="Q66" t="str">
            <v>P</v>
          </cell>
          <cell r="R66">
            <v>11</v>
          </cell>
          <cell r="S66" t="str">
            <v>P</v>
          </cell>
          <cell r="U66" t="str">
            <v>P</v>
          </cell>
          <cell r="W66" t="str">
            <v>P</v>
          </cell>
          <cell r="Y66" t="str">
            <v>P</v>
          </cell>
          <cell r="AA66" t="str">
            <v>P</v>
          </cell>
          <cell r="AC66" t="str">
            <v>P</v>
          </cell>
          <cell r="AE66" t="str">
            <v>P</v>
          </cell>
          <cell r="AG66" t="str">
            <v>P</v>
          </cell>
          <cell r="AI66" t="str">
            <v>P</v>
          </cell>
          <cell r="AK66" t="str">
            <v>O</v>
          </cell>
          <cell r="AM66" t="str">
            <v>P</v>
          </cell>
          <cell r="AO66" t="str">
            <v>P</v>
          </cell>
          <cell r="AQ66" t="str">
            <v>P</v>
          </cell>
          <cell r="AS66" t="str">
            <v>P</v>
          </cell>
        </row>
        <row r="67">
          <cell r="D67">
            <v>881861038976</v>
          </cell>
          <cell r="E67" t="str">
            <v xml:space="preserve">Sanjay Kumar
</v>
          </cell>
          <cell r="F67" t="str">
            <v xml:space="preserve">S.T.Fabricator
</v>
          </cell>
          <cell r="G67" t="str">
            <v>PI MPP -12 H PLANT</v>
          </cell>
          <cell r="H67">
            <v>10002</v>
          </cell>
          <cell r="I67" t="str">
            <v>P</v>
          </cell>
          <cell r="K67" t="str">
            <v>P</v>
          </cell>
          <cell r="L67">
            <v>11</v>
          </cell>
          <cell r="M67" t="str">
            <v>P</v>
          </cell>
          <cell r="N67">
            <v>11</v>
          </cell>
          <cell r="O67" t="str">
            <v>P</v>
          </cell>
          <cell r="Q67" t="str">
            <v>P</v>
          </cell>
          <cell r="S67" t="str">
            <v>P</v>
          </cell>
          <cell r="T67">
            <v>11</v>
          </cell>
          <cell r="U67" t="str">
            <v>P</v>
          </cell>
          <cell r="W67" t="str">
            <v>P</v>
          </cell>
          <cell r="Y67" t="str">
            <v>P</v>
          </cell>
          <cell r="AA67" t="str">
            <v>P</v>
          </cell>
          <cell r="AC67" t="str">
            <v>P</v>
          </cell>
          <cell r="AE67" t="str">
            <v>P</v>
          </cell>
          <cell r="AG67" t="str">
            <v>P</v>
          </cell>
          <cell r="AI67" t="str">
            <v>A</v>
          </cell>
          <cell r="AK67" t="str">
            <v>O</v>
          </cell>
          <cell r="AM67" t="str">
            <v>P</v>
          </cell>
          <cell r="AO67" t="str">
            <v>P</v>
          </cell>
          <cell r="AQ67" t="str">
            <v>P</v>
          </cell>
          <cell r="AS67" t="str">
            <v>P</v>
          </cell>
        </row>
        <row r="68">
          <cell r="D68">
            <v>516727655273</v>
          </cell>
          <cell r="E68" t="str">
            <v xml:space="preserve">Satnam Singh
</v>
          </cell>
          <cell r="F68" t="str">
            <v>Rigger</v>
          </cell>
          <cell r="G68" t="str">
            <v>TATA LINE KILN</v>
          </cell>
          <cell r="H68">
            <v>10008</v>
          </cell>
          <cell r="I68" t="str">
            <v>O</v>
          </cell>
          <cell r="K68" t="str">
            <v>P</v>
          </cell>
          <cell r="L68">
            <v>11</v>
          </cell>
          <cell r="M68" t="str">
            <v>P</v>
          </cell>
          <cell r="N68">
            <v>11</v>
          </cell>
          <cell r="O68" t="str">
            <v>A</v>
          </cell>
          <cell r="Q68" t="str">
            <v>P</v>
          </cell>
          <cell r="R68">
            <v>11</v>
          </cell>
          <cell r="S68" t="str">
            <v>P</v>
          </cell>
          <cell r="T68">
            <v>11</v>
          </cell>
          <cell r="U68" t="str">
            <v>P</v>
          </cell>
          <cell r="W68" t="str">
            <v>P</v>
          </cell>
          <cell r="Y68" t="str">
            <v>P</v>
          </cell>
          <cell r="AA68" t="str">
            <v>P</v>
          </cell>
          <cell r="AC68" t="str">
            <v>P</v>
          </cell>
          <cell r="AE68" t="str">
            <v>A</v>
          </cell>
          <cell r="AG68" t="str">
            <v>A</v>
          </cell>
          <cell r="AI68" t="str">
            <v>P</v>
          </cell>
          <cell r="AK68" t="str">
            <v>O</v>
          </cell>
          <cell r="AM68" t="str">
            <v>P</v>
          </cell>
          <cell r="AN68">
            <v>11</v>
          </cell>
          <cell r="AO68" t="str">
            <v>P</v>
          </cell>
          <cell r="AQ68" t="str">
            <v>A</v>
          </cell>
          <cell r="AS68" t="str">
            <v>P</v>
          </cell>
        </row>
        <row r="69">
          <cell r="D69">
            <v>760120011029</v>
          </cell>
          <cell r="E69" t="str">
            <v xml:space="preserve">Sanjay Lohar
</v>
          </cell>
          <cell r="F69" t="str">
            <v>Rigger</v>
          </cell>
          <cell r="G69" t="str">
            <v>EPCM  NAVIN</v>
          </cell>
          <cell r="H69">
            <v>10003</v>
          </cell>
          <cell r="I69" t="str">
            <v>P</v>
          </cell>
          <cell r="K69" t="str">
            <v>P</v>
          </cell>
          <cell r="L69">
            <v>11</v>
          </cell>
          <cell r="M69" t="str">
            <v>P</v>
          </cell>
          <cell r="O69" t="str">
            <v>P</v>
          </cell>
          <cell r="Q69" t="str">
            <v>P</v>
          </cell>
          <cell r="S69" t="str">
            <v>P</v>
          </cell>
          <cell r="U69" t="str">
            <v>P</v>
          </cell>
          <cell r="W69" t="str">
            <v>P</v>
          </cell>
          <cell r="Y69" t="str">
            <v>P</v>
          </cell>
          <cell r="AA69" t="str">
            <v>P</v>
          </cell>
          <cell r="AC69" t="str">
            <v>P</v>
          </cell>
          <cell r="AE69" t="str">
            <v>P</v>
          </cell>
          <cell r="AG69" t="str">
            <v>P</v>
          </cell>
          <cell r="AI69" t="str">
            <v>P</v>
          </cell>
          <cell r="AK69" t="str">
            <v>O</v>
          </cell>
          <cell r="AM69" t="str">
            <v>P</v>
          </cell>
          <cell r="AO69" t="str">
            <v>P</v>
          </cell>
          <cell r="AQ69" t="str">
            <v>P</v>
          </cell>
          <cell r="AS69" t="str">
            <v>P</v>
          </cell>
          <cell r="AT69">
            <v>11</v>
          </cell>
        </row>
        <row r="70">
          <cell r="D70">
            <v>883576310573</v>
          </cell>
          <cell r="E70" t="str">
            <v xml:space="preserve">Susanta Lohar
</v>
          </cell>
          <cell r="F70" t="str">
            <v xml:space="preserve">Rigger
</v>
          </cell>
          <cell r="G70" t="str">
            <v>PI MPP -12 H PLANT</v>
          </cell>
          <cell r="H70">
            <v>10002</v>
          </cell>
          <cell r="I70" t="str">
            <v>P</v>
          </cell>
          <cell r="K70" t="str">
            <v>A</v>
          </cell>
          <cell r="M70" t="str">
            <v>P</v>
          </cell>
          <cell r="O70" t="str">
            <v>P</v>
          </cell>
          <cell r="Q70" t="str">
            <v>P</v>
          </cell>
          <cell r="S70" t="str">
            <v>P</v>
          </cell>
          <cell r="U70" t="str">
            <v>P</v>
          </cell>
          <cell r="W70" t="str">
            <v>P</v>
          </cell>
          <cell r="Y70" t="str">
            <v>A</v>
          </cell>
          <cell r="AA70" t="str">
            <v>P</v>
          </cell>
          <cell r="AC70" t="str">
            <v>P</v>
          </cell>
          <cell r="AE70" t="str">
            <v>P</v>
          </cell>
          <cell r="AG70" t="str">
            <v>P</v>
          </cell>
          <cell r="AI70" t="str">
            <v>P</v>
          </cell>
          <cell r="AK70" t="str">
            <v>O</v>
          </cell>
          <cell r="AM70" t="str">
            <v>P</v>
          </cell>
          <cell r="AO70" t="str">
            <v>P</v>
          </cell>
          <cell r="AQ70" t="str">
            <v>P</v>
          </cell>
          <cell r="AS70" t="str">
            <v>P</v>
          </cell>
        </row>
        <row r="71">
          <cell r="D71">
            <v>446380690823</v>
          </cell>
          <cell r="E71" t="str">
            <v>Jagru Saday</v>
          </cell>
          <cell r="F71" t="str">
            <v xml:space="preserve">Gas Cutter
</v>
          </cell>
          <cell r="G71" t="str">
            <v>EPCM  NAVIN</v>
          </cell>
          <cell r="H71">
            <v>10003</v>
          </cell>
          <cell r="I71" t="str">
            <v>P</v>
          </cell>
          <cell r="K71" t="str">
            <v>P</v>
          </cell>
          <cell r="M71" t="str">
            <v>P</v>
          </cell>
          <cell r="O71" t="str">
            <v>P</v>
          </cell>
          <cell r="Q71" t="str">
            <v>A</v>
          </cell>
          <cell r="S71" t="str">
            <v>P</v>
          </cell>
          <cell r="U71" t="str">
            <v>P</v>
          </cell>
          <cell r="W71" t="str">
            <v>P</v>
          </cell>
          <cell r="Y71" t="str">
            <v>P</v>
          </cell>
          <cell r="AA71" t="str">
            <v>A</v>
          </cell>
          <cell r="AC71" t="str">
            <v>A</v>
          </cell>
          <cell r="AE71" t="str">
            <v>P</v>
          </cell>
          <cell r="AG71" t="str">
            <v>A</v>
          </cell>
          <cell r="AI71" t="str">
            <v>A</v>
          </cell>
          <cell r="AK71" t="str">
            <v>O</v>
          </cell>
          <cell r="AM71" t="str">
            <v>P</v>
          </cell>
          <cell r="AO71" t="str">
            <v>P</v>
          </cell>
          <cell r="AQ71" t="str">
            <v>P</v>
          </cell>
          <cell r="AS71" t="str">
            <v>P</v>
          </cell>
        </row>
        <row r="72">
          <cell r="D72">
            <v>438305243774</v>
          </cell>
          <cell r="E72" t="str">
            <v>Parmar Surshbhai</v>
          </cell>
          <cell r="F72" t="str">
            <v>House Keeper</v>
          </cell>
          <cell r="G72" t="str">
            <v>PI MPP -12 H PLANT</v>
          </cell>
          <cell r="H72">
            <v>10002</v>
          </cell>
          <cell r="I72" t="str">
            <v>O</v>
          </cell>
          <cell r="K72" t="str">
            <v>P</v>
          </cell>
          <cell r="M72" t="str">
            <v>P</v>
          </cell>
          <cell r="O72" t="str">
            <v>P</v>
          </cell>
          <cell r="Q72" t="str">
            <v>P</v>
          </cell>
          <cell r="S72" t="str">
            <v>P</v>
          </cell>
          <cell r="U72" t="str">
            <v>P</v>
          </cell>
          <cell r="W72" t="str">
            <v>P</v>
          </cell>
          <cell r="Y72" t="str">
            <v>P</v>
          </cell>
          <cell r="AA72" t="str">
            <v>P</v>
          </cell>
          <cell r="AC72" t="str">
            <v>P</v>
          </cell>
          <cell r="AE72" t="str">
            <v>P</v>
          </cell>
          <cell r="AG72" t="str">
            <v>P</v>
          </cell>
          <cell r="AI72" t="str">
            <v>P</v>
          </cell>
          <cell r="AK72" t="str">
            <v>O</v>
          </cell>
          <cell r="AM72" t="str">
            <v>P</v>
          </cell>
          <cell r="AO72" t="str">
            <v>P</v>
          </cell>
          <cell r="AQ72" t="str">
            <v>P</v>
          </cell>
          <cell r="AS72" t="str">
            <v>P</v>
          </cell>
        </row>
        <row r="73">
          <cell r="D73">
            <v>914962617798</v>
          </cell>
          <cell r="E73" t="str">
            <v>Javahar Paswan</v>
          </cell>
          <cell r="F73" t="str">
            <v>Rigger</v>
          </cell>
          <cell r="G73" t="str">
            <v>EPCM  NAVIN</v>
          </cell>
          <cell r="H73">
            <v>10003</v>
          </cell>
          <cell r="I73" t="str">
            <v>P</v>
          </cell>
          <cell r="K73" t="str">
            <v>P</v>
          </cell>
          <cell r="M73" t="str">
            <v>P</v>
          </cell>
          <cell r="O73" t="str">
            <v>P</v>
          </cell>
          <cell r="Q73" t="str">
            <v>P</v>
          </cell>
          <cell r="S73" t="str">
            <v>P</v>
          </cell>
          <cell r="U73" t="str">
            <v>P</v>
          </cell>
          <cell r="W73" t="str">
            <v>P</v>
          </cell>
          <cell r="Y73" t="str">
            <v>P</v>
          </cell>
          <cell r="AA73" t="str">
            <v>P</v>
          </cell>
          <cell r="AC73" t="str">
            <v>P</v>
          </cell>
          <cell r="AE73" t="str">
            <v>P</v>
          </cell>
          <cell r="AG73" t="str">
            <v>P</v>
          </cell>
          <cell r="AI73" t="str">
            <v>P</v>
          </cell>
          <cell r="AK73" t="str">
            <v>O</v>
          </cell>
          <cell r="AM73" t="str">
            <v>P</v>
          </cell>
          <cell r="AO73" t="str">
            <v>P</v>
          </cell>
          <cell r="AQ73" t="str">
            <v>P</v>
          </cell>
          <cell r="AS73" t="str">
            <v>P</v>
          </cell>
        </row>
        <row r="74">
          <cell r="D74">
            <v>284429556959</v>
          </cell>
          <cell r="E74" t="str">
            <v>Vikash Kumar Chaurasia</v>
          </cell>
          <cell r="F74" t="str">
            <v>Electrician</v>
          </cell>
          <cell r="G74" t="str">
            <v>EPCM  NAVIN</v>
          </cell>
          <cell r="H74">
            <v>10003</v>
          </cell>
          <cell r="I74" t="str">
            <v>P</v>
          </cell>
          <cell r="K74" t="str">
            <v>P</v>
          </cell>
          <cell r="L74">
            <v>11</v>
          </cell>
          <cell r="M74" t="str">
            <v>P</v>
          </cell>
          <cell r="O74" t="str">
            <v>A</v>
          </cell>
          <cell r="Q74" t="str">
            <v>P</v>
          </cell>
          <cell r="S74" t="str">
            <v>P</v>
          </cell>
          <cell r="U74" t="str">
            <v>P</v>
          </cell>
          <cell r="W74" t="str">
            <v>P</v>
          </cell>
          <cell r="Y74" t="str">
            <v>P</v>
          </cell>
          <cell r="AA74" t="str">
            <v>P</v>
          </cell>
          <cell r="AC74" t="str">
            <v>P</v>
          </cell>
          <cell r="AE74" t="str">
            <v>P</v>
          </cell>
          <cell r="AG74" t="str">
            <v>P</v>
          </cell>
          <cell r="AI74" t="str">
            <v>P</v>
          </cell>
          <cell r="AK74" t="str">
            <v>O</v>
          </cell>
          <cell r="AM74" t="str">
            <v>P</v>
          </cell>
          <cell r="AO74" t="str">
            <v>P</v>
          </cell>
          <cell r="AQ74" t="str">
            <v>P</v>
          </cell>
          <cell r="AS74" t="str">
            <v>P</v>
          </cell>
        </row>
        <row r="75">
          <cell r="D75">
            <v>555831562490</v>
          </cell>
          <cell r="E75" t="str">
            <v>Dhanbir Kumar</v>
          </cell>
          <cell r="F75" t="str">
            <v>Structure Fitter</v>
          </cell>
          <cell r="G75" t="str">
            <v>LINDE PANIPAT HGU</v>
          </cell>
          <cell r="H75">
            <v>10006</v>
          </cell>
          <cell r="I75" t="str">
            <v>P</v>
          </cell>
          <cell r="K75" t="str">
            <v>P</v>
          </cell>
          <cell r="M75" t="str">
            <v>P</v>
          </cell>
          <cell r="O75" t="str">
            <v>P</v>
          </cell>
          <cell r="Q75" t="str">
            <v>P</v>
          </cell>
          <cell r="S75" t="str">
            <v>P</v>
          </cell>
          <cell r="U75" t="str">
            <v>P</v>
          </cell>
          <cell r="W75" t="str">
            <v>P</v>
          </cell>
          <cell r="Y75" t="str">
            <v>P</v>
          </cell>
          <cell r="AA75" t="str">
            <v>P</v>
          </cell>
          <cell r="AC75" t="str">
            <v>P</v>
          </cell>
          <cell r="AE75" t="str">
            <v>P</v>
          </cell>
          <cell r="AG75" t="str">
            <v>P</v>
          </cell>
          <cell r="AI75" t="str">
            <v>P</v>
          </cell>
          <cell r="AK75" t="str">
            <v>O</v>
          </cell>
          <cell r="AM75" t="str">
            <v>P</v>
          </cell>
          <cell r="AO75" t="str">
            <v>P</v>
          </cell>
          <cell r="AQ75" t="str">
            <v>P</v>
          </cell>
          <cell r="AS75" t="str">
            <v>P</v>
          </cell>
        </row>
        <row r="76">
          <cell r="D76">
            <v>773056261858</v>
          </cell>
          <cell r="E76" t="str">
            <v>Pradeep</v>
          </cell>
          <cell r="F76" t="str">
            <v>Driller</v>
          </cell>
          <cell r="G76" t="str">
            <v>PI MPP -12 H PLANT</v>
          </cell>
          <cell r="H76">
            <v>10002</v>
          </cell>
          <cell r="I76" t="str">
            <v>P</v>
          </cell>
          <cell r="K76" t="str">
            <v>P</v>
          </cell>
          <cell r="M76" t="str">
            <v>P</v>
          </cell>
          <cell r="N76">
            <v>11</v>
          </cell>
          <cell r="O76" t="str">
            <v>P</v>
          </cell>
          <cell r="Q76" t="str">
            <v>P</v>
          </cell>
          <cell r="R76">
            <v>11</v>
          </cell>
          <cell r="S76" t="str">
            <v>P</v>
          </cell>
          <cell r="T76">
            <v>11</v>
          </cell>
          <cell r="U76" t="str">
            <v>P</v>
          </cell>
          <cell r="V76">
            <v>11</v>
          </cell>
          <cell r="W76" t="str">
            <v>P</v>
          </cell>
          <cell r="Y76" t="str">
            <v>P</v>
          </cell>
          <cell r="AA76" t="str">
            <v>A</v>
          </cell>
          <cell r="AC76" t="str">
            <v>P</v>
          </cell>
          <cell r="AD76">
            <v>11</v>
          </cell>
          <cell r="AE76" t="str">
            <v>P</v>
          </cell>
          <cell r="AG76" t="str">
            <v>P</v>
          </cell>
          <cell r="AI76" t="str">
            <v>P</v>
          </cell>
          <cell r="AK76" t="str">
            <v>O</v>
          </cell>
          <cell r="AM76" t="str">
            <v>P</v>
          </cell>
          <cell r="AO76" t="str">
            <v>P</v>
          </cell>
          <cell r="AQ76" t="str">
            <v>P</v>
          </cell>
          <cell r="AS76" t="str">
            <v>P</v>
          </cell>
        </row>
        <row r="77">
          <cell r="D77">
            <v>666882904980</v>
          </cell>
          <cell r="E77" t="str">
            <v>MD Shahnawaj Hussain</v>
          </cell>
          <cell r="F77" t="str">
            <v>CNC Operator</v>
          </cell>
          <cell r="G77" t="str">
            <v>PI MPP -12 H PLANT</v>
          </cell>
          <cell r="H77">
            <v>10002</v>
          </cell>
          <cell r="I77" t="str">
            <v>P</v>
          </cell>
          <cell r="K77" t="str">
            <v>P</v>
          </cell>
          <cell r="L77">
            <v>11</v>
          </cell>
          <cell r="M77" t="str">
            <v>P</v>
          </cell>
          <cell r="O77" t="str">
            <v>P</v>
          </cell>
          <cell r="Q77" t="str">
            <v>P</v>
          </cell>
          <cell r="S77" t="str">
            <v>P</v>
          </cell>
          <cell r="U77" t="str">
            <v>P</v>
          </cell>
          <cell r="W77" t="str">
            <v>P</v>
          </cell>
          <cell r="Y77" t="str">
            <v>A</v>
          </cell>
          <cell r="AA77" t="str">
            <v>A</v>
          </cell>
          <cell r="AC77" t="str">
            <v>A</v>
          </cell>
          <cell r="AE77" t="str">
            <v>A</v>
          </cell>
          <cell r="AG77" t="str">
            <v>A</v>
          </cell>
          <cell r="AI77" t="str">
            <v>A</v>
          </cell>
          <cell r="AK77" t="str">
            <v>O</v>
          </cell>
          <cell r="AM77" t="str">
            <v>A</v>
          </cell>
          <cell r="AO77" t="str">
            <v>A</v>
          </cell>
          <cell r="AQ77" t="str">
            <v>A</v>
          </cell>
          <cell r="AS77" t="str">
            <v>A</v>
          </cell>
        </row>
        <row r="78">
          <cell r="D78">
            <v>496337082468</v>
          </cell>
          <cell r="E78" t="str">
            <v>Devendra Sahu</v>
          </cell>
          <cell r="F78" t="str">
            <v xml:space="preserve">Arck Welder </v>
          </cell>
          <cell r="G78" t="str">
            <v>LINDE NETHA.BLUSE H2</v>
          </cell>
          <cell r="H78">
            <v>10009</v>
          </cell>
          <cell r="I78" t="str">
            <v>P</v>
          </cell>
          <cell r="K78" t="str">
            <v>P</v>
          </cell>
          <cell r="L78">
            <v>11</v>
          </cell>
          <cell r="M78" t="str">
            <v>P</v>
          </cell>
          <cell r="O78" t="str">
            <v>P</v>
          </cell>
          <cell r="Q78" t="str">
            <v>P</v>
          </cell>
          <cell r="R78">
            <v>11</v>
          </cell>
          <cell r="S78" t="str">
            <v>P</v>
          </cell>
          <cell r="U78" t="str">
            <v>P</v>
          </cell>
          <cell r="W78" t="str">
            <v>P</v>
          </cell>
          <cell r="Y78" t="str">
            <v>P</v>
          </cell>
          <cell r="Z78">
            <v>11</v>
          </cell>
          <cell r="AA78" t="str">
            <v>P</v>
          </cell>
          <cell r="AC78" t="str">
            <v>P</v>
          </cell>
          <cell r="AE78" t="str">
            <v>P</v>
          </cell>
          <cell r="AG78" t="str">
            <v>P</v>
          </cell>
          <cell r="AI78" t="str">
            <v>P</v>
          </cell>
          <cell r="AK78" t="str">
            <v>O</v>
          </cell>
          <cell r="AM78" t="str">
            <v>P</v>
          </cell>
          <cell r="AN78">
            <v>11</v>
          </cell>
          <cell r="AO78" t="str">
            <v>P</v>
          </cell>
          <cell r="AP78">
            <v>11</v>
          </cell>
          <cell r="AQ78" t="str">
            <v>P</v>
          </cell>
          <cell r="AR78">
            <v>11</v>
          </cell>
          <cell r="AS78" t="str">
            <v>P</v>
          </cell>
          <cell r="AT78">
            <v>11</v>
          </cell>
        </row>
        <row r="79">
          <cell r="D79">
            <v>789995348857</v>
          </cell>
          <cell r="E79" t="str">
            <v>Rakesh Kumar Yadav</v>
          </cell>
          <cell r="F79" t="str">
            <v>Structure Fitter</v>
          </cell>
          <cell r="G79" t="str">
            <v>EPCM  NAVIN</v>
          </cell>
          <cell r="H79">
            <v>10003</v>
          </cell>
          <cell r="I79" t="str">
            <v>P</v>
          </cell>
          <cell r="K79" t="str">
            <v>P</v>
          </cell>
          <cell r="M79" t="str">
            <v>P</v>
          </cell>
          <cell r="O79" t="str">
            <v>P</v>
          </cell>
          <cell r="Q79" t="str">
            <v>P</v>
          </cell>
          <cell r="S79" t="str">
            <v>P</v>
          </cell>
          <cell r="U79" t="str">
            <v>P</v>
          </cell>
          <cell r="W79" t="str">
            <v>P</v>
          </cell>
          <cell r="Y79" t="str">
            <v>P</v>
          </cell>
          <cell r="AA79" t="str">
            <v>P</v>
          </cell>
          <cell r="AC79" t="str">
            <v>P</v>
          </cell>
          <cell r="AE79" t="str">
            <v>P</v>
          </cell>
          <cell r="AG79" t="str">
            <v>P</v>
          </cell>
          <cell r="AI79" t="str">
            <v>P</v>
          </cell>
          <cell r="AK79" t="str">
            <v>O</v>
          </cell>
          <cell r="AM79" t="str">
            <v>P</v>
          </cell>
          <cell r="AO79" t="str">
            <v>P</v>
          </cell>
          <cell r="AQ79" t="str">
            <v>P</v>
          </cell>
          <cell r="AS79" t="str">
            <v>P</v>
          </cell>
        </row>
        <row r="80">
          <cell r="D80">
            <v>403247803462</v>
          </cell>
          <cell r="E80" t="str">
            <v>Himanshu Pandey</v>
          </cell>
          <cell r="F80" t="str">
            <v>Drill Machine Operator</v>
          </cell>
          <cell r="G80" t="str">
            <v>LINDE PANIPAT HGU</v>
          </cell>
          <cell r="H80">
            <v>10006</v>
          </cell>
          <cell r="I80" t="str">
            <v>P</v>
          </cell>
          <cell r="K80" t="str">
            <v>P</v>
          </cell>
          <cell r="M80" t="str">
            <v>P</v>
          </cell>
          <cell r="O80" t="str">
            <v>P</v>
          </cell>
          <cell r="Q80" t="str">
            <v>P</v>
          </cell>
          <cell r="S80" t="str">
            <v>P</v>
          </cell>
          <cell r="U80" t="str">
            <v>P</v>
          </cell>
          <cell r="W80" t="str">
            <v>P</v>
          </cell>
          <cell r="Y80" t="str">
            <v>P</v>
          </cell>
          <cell r="AA80" t="str">
            <v>P</v>
          </cell>
          <cell r="AC80" t="str">
            <v>P</v>
          </cell>
          <cell r="AE80" t="str">
            <v>P</v>
          </cell>
          <cell r="AG80" t="str">
            <v>P</v>
          </cell>
          <cell r="AI80" t="str">
            <v>P</v>
          </cell>
          <cell r="AK80" t="str">
            <v>O</v>
          </cell>
          <cell r="AM80" t="str">
            <v>P</v>
          </cell>
          <cell r="AO80" t="str">
            <v>P</v>
          </cell>
          <cell r="AP80">
            <v>11</v>
          </cell>
          <cell r="AQ80" t="str">
            <v>P</v>
          </cell>
          <cell r="AS80" t="str">
            <v>P</v>
          </cell>
        </row>
        <row r="81">
          <cell r="D81">
            <v>618623619725</v>
          </cell>
          <cell r="E81" t="str">
            <v>Umesh Singh</v>
          </cell>
          <cell r="F81" t="str">
            <v>Store Rigger</v>
          </cell>
          <cell r="G81" t="str">
            <v>LINDE NETHA.BLUSE H2</v>
          </cell>
          <cell r="H81">
            <v>10009</v>
          </cell>
          <cell r="I81" t="str">
            <v>O</v>
          </cell>
          <cell r="K81" t="str">
            <v>P</v>
          </cell>
          <cell r="M81" t="str">
            <v>P</v>
          </cell>
          <cell r="O81" t="str">
            <v>A</v>
          </cell>
          <cell r="Q81" t="str">
            <v>P</v>
          </cell>
          <cell r="S81" t="str">
            <v>P</v>
          </cell>
          <cell r="T81">
            <v>11</v>
          </cell>
          <cell r="U81" t="str">
            <v>P</v>
          </cell>
          <cell r="W81" t="str">
            <v>P</v>
          </cell>
          <cell r="Y81" t="str">
            <v>P</v>
          </cell>
          <cell r="AA81" t="str">
            <v>P</v>
          </cell>
          <cell r="AC81" t="str">
            <v>A</v>
          </cell>
          <cell r="AE81" t="str">
            <v>P</v>
          </cell>
          <cell r="AG81" t="str">
            <v>P</v>
          </cell>
          <cell r="AI81" t="str">
            <v>P</v>
          </cell>
          <cell r="AK81" t="str">
            <v>P</v>
          </cell>
          <cell r="AM81" t="str">
            <v>P</v>
          </cell>
          <cell r="AO81" t="str">
            <v>P</v>
          </cell>
          <cell r="AP81">
            <v>11</v>
          </cell>
          <cell r="AQ81" t="str">
            <v>P</v>
          </cell>
          <cell r="AR81">
            <v>11</v>
          </cell>
          <cell r="AS81" t="str">
            <v>P</v>
          </cell>
          <cell r="AT81">
            <v>11</v>
          </cell>
        </row>
        <row r="82">
          <cell r="D82">
            <v>723201315538</v>
          </cell>
          <cell r="E82" t="str">
            <v>Surendra Ram</v>
          </cell>
          <cell r="F82" t="str">
            <v>Driver</v>
          </cell>
          <cell r="G82" t="str">
            <v>PI MPP -12 H PLANT</v>
          </cell>
          <cell r="H82">
            <v>10002</v>
          </cell>
          <cell r="I82" t="str">
            <v>P</v>
          </cell>
          <cell r="K82" t="str">
            <v>P</v>
          </cell>
          <cell r="M82" t="str">
            <v>P</v>
          </cell>
          <cell r="O82" t="str">
            <v>P</v>
          </cell>
          <cell r="Q82" t="str">
            <v>P</v>
          </cell>
          <cell r="S82" t="str">
            <v>P</v>
          </cell>
          <cell r="U82" t="str">
            <v>P</v>
          </cell>
          <cell r="W82" t="str">
            <v>P</v>
          </cell>
          <cell r="Y82" t="str">
            <v>P</v>
          </cell>
          <cell r="AA82" t="str">
            <v>P</v>
          </cell>
          <cell r="AC82" t="str">
            <v>P</v>
          </cell>
          <cell r="AE82" t="str">
            <v>P</v>
          </cell>
          <cell r="AG82" t="str">
            <v>P</v>
          </cell>
          <cell r="AI82" t="str">
            <v>P</v>
          </cell>
          <cell r="AL82">
            <v>6</v>
          </cell>
          <cell r="AM82" t="str">
            <v>P</v>
          </cell>
          <cell r="AO82" t="str">
            <v>P</v>
          </cell>
          <cell r="AQ82" t="str">
            <v>P</v>
          </cell>
          <cell r="AS82" t="str">
            <v>P</v>
          </cell>
        </row>
        <row r="83">
          <cell r="D83">
            <v>564846435604</v>
          </cell>
          <cell r="E83" t="str">
            <v>Yaseen Khan</v>
          </cell>
          <cell r="F83" t="str">
            <v>Driver</v>
          </cell>
          <cell r="G83" t="str">
            <v>PI MPP -12 H PLANT</v>
          </cell>
          <cell r="H83">
            <v>10002</v>
          </cell>
          <cell r="I83" t="str">
            <v>P</v>
          </cell>
          <cell r="K83" t="str">
            <v>P</v>
          </cell>
          <cell r="M83" t="str">
            <v>P</v>
          </cell>
          <cell r="O83" t="str">
            <v>P</v>
          </cell>
          <cell r="Q83" t="str">
            <v>P</v>
          </cell>
          <cell r="S83" t="str">
            <v>P</v>
          </cell>
          <cell r="U83" t="str">
            <v>P</v>
          </cell>
          <cell r="W83" t="str">
            <v>P</v>
          </cell>
          <cell r="Y83" t="str">
            <v>P</v>
          </cell>
          <cell r="AA83" t="str">
            <v>P</v>
          </cell>
          <cell r="AC83" t="str">
            <v>P</v>
          </cell>
          <cell r="AE83" t="str">
            <v>P</v>
          </cell>
          <cell r="AG83" t="str">
            <v>P</v>
          </cell>
          <cell r="AI83" t="str">
            <v>P</v>
          </cell>
          <cell r="AK83" t="str">
            <v>O</v>
          </cell>
          <cell r="AM83" t="str">
            <v>P</v>
          </cell>
          <cell r="AO83" t="str">
            <v>P</v>
          </cell>
          <cell r="AQ83" t="str">
            <v>P</v>
          </cell>
          <cell r="AS83" t="str">
            <v>P</v>
          </cell>
        </row>
        <row r="84">
          <cell r="D84">
            <v>761582403323</v>
          </cell>
          <cell r="E84" t="str">
            <v>Vikash Kumar</v>
          </cell>
          <cell r="F84" t="str">
            <v>Structure Fitter</v>
          </cell>
          <cell r="G84" t="str">
            <v>LINDE NETHA.BLUSE H2</v>
          </cell>
          <cell r="H84">
            <v>10009</v>
          </cell>
          <cell r="I84" t="str">
            <v>P</v>
          </cell>
          <cell r="K84" t="str">
            <v>P</v>
          </cell>
          <cell r="L84">
            <v>11</v>
          </cell>
          <cell r="M84" t="str">
            <v>P</v>
          </cell>
          <cell r="N84">
            <v>11</v>
          </cell>
          <cell r="O84" t="str">
            <v>P</v>
          </cell>
          <cell r="Q84" t="str">
            <v>P</v>
          </cell>
          <cell r="S84" t="str">
            <v>P</v>
          </cell>
          <cell r="T84">
            <v>11</v>
          </cell>
          <cell r="U84" t="str">
            <v>P</v>
          </cell>
          <cell r="W84" t="str">
            <v>P</v>
          </cell>
          <cell r="X84">
            <v>11</v>
          </cell>
          <cell r="Y84" t="str">
            <v>P</v>
          </cell>
          <cell r="AA84" t="str">
            <v>P</v>
          </cell>
          <cell r="AC84" t="str">
            <v>P</v>
          </cell>
          <cell r="AE84" t="str">
            <v>P</v>
          </cell>
          <cell r="AG84" t="str">
            <v>P</v>
          </cell>
          <cell r="AI84" t="str">
            <v>P</v>
          </cell>
          <cell r="AK84" t="str">
            <v>O</v>
          </cell>
          <cell r="AM84" t="str">
            <v>P</v>
          </cell>
          <cell r="AO84" t="str">
            <v>P</v>
          </cell>
          <cell r="AQ84" t="str">
            <v>P</v>
          </cell>
          <cell r="AR84">
            <v>11</v>
          </cell>
          <cell r="AS84" t="str">
            <v>P</v>
          </cell>
          <cell r="AT84">
            <v>11</v>
          </cell>
        </row>
        <row r="85">
          <cell r="D85">
            <v>466717574553</v>
          </cell>
          <cell r="E85" t="str">
            <v>Rohit Kumar Gond</v>
          </cell>
          <cell r="F85" t="str">
            <v>Helper</v>
          </cell>
          <cell r="G85" t="str">
            <v>LINDE PANIPAT HGU</v>
          </cell>
          <cell r="H85">
            <v>10006</v>
          </cell>
          <cell r="I85" t="str">
            <v>P</v>
          </cell>
          <cell r="K85" t="str">
            <v>P</v>
          </cell>
          <cell r="M85" t="str">
            <v>A</v>
          </cell>
          <cell r="O85" t="str">
            <v>P</v>
          </cell>
          <cell r="Q85" t="str">
            <v>P</v>
          </cell>
          <cell r="S85" t="str">
            <v>P</v>
          </cell>
          <cell r="U85" t="str">
            <v>P</v>
          </cell>
          <cell r="V85">
            <v>11</v>
          </cell>
          <cell r="W85" t="str">
            <v>P</v>
          </cell>
          <cell r="Y85" t="str">
            <v>A</v>
          </cell>
          <cell r="AA85" t="str">
            <v>P</v>
          </cell>
          <cell r="AC85" t="str">
            <v>P</v>
          </cell>
          <cell r="AE85" t="str">
            <v>A</v>
          </cell>
          <cell r="AG85" t="str">
            <v>P</v>
          </cell>
          <cell r="AI85" t="str">
            <v>O</v>
          </cell>
          <cell r="AM85" t="str">
            <v>o</v>
          </cell>
          <cell r="AQ85">
            <v>0</v>
          </cell>
          <cell r="AS85" t="str">
            <v>o</v>
          </cell>
        </row>
        <row r="86">
          <cell r="D86">
            <v>600736893310</v>
          </cell>
          <cell r="E86" t="str">
            <v>Akilesh Singh</v>
          </cell>
          <cell r="F86" t="str">
            <v>Store Rigger</v>
          </cell>
          <cell r="G86" t="str">
            <v>LINDE PANIPAT HGU</v>
          </cell>
          <cell r="H86">
            <v>10006</v>
          </cell>
          <cell r="I86" t="str">
            <v>P</v>
          </cell>
          <cell r="K86" t="str">
            <v>P</v>
          </cell>
          <cell r="M86" t="str">
            <v>P</v>
          </cell>
          <cell r="O86" t="str">
            <v>P</v>
          </cell>
          <cell r="P86">
            <v>11</v>
          </cell>
          <cell r="Q86" t="str">
            <v>P</v>
          </cell>
          <cell r="S86" t="str">
            <v>P</v>
          </cell>
          <cell r="U86" t="str">
            <v>P</v>
          </cell>
          <cell r="W86" t="str">
            <v>P</v>
          </cell>
          <cell r="Y86" t="str">
            <v>P</v>
          </cell>
          <cell r="AA86" t="str">
            <v>P</v>
          </cell>
          <cell r="AC86" t="str">
            <v>P</v>
          </cell>
          <cell r="AE86" t="str">
            <v>P</v>
          </cell>
          <cell r="AG86" t="str">
            <v>P</v>
          </cell>
          <cell r="AI86" t="str">
            <v>P</v>
          </cell>
          <cell r="AK86" t="str">
            <v>O</v>
          </cell>
          <cell r="AM86" t="str">
            <v>P</v>
          </cell>
          <cell r="AO86" t="str">
            <v>P</v>
          </cell>
          <cell r="AQ86" t="str">
            <v>P</v>
          </cell>
          <cell r="AS86" t="str">
            <v>P</v>
          </cell>
        </row>
        <row r="87">
          <cell r="D87">
            <v>673960287768</v>
          </cell>
          <cell r="E87" t="str">
            <v>Vivek Yadav</v>
          </cell>
          <cell r="F87" t="str">
            <v>Structure Fitter</v>
          </cell>
          <cell r="G87" t="str">
            <v>PI MPP -12 H PLANT</v>
          </cell>
          <cell r="H87">
            <v>10002</v>
          </cell>
          <cell r="I87" t="str">
            <v>O</v>
          </cell>
          <cell r="K87" t="str">
            <v>A</v>
          </cell>
          <cell r="M87" t="str">
            <v>P</v>
          </cell>
          <cell r="O87" t="str">
            <v>P</v>
          </cell>
          <cell r="Q87" t="str">
            <v>P</v>
          </cell>
          <cell r="S87" t="str">
            <v>P</v>
          </cell>
          <cell r="U87" t="str">
            <v>P</v>
          </cell>
          <cell r="W87" t="str">
            <v>P</v>
          </cell>
          <cell r="Y87" t="str">
            <v>P</v>
          </cell>
          <cell r="AA87" t="str">
            <v>P</v>
          </cell>
          <cell r="AC87" t="str">
            <v>P</v>
          </cell>
          <cell r="AE87" t="str">
            <v>P</v>
          </cell>
          <cell r="AG87" t="str">
            <v>P</v>
          </cell>
          <cell r="AI87" t="str">
            <v>P</v>
          </cell>
          <cell r="AK87" t="str">
            <v>O</v>
          </cell>
          <cell r="AM87" t="str">
            <v>A</v>
          </cell>
          <cell r="AO87" t="str">
            <v>A</v>
          </cell>
          <cell r="AQ87" t="str">
            <v>P</v>
          </cell>
          <cell r="AS87" t="str">
            <v>P</v>
          </cell>
        </row>
        <row r="88">
          <cell r="D88">
            <v>370640873881</v>
          </cell>
          <cell r="E88" t="str">
            <v>Shatrudhan Mahto</v>
          </cell>
          <cell r="F88" t="str">
            <v>Grinder</v>
          </cell>
          <cell r="G88" t="str">
            <v>PI MPP -12 H PLANT</v>
          </cell>
          <cell r="H88">
            <v>10002</v>
          </cell>
          <cell r="I88" t="str">
            <v>P</v>
          </cell>
          <cell r="K88" t="str">
            <v>P</v>
          </cell>
          <cell r="L88">
            <v>11</v>
          </cell>
          <cell r="M88" t="str">
            <v>P</v>
          </cell>
          <cell r="O88" t="str">
            <v>P</v>
          </cell>
          <cell r="P88">
            <v>11</v>
          </cell>
          <cell r="Q88" t="str">
            <v>A</v>
          </cell>
          <cell r="S88" t="str">
            <v>P</v>
          </cell>
          <cell r="U88" t="str">
            <v>P</v>
          </cell>
          <cell r="W88" t="str">
            <v>P</v>
          </cell>
          <cell r="Y88" t="str">
            <v>P</v>
          </cell>
          <cell r="AA88" t="str">
            <v>A</v>
          </cell>
          <cell r="AC88" t="str">
            <v>P</v>
          </cell>
          <cell r="AE88" t="str">
            <v>P</v>
          </cell>
          <cell r="AG88" t="str">
            <v>P</v>
          </cell>
          <cell r="AI88" t="str">
            <v>P</v>
          </cell>
          <cell r="AK88" t="str">
            <v>O</v>
          </cell>
          <cell r="AM88" t="str">
            <v>P</v>
          </cell>
          <cell r="AN88">
            <v>11</v>
          </cell>
          <cell r="AO88" t="str">
            <v>P</v>
          </cell>
          <cell r="AP88">
            <v>11</v>
          </cell>
          <cell r="AQ88" t="str">
            <v>P</v>
          </cell>
          <cell r="AR88">
            <v>11</v>
          </cell>
          <cell r="AS88" t="str">
            <v>P</v>
          </cell>
          <cell r="AT88">
            <v>11</v>
          </cell>
        </row>
        <row r="89">
          <cell r="D89">
            <v>720072460474</v>
          </cell>
          <cell r="E89" t="str">
            <v>Parmeshwar Dayal</v>
          </cell>
          <cell r="F89" t="str">
            <v>CO2 Welder</v>
          </cell>
          <cell r="G89" t="str">
            <v>LINDE NETHA.BLUSE H2</v>
          </cell>
          <cell r="H89">
            <v>10009</v>
          </cell>
          <cell r="I89" t="str">
            <v>P</v>
          </cell>
          <cell r="K89" t="str">
            <v>P</v>
          </cell>
          <cell r="L89">
            <v>11</v>
          </cell>
          <cell r="M89" t="str">
            <v>P</v>
          </cell>
          <cell r="N89">
            <v>11</v>
          </cell>
          <cell r="O89" t="str">
            <v>P</v>
          </cell>
          <cell r="Q89" t="str">
            <v>P</v>
          </cell>
          <cell r="R89">
            <v>11</v>
          </cell>
          <cell r="S89" t="str">
            <v>P</v>
          </cell>
          <cell r="U89" t="str">
            <v>P</v>
          </cell>
          <cell r="W89" t="str">
            <v>P</v>
          </cell>
          <cell r="Y89" t="str">
            <v>P</v>
          </cell>
          <cell r="Z89">
            <v>11</v>
          </cell>
          <cell r="AA89" t="str">
            <v>P</v>
          </cell>
          <cell r="AC89" t="str">
            <v>P</v>
          </cell>
          <cell r="AD89">
            <v>11</v>
          </cell>
          <cell r="AE89" t="str">
            <v>P</v>
          </cell>
          <cell r="AG89" t="str">
            <v>P</v>
          </cell>
          <cell r="AI89" t="str">
            <v>P</v>
          </cell>
          <cell r="AK89" t="str">
            <v>O</v>
          </cell>
          <cell r="AM89" t="str">
            <v>P</v>
          </cell>
          <cell r="AO89" t="str">
            <v>P</v>
          </cell>
          <cell r="AQ89" t="str">
            <v>P</v>
          </cell>
          <cell r="AR89">
            <v>11</v>
          </cell>
          <cell r="AS89" t="str">
            <v>P</v>
          </cell>
          <cell r="AT89">
            <v>11</v>
          </cell>
        </row>
        <row r="90">
          <cell r="D90">
            <v>324967638756</v>
          </cell>
          <cell r="E90" t="str">
            <v>Manish Yadav</v>
          </cell>
          <cell r="F90" t="str">
            <v>Structure Fitter</v>
          </cell>
          <cell r="G90" t="str">
            <v>PI MPP -12 H PLANT</v>
          </cell>
          <cell r="H90">
            <v>10002</v>
          </cell>
          <cell r="I90" t="str">
            <v>P</v>
          </cell>
          <cell r="K90" t="str">
            <v>P</v>
          </cell>
          <cell r="L90">
            <v>11</v>
          </cell>
          <cell r="M90" t="str">
            <v>P</v>
          </cell>
          <cell r="O90" t="str">
            <v>P</v>
          </cell>
          <cell r="P90">
            <v>11</v>
          </cell>
          <cell r="Q90" t="str">
            <v>P</v>
          </cell>
          <cell r="R90">
            <v>11</v>
          </cell>
          <cell r="S90" t="str">
            <v>P</v>
          </cell>
          <cell r="U90" t="str">
            <v>P</v>
          </cell>
          <cell r="W90" t="str">
            <v>P</v>
          </cell>
          <cell r="Y90" t="str">
            <v>A</v>
          </cell>
          <cell r="AA90" t="str">
            <v>A</v>
          </cell>
          <cell r="AC90" t="str">
            <v>P</v>
          </cell>
          <cell r="AE90" t="str">
            <v>P</v>
          </cell>
          <cell r="AG90" t="str">
            <v>P</v>
          </cell>
          <cell r="AI90" t="str">
            <v>P</v>
          </cell>
          <cell r="AK90" t="str">
            <v>O</v>
          </cell>
          <cell r="AM90" t="str">
            <v>P</v>
          </cell>
          <cell r="AO90" t="str">
            <v>P</v>
          </cell>
          <cell r="AQ90" t="str">
            <v>P</v>
          </cell>
          <cell r="AS90" t="str">
            <v>P</v>
          </cell>
        </row>
        <row r="91">
          <cell r="D91">
            <v>341325352433</v>
          </cell>
          <cell r="E91" t="str">
            <v>Mukalesh Kumar Yadav</v>
          </cell>
          <cell r="F91" t="str">
            <v>Structure Fitter</v>
          </cell>
          <cell r="G91" t="str">
            <v>PI MPP -12 H PLANT</v>
          </cell>
          <cell r="H91">
            <v>10002</v>
          </cell>
          <cell r="I91" t="str">
            <v>P</v>
          </cell>
          <cell r="K91" t="str">
            <v>P</v>
          </cell>
          <cell r="L91">
            <v>11</v>
          </cell>
          <cell r="M91" t="str">
            <v>P</v>
          </cell>
          <cell r="N91">
            <v>11</v>
          </cell>
          <cell r="O91" t="str">
            <v>P</v>
          </cell>
          <cell r="P91">
            <v>11</v>
          </cell>
          <cell r="Q91" t="str">
            <v>P</v>
          </cell>
          <cell r="R91">
            <v>11</v>
          </cell>
          <cell r="S91" t="str">
            <v>P</v>
          </cell>
          <cell r="T91">
            <v>11</v>
          </cell>
          <cell r="U91" t="str">
            <v>P</v>
          </cell>
          <cell r="W91" t="str">
            <v>P</v>
          </cell>
          <cell r="Y91" t="str">
            <v>P</v>
          </cell>
          <cell r="AA91" t="str">
            <v>P</v>
          </cell>
          <cell r="AC91" t="str">
            <v>P</v>
          </cell>
          <cell r="AE91" t="str">
            <v>P</v>
          </cell>
          <cell r="AG91" t="str">
            <v>P</v>
          </cell>
          <cell r="AI91" t="str">
            <v>P</v>
          </cell>
          <cell r="AK91" t="str">
            <v>O</v>
          </cell>
          <cell r="AM91" t="str">
            <v>P</v>
          </cell>
          <cell r="AO91" t="str">
            <v>P</v>
          </cell>
          <cell r="AQ91" t="str">
            <v>P</v>
          </cell>
          <cell r="AS91" t="str">
            <v>P</v>
          </cell>
        </row>
        <row r="92">
          <cell r="D92">
            <v>779956704754</v>
          </cell>
          <cell r="E92" t="str">
            <v>Akhilesh Kumar</v>
          </cell>
          <cell r="F92" t="str">
            <v>Helper</v>
          </cell>
          <cell r="G92" t="str">
            <v>PI MPP -12 H PLANT</v>
          </cell>
          <cell r="H92">
            <v>10002</v>
          </cell>
          <cell r="I92" t="str">
            <v>P</v>
          </cell>
          <cell r="K92" t="str">
            <v>P</v>
          </cell>
          <cell r="M92" t="str">
            <v>P</v>
          </cell>
          <cell r="O92" t="str">
            <v>P</v>
          </cell>
          <cell r="Q92" t="str">
            <v>P</v>
          </cell>
          <cell r="S92" t="str">
            <v>P</v>
          </cell>
          <cell r="U92" t="str">
            <v>P</v>
          </cell>
          <cell r="W92" t="str">
            <v>P</v>
          </cell>
          <cell r="Y92" t="str">
            <v>P</v>
          </cell>
          <cell r="AA92" t="str">
            <v>P</v>
          </cell>
          <cell r="AC92" t="str">
            <v>A</v>
          </cell>
          <cell r="AE92" t="str">
            <v>P</v>
          </cell>
          <cell r="AG92" t="str">
            <v>P</v>
          </cell>
          <cell r="AI92" t="str">
            <v>P</v>
          </cell>
          <cell r="AK92" t="str">
            <v>O</v>
          </cell>
          <cell r="AM92" t="str">
            <v>P</v>
          </cell>
          <cell r="AO92" t="str">
            <v>P</v>
          </cell>
          <cell r="AQ92" t="str">
            <v>P</v>
          </cell>
          <cell r="AS92" t="str">
            <v>P</v>
          </cell>
        </row>
        <row r="93">
          <cell r="D93">
            <v>312516996186</v>
          </cell>
          <cell r="E93" t="str">
            <v>Ramudagar Mandal</v>
          </cell>
          <cell r="F93" t="str">
            <v>Tackar Welder</v>
          </cell>
          <cell r="G93" t="str">
            <v>PI MPP -12 H PLANT</v>
          </cell>
          <cell r="H93">
            <v>10002</v>
          </cell>
          <cell r="I93" t="str">
            <v>P</v>
          </cell>
          <cell r="K93" t="str">
            <v>P</v>
          </cell>
          <cell r="L93">
            <v>11</v>
          </cell>
          <cell r="M93" t="str">
            <v>P</v>
          </cell>
          <cell r="N93">
            <v>11</v>
          </cell>
          <cell r="O93" t="str">
            <v>P</v>
          </cell>
          <cell r="Q93" t="str">
            <v>P</v>
          </cell>
          <cell r="S93" t="str">
            <v>P</v>
          </cell>
          <cell r="U93" t="str">
            <v>P</v>
          </cell>
          <cell r="W93" t="str">
            <v>P</v>
          </cell>
          <cell r="Y93" t="str">
            <v>P</v>
          </cell>
          <cell r="AA93" t="str">
            <v>P</v>
          </cell>
          <cell r="AC93" t="str">
            <v>P</v>
          </cell>
          <cell r="AE93" t="str">
            <v>P</v>
          </cell>
          <cell r="AG93" t="str">
            <v>P</v>
          </cell>
          <cell r="AI93" t="str">
            <v>P</v>
          </cell>
          <cell r="AK93" t="str">
            <v>O</v>
          </cell>
          <cell r="AM93" t="str">
            <v>P</v>
          </cell>
          <cell r="AO93" t="str">
            <v>P</v>
          </cell>
          <cell r="AQ93" t="str">
            <v>P</v>
          </cell>
          <cell r="AS93" t="str">
            <v>P</v>
          </cell>
        </row>
        <row r="94">
          <cell r="D94">
            <v>787430109863</v>
          </cell>
          <cell r="E94" t="str">
            <v>Shiv Balak</v>
          </cell>
          <cell r="F94" t="str">
            <v>Store Rigger</v>
          </cell>
          <cell r="G94" t="str">
            <v>PI MPP -12 H PLANT</v>
          </cell>
          <cell r="H94">
            <v>10002</v>
          </cell>
          <cell r="I94" t="str">
            <v>P</v>
          </cell>
          <cell r="K94" t="str">
            <v>P</v>
          </cell>
          <cell r="M94" t="str">
            <v>P</v>
          </cell>
          <cell r="O94" t="str">
            <v>P</v>
          </cell>
          <cell r="Q94" t="str">
            <v>P</v>
          </cell>
          <cell r="S94" t="str">
            <v>P</v>
          </cell>
          <cell r="U94" t="str">
            <v>P</v>
          </cell>
          <cell r="W94" t="str">
            <v>P</v>
          </cell>
          <cell r="Y94" t="str">
            <v>P</v>
          </cell>
          <cell r="AA94" t="str">
            <v>P</v>
          </cell>
          <cell r="AC94" t="str">
            <v>P</v>
          </cell>
          <cell r="AE94" t="str">
            <v>P</v>
          </cell>
          <cell r="AG94" t="str">
            <v>P</v>
          </cell>
          <cell r="AI94" t="str">
            <v>P</v>
          </cell>
          <cell r="AK94" t="str">
            <v>O</v>
          </cell>
          <cell r="AM94" t="str">
            <v>P</v>
          </cell>
          <cell r="AO94" t="str">
            <v>P</v>
          </cell>
          <cell r="AQ94" t="str">
            <v>P</v>
          </cell>
          <cell r="AS94" t="str">
            <v>P</v>
          </cell>
        </row>
        <row r="95">
          <cell r="D95">
            <v>303315006759</v>
          </cell>
          <cell r="E95" t="str">
            <v>Jay Kisun Pandit</v>
          </cell>
          <cell r="F95" t="str">
            <v>Grinder</v>
          </cell>
          <cell r="G95" t="str">
            <v>EPCM  NAVIN</v>
          </cell>
          <cell r="H95">
            <v>10003</v>
          </cell>
          <cell r="I95" t="str">
            <v>P</v>
          </cell>
          <cell r="K95" t="str">
            <v>P</v>
          </cell>
          <cell r="M95" t="str">
            <v>A</v>
          </cell>
          <cell r="O95" t="str">
            <v>P</v>
          </cell>
          <cell r="Q95" t="str">
            <v>P</v>
          </cell>
          <cell r="S95" t="str">
            <v>P</v>
          </cell>
          <cell r="U95" t="str">
            <v>P</v>
          </cell>
          <cell r="V95">
            <v>11</v>
          </cell>
          <cell r="W95" t="str">
            <v>P</v>
          </cell>
          <cell r="Y95" t="str">
            <v>P</v>
          </cell>
          <cell r="Z95">
            <v>11</v>
          </cell>
          <cell r="AA95" t="str">
            <v>P</v>
          </cell>
          <cell r="AC95" t="str">
            <v>P</v>
          </cell>
          <cell r="AD95">
            <v>11</v>
          </cell>
          <cell r="AE95" t="str">
            <v>P</v>
          </cell>
          <cell r="AG95" t="str">
            <v>P</v>
          </cell>
          <cell r="AI95" t="str">
            <v>P</v>
          </cell>
          <cell r="AK95" t="str">
            <v>O</v>
          </cell>
          <cell r="AM95" t="str">
            <v>P</v>
          </cell>
          <cell r="AN95">
            <v>11</v>
          </cell>
          <cell r="AO95" t="str">
            <v>P</v>
          </cell>
          <cell r="AQ95" t="str">
            <v>P</v>
          </cell>
          <cell r="AR95">
            <v>11</v>
          </cell>
          <cell r="AS95" t="str">
            <v>P</v>
          </cell>
          <cell r="AT95">
            <v>11</v>
          </cell>
        </row>
        <row r="96">
          <cell r="D96">
            <v>661232014431</v>
          </cell>
          <cell r="E96" t="str">
            <v>Ramkumar Chaudhari</v>
          </cell>
          <cell r="F96" t="str">
            <v>Electrician</v>
          </cell>
          <cell r="G96" t="str">
            <v>PI MPP -12 H PLANT</v>
          </cell>
          <cell r="H96">
            <v>10002</v>
          </cell>
          <cell r="I96" t="str">
            <v>P</v>
          </cell>
          <cell r="K96" t="str">
            <v>P</v>
          </cell>
          <cell r="M96" t="str">
            <v>P</v>
          </cell>
          <cell r="O96" t="str">
            <v>P</v>
          </cell>
          <cell r="Q96" t="str">
            <v>P</v>
          </cell>
          <cell r="S96" t="str">
            <v>P</v>
          </cell>
          <cell r="U96" t="str">
            <v>P</v>
          </cell>
          <cell r="W96" t="str">
            <v>P</v>
          </cell>
          <cell r="Y96" t="str">
            <v>P</v>
          </cell>
          <cell r="AA96" t="str">
            <v>P</v>
          </cell>
          <cell r="AC96" t="str">
            <v>P</v>
          </cell>
          <cell r="AE96" t="str">
            <v>P</v>
          </cell>
          <cell r="AG96" t="str">
            <v>P</v>
          </cell>
          <cell r="AI96" t="str">
            <v>P</v>
          </cell>
          <cell r="AK96" t="str">
            <v>O</v>
          </cell>
          <cell r="AM96" t="str">
            <v>P</v>
          </cell>
          <cell r="AO96" t="str">
            <v>P</v>
          </cell>
          <cell r="AQ96" t="str">
            <v>P</v>
          </cell>
          <cell r="AS96" t="str">
            <v>P</v>
          </cell>
        </row>
        <row r="97">
          <cell r="D97">
            <v>574866988141</v>
          </cell>
          <cell r="E97" t="str">
            <v>Vikash Kumar Chaudhary</v>
          </cell>
          <cell r="F97" t="str">
            <v>Asst. Fitter</v>
          </cell>
          <cell r="G97" t="str">
            <v>EPCM  NAVIN</v>
          </cell>
          <cell r="H97">
            <v>10003</v>
          </cell>
          <cell r="I97" t="str">
            <v>P</v>
          </cell>
          <cell r="K97" t="str">
            <v>P</v>
          </cell>
          <cell r="M97" t="str">
            <v>P</v>
          </cell>
          <cell r="O97" t="str">
            <v>P</v>
          </cell>
          <cell r="Q97" t="str">
            <v>P</v>
          </cell>
          <cell r="S97" t="str">
            <v>P</v>
          </cell>
          <cell r="U97" t="str">
            <v>P</v>
          </cell>
          <cell r="W97" t="str">
            <v>P</v>
          </cell>
          <cell r="Y97" t="str">
            <v>P</v>
          </cell>
          <cell r="AA97" t="str">
            <v>A</v>
          </cell>
          <cell r="AC97" t="str">
            <v>P</v>
          </cell>
          <cell r="AE97" t="str">
            <v>P</v>
          </cell>
          <cell r="AG97" t="str">
            <v>P</v>
          </cell>
          <cell r="AI97" t="str">
            <v>P</v>
          </cell>
          <cell r="AK97" t="str">
            <v>O</v>
          </cell>
          <cell r="AM97" t="str">
            <v>A</v>
          </cell>
          <cell r="AO97" t="str">
            <v>P</v>
          </cell>
          <cell r="AQ97" t="str">
            <v>P</v>
          </cell>
          <cell r="AS97" t="str">
            <v>P</v>
          </cell>
        </row>
        <row r="98">
          <cell r="D98">
            <v>743239827027</v>
          </cell>
          <cell r="E98" t="str">
            <v>Jitendra Kumar</v>
          </cell>
          <cell r="F98" t="str">
            <v>CO2 Welder</v>
          </cell>
          <cell r="G98" t="str">
            <v>PI MPP -12 H PLANT</v>
          </cell>
          <cell r="H98">
            <v>10002</v>
          </cell>
          <cell r="I98" t="str">
            <v>P</v>
          </cell>
          <cell r="K98" t="str">
            <v>P</v>
          </cell>
          <cell r="L98">
            <v>11</v>
          </cell>
          <cell r="M98" t="str">
            <v>P</v>
          </cell>
          <cell r="N98">
            <v>11</v>
          </cell>
          <cell r="O98" t="str">
            <v>P</v>
          </cell>
          <cell r="Q98" t="str">
            <v>P</v>
          </cell>
          <cell r="R98">
            <v>11</v>
          </cell>
          <cell r="S98" t="str">
            <v>P</v>
          </cell>
          <cell r="U98" t="str">
            <v>P</v>
          </cell>
          <cell r="W98" t="str">
            <v>P</v>
          </cell>
          <cell r="Y98" t="str">
            <v>P</v>
          </cell>
          <cell r="AA98" t="str">
            <v>P</v>
          </cell>
          <cell r="AC98" t="str">
            <v>P</v>
          </cell>
          <cell r="AE98" t="str">
            <v>P</v>
          </cell>
          <cell r="AG98" t="str">
            <v>P</v>
          </cell>
          <cell r="AI98" t="str">
            <v>P</v>
          </cell>
          <cell r="AK98" t="str">
            <v>O</v>
          </cell>
          <cell r="AM98" t="str">
            <v>P</v>
          </cell>
          <cell r="AO98" t="str">
            <v>P</v>
          </cell>
          <cell r="AQ98" t="str">
            <v>P</v>
          </cell>
          <cell r="AS98" t="str">
            <v>P</v>
          </cell>
        </row>
        <row r="99">
          <cell r="D99">
            <v>296348850338</v>
          </cell>
          <cell r="E99" t="str">
            <v>Alok Kumar</v>
          </cell>
          <cell r="F99" t="str">
            <v>Tacker Welder</v>
          </cell>
          <cell r="G99" t="str">
            <v>LINDE PANIPAT HGU</v>
          </cell>
          <cell r="H99">
            <v>10006</v>
          </cell>
          <cell r="I99" t="str">
            <v>O</v>
          </cell>
          <cell r="K99" t="str">
            <v>A</v>
          </cell>
          <cell r="M99" t="str">
            <v>A</v>
          </cell>
          <cell r="O99" t="str">
            <v>A</v>
          </cell>
          <cell r="Q99" t="str">
            <v>P</v>
          </cell>
          <cell r="S99" t="str">
            <v>P</v>
          </cell>
          <cell r="U99" t="str">
            <v>P</v>
          </cell>
          <cell r="W99" t="str">
            <v>P</v>
          </cell>
          <cell r="Y99" t="str">
            <v>P</v>
          </cell>
          <cell r="AA99" t="str">
            <v>P</v>
          </cell>
          <cell r="AC99" t="str">
            <v>P</v>
          </cell>
          <cell r="AE99" t="str">
            <v>P</v>
          </cell>
          <cell r="AG99" t="str">
            <v>P</v>
          </cell>
          <cell r="AI99" t="str">
            <v>P</v>
          </cell>
          <cell r="AK99" t="str">
            <v>O</v>
          </cell>
          <cell r="AM99" t="str">
            <v>P</v>
          </cell>
          <cell r="AO99" t="str">
            <v>P</v>
          </cell>
          <cell r="AQ99" t="str">
            <v>A</v>
          </cell>
          <cell r="AS99" t="str">
            <v>P</v>
          </cell>
        </row>
        <row r="100">
          <cell r="D100">
            <v>680040668358</v>
          </cell>
          <cell r="E100" t="str">
            <v>Anurag Kumar</v>
          </cell>
          <cell r="F100" t="str">
            <v>Helper</v>
          </cell>
          <cell r="G100" t="str">
            <v>EPCM  NAVIN</v>
          </cell>
          <cell r="H100">
            <v>10003</v>
          </cell>
          <cell r="I100" t="str">
            <v>P</v>
          </cell>
          <cell r="K100" t="str">
            <v>A</v>
          </cell>
          <cell r="M100" t="str">
            <v>A</v>
          </cell>
          <cell r="O100" t="str">
            <v>A</v>
          </cell>
          <cell r="Q100" t="str">
            <v>P</v>
          </cell>
          <cell r="S100" t="str">
            <v>P</v>
          </cell>
          <cell r="U100" t="str">
            <v>P</v>
          </cell>
          <cell r="W100" t="str">
            <v>P</v>
          </cell>
          <cell r="Y100" t="str">
            <v>A</v>
          </cell>
          <cell r="AA100" t="str">
            <v>A</v>
          </cell>
          <cell r="AC100" t="str">
            <v>P</v>
          </cell>
          <cell r="AE100" t="str">
            <v>P</v>
          </cell>
          <cell r="AG100" t="str">
            <v>A</v>
          </cell>
          <cell r="AI100" t="str">
            <v>A</v>
          </cell>
          <cell r="AK100" t="str">
            <v>O</v>
          </cell>
          <cell r="AM100" t="str">
            <v>A</v>
          </cell>
          <cell r="AO100" t="str">
            <v>A</v>
          </cell>
          <cell r="AQ100" t="str">
            <v>A</v>
          </cell>
          <cell r="AS100" t="str">
            <v>A</v>
          </cell>
        </row>
        <row r="101">
          <cell r="D101">
            <v>655644499418</v>
          </cell>
          <cell r="E101" t="str">
            <v>Anil Kumar Chandravanshi</v>
          </cell>
          <cell r="F101" t="str">
            <v>S.T.Fabricator</v>
          </cell>
          <cell r="G101" t="str">
            <v>LINDE PANIPAT HGU</v>
          </cell>
          <cell r="H101">
            <v>10006</v>
          </cell>
          <cell r="I101" t="str">
            <v>P</v>
          </cell>
          <cell r="K101" t="str">
            <v>P</v>
          </cell>
          <cell r="L101">
            <v>11</v>
          </cell>
          <cell r="M101" t="str">
            <v>P</v>
          </cell>
          <cell r="N101">
            <v>11</v>
          </cell>
          <cell r="O101" t="str">
            <v>P</v>
          </cell>
          <cell r="P101">
            <v>11</v>
          </cell>
          <cell r="Q101" t="str">
            <v>P</v>
          </cell>
          <cell r="R101">
            <v>11</v>
          </cell>
          <cell r="S101" t="str">
            <v>P</v>
          </cell>
          <cell r="U101" t="str">
            <v>P</v>
          </cell>
          <cell r="W101" t="str">
            <v>P</v>
          </cell>
          <cell r="Y101" t="str">
            <v>P</v>
          </cell>
          <cell r="AA101" t="str">
            <v>P</v>
          </cell>
          <cell r="AC101" t="str">
            <v>P</v>
          </cell>
          <cell r="AE101" t="str">
            <v>P</v>
          </cell>
          <cell r="AG101" t="str">
            <v>P</v>
          </cell>
          <cell r="AI101" t="str">
            <v>P</v>
          </cell>
          <cell r="AK101" t="str">
            <v>O</v>
          </cell>
          <cell r="AM101" t="str">
            <v>P</v>
          </cell>
          <cell r="AO101" t="str">
            <v>P</v>
          </cell>
          <cell r="AQ101" t="str">
            <v>P</v>
          </cell>
          <cell r="AS101" t="str">
            <v>P</v>
          </cell>
        </row>
        <row r="102">
          <cell r="D102">
            <v>823106222573</v>
          </cell>
          <cell r="E102" t="str">
            <v>Dhannjay Yadav</v>
          </cell>
          <cell r="F102" t="str">
            <v>CO2 Welder</v>
          </cell>
          <cell r="G102" t="str">
            <v>PI MPP -12 H PLANT</v>
          </cell>
          <cell r="H102">
            <v>10002</v>
          </cell>
          <cell r="I102" t="str">
            <v>P</v>
          </cell>
          <cell r="K102" t="str">
            <v>P</v>
          </cell>
          <cell r="M102" t="str">
            <v>P</v>
          </cell>
          <cell r="N102">
            <v>11</v>
          </cell>
          <cell r="O102" t="str">
            <v>P</v>
          </cell>
          <cell r="Q102" t="str">
            <v>P</v>
          </cell>
          <cell r="R102">
            <v>11</v>
          </cell>
          <cell r="S102" t="str">
            <v>P</v>
          </cell>
          <cell r="T102">
            <v>11</v>
          </cell>
          <cell r="U102" t="str">
            <v>P</v>
          </cell>
          <cell r="W102" t="str">
            <v>P</v>
          </cell>
          <cell r="Y102" t="str">
            <v>P</v>
          </cell>
          <cell r="AA102" t="str">
            <v>P</v>
          </cell>
          <cell r="AC102" t="str">
            <v>P</v>
          </cell>
          <cell r="AE102" t="str">
            <v>P</v>
          </cell>
          <cell r="AG102" t="str">
            <v>P</v>
          </cell>
          <cell r="AI102" t="str">
            <v>P</v>
          </cell>
          <cell r="AK102" t="str">
            <v>O</v>
          </cell>
          <cell r="AM102" t="str">
            <v>P</v>
          </cell>
          <cell r="AO102" t="str">
            <v>P</v>
          </cell>
          <cell r="AQ102" t="str">
            <v>P</v>
          </cell>
          <cell r="AS102" t="str">
            <v>P</v>
          </cell>
        </row>
        <row r="103">
          <cell r="D103">
            <v>895394973847</v>
          </cell>
          <cell r="E103" t="str">
            <v>Ankit Kumar</v>
          </cell>
          <cell r="F103" t="str">
            <v>Helper</v>
          </cell>
          <cell r="G103" t="str">
            <v>LINDE NETHA.BLUSE H2</v>
          </cell>
          <cell r="H103">
            <v>10009</v>
          </cell>
          <cell r="I103" t="str">
            <v>P</v>
          </cell>
          <cell r="K103" t="str">
            <v>P</v>
          </cell>
          <cell r="L103">
            <v>11</v>
          </cell>
          <cell r="M103" t="str">
            <v>A</v>
          </cell>
          <cell r="O103" t="str">
            <v>P</v>
          </cell>
          <cell r="Q103" t="str">
            <v>P</v>
          </cell>
          <cell r="R103">
            <v>11</v>
          </cell>
          <cell r="S103" t="str">
            <v>A</v>
          </cell>
          <cell r="U103" t="str">
            <v>A</v>
          </cell>
          <cell r="W103" t="str">
            <v>O</v>
          </cell>
          <cell r="Y103" t="str">
            <v>P</v>
          </cell>
          <cell r="Z103">
            <v>11</v>
          </cell>
          <cell r="AA103" t="str">
            <v>A</v>
          </cell>
          <cell r="AC103" t="str">
            <v>P</v>
          </cell>
          <cell r="AE103" t="str">
            <v>A</v>
          </cell>
          <cell r="AG103" t="str">
            <v>P</v>
          </cell>
          <cell r="AH103">
            <v>11</v>
          </cell>
          <cell r="AI103" t="str">
            <v>P</v>
          </cell>
          <cell r="AK103" t="str">
            <v>O</v>
          </cell>
          <cell r="AM103" t="str">
            <v>A</v>
          </cell>
          <cell r="AO103" t="str">
            <v>P</v>
          </cell>
          <cell r="AQ103" t="str">
            <v>P</v>
          </cell>
          <cell r="AS103" t="str">
            <v>P</v>
          </cell>
        </row>
        <row r="104">
          <cell r="D104">
            <v>774897487986</v>
          </cell>
          <cell r="E104" t="str">
            <v>Rakesh Ram</v>
          </cell>
          <cell r="F104" t="str">
            <v>Rigger</v>
          </cell>
          <cell r="G104" t="str">
            <v>LINDE PANIPAT HGU</v>
          </cell>
          <cell r="H104">
            <v>10006</v>
          </cell>
          <cell r="I104" t="str">
            <v>P</v>
          </cell>
          <cell r="K104" t="str">
            <v>P</v>
          </cell>
          <cell r="L104">
            <v>11</v>
          </cell>
          <cell r="M104" t="str">
            <v>P</v>
          </cell>
          <cell r="O104" t="str">
            <v>P</v>
          </cell>
          <cell r="Q104" t="str">
            <v>P</v>
          </cell>
          <cell r="S104" t="str">
            <v>P</v>
          </cell>
          <cell r="U104" t="str">
            <v>P</v>
          </cell>
          <cell r="W104" t="str">
            <v>P</v>
          </cell>
          <cell r="Y104" t="str">
            <v>P</v>
          </cell>
          <cell r="AA104" t="str">
            <v>P</v>
          </cell>
          <cell r="AC104" t="str">
            <v>P</v>
          </cell>
          <cell r="AE104" t="str">
            <v>P</v>
          </cell>
          <cell r="AG104" t="str">
            <v>P</v>
          </cell>
          <cell r="AI104" t="str">
            <v>P</v>
          </cell>
          <cell r="AK104" t="str">
            <v>O</v>
          </cell>
          <cell r="AM104" t="str">
            <v>o</v>
          </cell>
          <cell r="AQ104">
            <v>0</v>
          </cell>
          <cell r="AS104" t="str">
            <v>o</v>
          </cell>
        </row>
        <row r="105">
          <cell r="D105">
            <v>467351272771</v>
          </cell>
          <cell r="E105" t="str">
            <v>Md. Ashraf Shah</v>
          </cell>
          <cell r="F105" t="str">
            <v>Grinder</v>
          </cell>
          <cell r="G105" t="str">
            <v>LINDE PANIPAT HGU</v>
          </cell>
          <cell r="H105">
            <v>10006</v>
          </cell>
          <cell r="I105" t="str">
            <v>P</v>
          </cell>
          <cell r="K105" t="str">
            <v>P</v>
          </cell>
          <cell r="L105">
            <v>11</v>
          </cell>
          <cell r="M105" t="str">
            <v>P</v>
          </cell>
          <cell r="O105" t="str">
            <v>P</v>
          </cell>
          <cell r="Q105" t="str">
            <v>P</v>
          </cell>
          <cell r="R105">
            <v>11</v>
          </cell>
          <cell r="S105" t="str">
            <v>P</v>
          </cell>
          <cell r="U105" t="str">
            <v>P</v>
          </cell>
          <cell r="W105" t="str">
            <v>O</v>
          </cell>
          <cell r="Y105" t="str">
            <v>A</v>
          </cell>
          <cell r="AA105" t="str">
            <v>P</v>
          </cell>
          <cell r="AC105" t="str">
            <v>P</v>
          </cell>
          <cell r="AE105" t="str">
            <v>P</v>
          </cell>
          <cell r="AG105" t="str">
            <v>A</v>
          </cell>
          <cell r="AI105" t="str">
            <v>P</v>
          </cell>
          <cell r="AK105" t="str">
            <v>O</v>
          </cell>
          <cell r="AM105" t="str">
            <v>P</v>
          </cell>
          <cell r="AO105" t="str">
            <v>P</v>
          </cell>
          <cell r="AQ105" t="str">
            <v>P</v>
          </cell>
          <cell r="AR105">
            <v>11</v>
          </cell>
          <cell r="AS105" t="str">
            <v>P</v>
          </cell>
          <cell r="AT105">
            <v>11</v>
          </cell>
        </row>
        <row r="106">
          <cell r="D106">
            <v>657823468835</v>
          </cell>
          <cell r="E106" t="str">
            <v>Ritesh Kumar Rajbhar</v>
          </cell>
          <cell r="F106" t="str">
            <v>Tecker Welder</v>
          </cell>
          <cell r="G106" t="str">
            <v>EPCM  NAVIN</v>
          </cell>
          <cell r="H106">
            <v>10003</v>
          </cell>
          <cell r="I106" t="str">
            <v>P</v>
          </cell>
          <cell r="K106" t="str">
            <v>A</v>
          </cell>
          <cell r="M106" t="str">
            <v>P</v>
          </cell>
          <cell r="O106" t="str">
            <v>P</v>
          </cell>
          <cell r="Q106" t="str">
            <v>P</v>
          </cell>
          <cell r="S106" t="str">
            <v>P</v>
          </cell>
          <cell r="U106" t="str">
            <v>P</v>
          </cell>
          <cell r="W106" t="str">
            <v>P</v>
          </cell>
          <cell r="Y106" t="str">
            <v>P</v>
          </cell>
          <cell r="AA106" t="str">
            <v>P</v>
          </cell>
          <cell r="AC106" t="str">
            <v>P</v>
          </cell>
          <cell r="AE106" t="str">
            <v>P</v>
          </cell>
          <cell r="AG106" t="str">
            <v>P</v>
          </cell>
          <cell r="AI106" t="str">
            <v>P</v>
          </cell>
          <cell r="AK106" t="str">
            <v>O</v>
          </cell>
          <cell r="AM106" t="str">
            <v>P</v>
          </cell>
          <cell r="AO106" t="str">
            <v>P</v>
          </cell>
          <cell r="AQ106" t="str">
            <v>P</v>
          </cell>
          <cell r="AS106" t="str">
            <v>P</v>
          </cell>
        </row>
        <row r="107">
          <cell r="D107">
            <v>309224237041</v>
          </cell>
          <cell r="E107" t="str">
            <v>Kundan Manjhi</v>
          </cell>
          <cell r="F107" t="str">
            <v>Rigger</v>
          </cell>
          <cell r="G107" t="str">
            <v>PI MPP -12 H PLANT</v>
          </cell>
          <cell r="H107">
            <v>10002</v>
          </cell>
          <cell r="I107" t="str">
            <v>P</v>
          </cell>
          <cell r="K107" t="str">
            <v>P</v>
          </cell>
          <cell r="L107">
            <v>11</v>
          </cell>
          <cell r="M107" t="str">
            <v>P</v>
          </cell>
          <cell r="N107">
            <v>11</v>
          </cell>
          <cell r="O107" t="str">
            <v>P</v>
          </cell>
          <cell r="P107">
            <v>11</v>
          </cell>
          <cell r="Q107" t="str">
            <v>P</v>
          </cell>
          <cell r="S107" t="str">
            <v>P</v>
          </cell>
          <cell r="T107">
            <v>11</v>
          </cell>
          <cell r="U107" t="str">
            <v>P</v>
          </cell>
          <cell r="V107">
            <v>11</v>
          </cell>
          <cell r="W107" t="str">
            <v>P</v>
          </cell>
          <cell r="Y107" t="str">
            <v>P</v>
          </cell>
          <cell r="AA107" t="str">
            <v>P</v>
          </cell>
          <cell r="AC107" t="str">
            <v>P</v>
          </cell>
          <cell r="AE107" t="str">
            <v>P</v>
          </cell>
          <cell r="AG107" t="str">
            <v>P</v>
          </cell>
          <cell r="AH107">
            <v>11</v>
          </cell>
          <cell r="AI107" t="str">
            <v>P</v>
          </cell>
          <cell r="AK107" t="str">
            <v>O</v>
          </cell>
          <cell r="AM107" t="str">
            <v>P</v>
          </cell>
          <cell r="AN107">
            <v>11</v>
          </cell>
          <cell r="AO107" t="str">
            <v>P</v>
          </cell>
          <cell r="AP107">
            <v>11</v>
          </cell>
          <cell r="AQ107" t="str">
            <v>P</v>
          </cell>
          <cell r="AR107">
            <v>11</v>
          </cell>
          <cell r="AS107" t="str">
            <v>P</v>
          </cell>
          <cell r="AT107">
            <v>11</v>
          </cell>
        </row>
        <row r="108">
          <cell r="D108">
            <v>580619669512</v>
          </cell>
          <cell r="E108" t="str">
            <v>Arbaj Khan</v>
          </cell>
          <cell r="F108" t="str">
            <v>Tacker Welder</v>
          </cell>
          <cell r="G108" t="str">
            <v>EPCM  NAVIN</v>
          </cell>
          <cell r="H108">
            <v>10003</v>
          </cell>
          <cell r="I108" t="str">
            <v>P</v>
          </cell>
          <cell r="K108" t="str">
            <v>P</v>
          </cell>
          <cell r="M108" t="str">
            <v>P</v>
          </cell>
          <cell r="O108" t="str">
            <v>P</v>
          </cell>
          <cell r="Q108" t="str">
            <v>P</v>
          </cell>
          <cell r="S108" t="str">
            <v>P</v>
          </cell>
          <cell r="U108" t="str">
            <v>P</v>
          </cell>
          <cell r="W108" t="str">
            <v>P</v>
          </cell>
          <cell r="Y108" t="str">
            <v>P</v>
          </cell>
          <cell r="AA108" t="str">
            <v>P</v>
          </cell>
          <cell r="AC108" t="str">
            <v>P</v>
          </cell>
          <cell r="AE108" t="str">
            <v>P</v>
          </cell>
          <cell r="AG108" t="str">
            <v>P</v>
          </cell>
          <cell r="AI108" t="str">
            <v>P</v>
          </cell>
          <cell r="AK108" t="str">
            <v>O</v>
          </cell>
          <cell r="AM108" t="str">
            <v>P</v>
          </cell>
          <cell r="AO108" t="str">
            <v>P</v>
          </cell>
          <cell r="AQ108" t="str">
            <v>P</v>
          </cell>
          <cell r="AS108" t="str">
            <v>P</v>
          </cell>
        </row>
        <row r="109">
          <cell r="D109">
            <v>847554102165</v>
          </cell>
          <cell r="E109" t="str">
            <v>Prem Pratigya</v>
          </cell>
          <cell r="F109" t="str">
            <v>CO2 Welder</v>
          </cell>
          <cell r="G109" t="str">
            <v>LINDE NETHA.BLUSE H2</v>
          </cell>
          <cell r="H109">
            <v>10009</v>
          </cell>
          <cell r="I109" t="str">
            <v>P</v>
          </cell>
          <cell r="K109" t="str">
            <v>P</v>
          </cell>
          <cell r="L109">
            <v>11</v>
          </cell>
          <cell r="M109" t="str">
            <v>P</v>
          </cell>
          <cell r="N109">
            <v>11</v>
          </cell>
          <cell r="O109" t="str">
            <v>P</v>
          </cell>
          <cell r="P109">
            <v>11</v>
          </cell>
          <cell r="Q109" t="str">
            <v>P</v>
          </cell>
          <cell r="R109">
            <v>11</v>
          </cell>
          <cell r="S109" t="str">
            <v>P</v>
          </cell>
          <cell r="T109">
            <v>11</v>
          </cell>
          <cell r="U109" t="str">
            <v>P</v>
          </cell>
          <cell r="W109" t="str">
            <v>P</v>
          </cell>
          <cell r="Y109" t="str">
            <v>P</v>
          </cell>
          <cell r="AA109" t="str">
            <v>P</v>
          </cell>
          <cell r="AC109" t="str">
            <v>P</v>
          </cell>
          <cell r="AD109">
            <v>11</v>
          </cell>
          <cell r="AE109" t="str">
            <v>P</v>
          </cell>
          <cell r="AG109" t="str">
            <v>P</v>
          </cell>
          <cell r="AI109" t="str">
            <v>P</v>
          </cell>
          <cell r="AK109" t="str">
            <v>O</v>
          </cell>
          <cell r="AM109" t="str">
            <v>P</v>
          </cell>
          <cell r="AO109" t="str">
            <v>P</v>
          </cell>
          <cell r="AQ109" t="str">
            <v>P</v>
          </cell>
          <cell r="AS109" t="str">
            <v>P</v>
          </cell>
        </row>
        <row r="110">
          <cell r="D110">
            <v>780401750501</v>
          </cell>
          <cell r="E110" t="str">
            <v>Om Kumar</v>
          </cell>
          <cell r="F110" t="str">
            <v>Structure Fitter</v>
          </cell>
          <cell r="G110" t="str">
            <v>LINDE PANIPAT HGU</v>
          </cell>
          <cell r="H110">
            <v>10006</v>
          </cell>
          <cell r="I110" t="str">
            <v>P</v>
          </cell>
          <cell r="K110" t="str">
            <v>A</v>
          </cell>
          <cell r="M110" t="str">
            <v>P</v>
          </cell>
          <cell r="O110" t="str">
            <v>P</v>
          </cell>
          <cell r="Q110" t="str">
            <v>P</v>
          </cell>
          <cell r="S110" t="str">
            <v>P</v>
          </cell>
          <cell r="U110" t="str">
            <v>A</v>
          </cell>
          <cell r="W110" t="str">
            <v>O</v>
          </cell>
          <cell r="Y110" t="str">
            <v>A</v>
          </cell>
          <cell r="AA110" t="str">
            <v>A</v>
          </cell>
          <cell r="AC110" t="str">
            <v>A</v>
          </cell>
          <cell r="AE110" t="str">
            <v>A</v>
          </cell>
          <cell r="AG110" t="str">
            <v>A</v>
          </cell>
          <cell r="AI110" t="str">
            <v>A</v>
          </cell>
          <cell r="AK110" t="str">
            <v>O</v>
          </cell>
          <cell r="AM110" t="str">
            <v>A</v>
          </cell>
          <cell r="AO110" t="str">
            <v>A</v>
          </cell>
          <cell r="AQ110" t="str">
            <v>A</v>
          </cell>
          <cell r="AS110" t="str">
            <v>A</v>
          </cell>
        </row>
        <row r="111">
          <cell r="D111">
            <v>557723361642</v>
          </cell>
          <cell r="E111" t="str">
            <v>Sandeep Kumar Singh</v>
          </cell>
          <cell r="F111" t="str">
            <v>Rigger</v>
          </cell>
          <cell r="G111" t="str">
            <v>PI MPP -12 H PLANT</v>
          </cell>
          <cell r="H111">
            <v>10002</v>
          </cell>
          <cell r="I111" t="str">
            <v>P</v>
          </cell>
          <cell r="K111" t="str">
            <v>P</v>
          </cell>
          <cell r="M111" t="str">
            <v>P</v>
          </cell>
          <cell r="O111" t="str">
            <v>P</v>
          </cell>
          <cell r="Q111" t="str">
            <v>P</v>
          </cell>
          <cell r="S111" t="str">
            <v>P</v>
          </cell>
          <cell r="U111" t="str">
            <v>P</v>
          </cell>
          <cell r="W111" t="str">
            <v>P</v>
          </cell>
          <cell r="Y111" t="str">
            <v>P</v>
          </cell>
          <cell r="AA111" t="str">
            <v>P</v>
          </cell>
          <cell r="AC111" t="str">
            <v>P</v>
          </cell>
          <cell r="AE111" t="str">
            <v>P</v>
          </cell>
          <cell r="AG111" t="str">
            <v>P</v>
          </cell>
          <cell r="AI111" t="str">
            <v>P</v>
          </cell>
          <cell r="AK111" t="str">
            <v>O</v>
          </cell>
          <cell r="AM111" t="str">
            <v>P</v>
          </cell>
          <cell r="AO111" t="str">
            <v>P</v>
          </cell>
          <cell r="AQ111" t="str">
            <v>P</v>
          </cell>
          <cell r="AS111" t="str">
            <v>P</v>
          </cell>
        </row>
        <row r="112">
          <cell r="D112">
            <v>708969198712</v>
          </cell>
          <cell r="E112" t="str">
            <v>Ajay</v>
          </cell>
          <cell r="F112" t="str">
            <v>Driller</v>
          </cell>
          <cell r="G112" t="str">
            <v>EPCM  NAVIN</v>
          </cell>
          <cell r="H112">
            <v>10003</v>
          </cell>
          <cell r="I112" t="str">
            <v>P</v>
          </cell>
          <cell r="K112" t="str">
            <v>P</v>
          </cell>
          <cell r="M112" t="str">
            <v>P</v>
          </cell>
          <cell r="O112" t="str">
            <v>P</v>
          </cell>
          <cell r="P112">
            <v>11</v>
          </cell>
          <cell r="Q112" t="str">
            <v>P</v>
          </cell>
          <cell r="R112">
            <v>11</v>
          </cell>
          <cell r="S112" t="str">
            <v>P</v>
          </cell>
          <cell r="U112" t="str">
            <v>P</v>
          </cell>
          <cell r="W112" t="str">
            <v>P</v>
          </cell>
          <cell r="Y112" t="str">
            <v>P</v>
          </cell>
          <cell r="Z112">
            <v>11</v>
          </cell>
          <cell r="AA112" t="str">
            <v>P</v>
          </cell>
          <cell r="AC112" t="str">
            <v>P</v>
          </cell>
          <cell r="AE112" t="str">
            <v>P</v>
          </cell>
          <cell r="AG112" t="str">
            <v>P</v>
          </cell>
          <cell r="AI112" t="str">
            <v>P</v>
          </cell>
          <cell r="AJ112">
            <v>11</v>
          </cell>
          <cell r="AK112" t="str">
            <v>O</v>
          </cell>
          <cell r="AM112" t="str">
            <v>P</v>
          </cell>
          <cell r="AO112" t="str">
            <v>P</v>
          </cell>
          <cell r="AQ112" t="str">
            <v>P</v>
          </cell>
          <cell r="AS112" t="str">
            <v>P</v>
          </cell>
        </row>
        <row r="113">
          <cell r="D113">
            <v>721897666064</v>
          </cell>
          <cell r="E113" t="str">
            <v>Hejari Mahto</v>
          </cell>
          <cell r="F113" t="str">
            <v>Grinder</v>
          </cell>
          <cell r="G113" t="str">
            <v>LINDE PANIPAT HGU</v>
          </cell>
          <cell r="H113">
            <v>10006</v>
          </cell>
          <cell r="I113" t="str">
            <v>P</v>
          </cell>
          <cell r="K113" t="str">
            <v>P</v>
          </cell>
          <cell r="M113" t="str">
            <v>P</v>
          </cell>
          <cell r="O113" t="str">
            <v>P</v>
          </cell>
          <cell r="Q113" t="str">
            <v>P</v>
          </cell>
          <cell r="S113" t="str">
            <v>P</v>
          </cell>
          <cell r="U113" t="str">
            <v>P</v>
          </cell>
          <cell r="W113" t="str">
            <v>P</v>
          </cell>
          <cell r="Y113" t="str">
            <v>P</v>
          </cell>
          <cell r="AA113" t="str">
            <v>P</v>
          </cell>
          <cell r="AC113" t="str">
            <v>P</v>
          </cell>
          <cell r="AE113" t="str">
            <v>P</v>
          </cell>
          <cell r="AG113" t="str">
            <v>P</v>
          </cell>
          <cell r="AI113" t="str">
            <v>P</v>
          </cell>
          <cell r="AK113" t="str">
            <v>O</v>
          </cell>
          <cell r="AM113" t="str">
            <v>P</v>
          </cell>
          <cell r="AO113" t="str">
            <v>P</v>
          </cell>
          <cell r="AQ113" t="str">
            <v>P</v>
          </cell>
          <cell r="AS113" t="str">
            <v>P</v>
          </cell>
        </row>
        <row r="114">
          <cell r="D114">
            <v>763570428610</v>
          </cell>
          <cell r="E114" t="str">
            <v>Lal Chandra</v>
          </cell>
          <cell r="F114" t="str">
            <v>Rigger</v>
          </cell>
          <cell r="G114" t="str">
            <v>EPCM  NAVIN</v>
          </cell>
          <cell r="H114">
            <v>10003</v>
          </cell>
          <cell r="I114" t="str">
            <v>P</v>
          </cell>
          <cell r="K114" t="str">
            <v>P</v>
          </cell>
          <cell r="L114">
            <v>11</v>
          </cell>
          <cell r="M114" t="str">
            <v>P</v>
          </cell>
          <cell r="O114" t="str">
            <v>P</v>
          </cell>
          <cell r="P114">
            <v>11</v>
          </cell>
          <cell r="Q114" t="str">
            <v>P</v>
          </cell>
          <cell r="S114" t="str">
            <v>P</v>
          </cell>
          <cell r="U114" t="str">
            <v>P</v>
          </cell>
          <cell r="W114" t="str">
            <v>P</v>
          </cell>
          <cell r="Y114" t="str">
            <v>P</v>
          </cell>
          <cell r="AA114" t="str">
            <v>P</v>
          </cell>
          <cell r="AC114" t="str">
            <v>P</v>
          </cell>
          <cell r="AE114" t="str">
            <v>P</v>
          </cell>
          <cell r="AG114" t="str">
            <v>P</v>
          </cell>
          <cell r="AI114" t="str">
            <v>P</v>
          </cell>
          <cell r="AK114" t="str">
            <v>O</v>
          </cell>
          <cell r="AM114" t="str">
            <v>P</v>
          </cell>
          <cell r="AO114" t="str">
            <v>P</v>
          </cell>
          <cell r="AP114">
            <v>11</v>
          </cell>
          <cell r="AQ114" t="str">
            <v>P</v>
          </cell>
          <cell r="AS114" t="str">
            <v>P</v>
          </cell>
        </row>
        <row r="115">
          <cell r="D115">
            <v>352466959907</v>
          </cell>
          <cell r="E115" t="str">
            <v>Vinod Kumar Ram</v>
          </cell>
          <cell r="F115" t="str">
            <v>Structure Fitter</v>
          </cell>
          <cell r="G115" t="str">
            <v>PI MPP -12 H PLANT</v>
          </cell>
          <cell r="H115">
            <v>10002</v>
          </cell>
          <cell r="I115" t="str">
            <v>P</v>
          </cell>
          <cell r="K115" t="str">
            <v>P</v>
          </cell>
          <cell r="M115" t="str">
            <v>P</v>
          </cell>
          <cell r="O115" t="str">
            <v>HD</v>
          </cell>
          <cell r="Q115" t="str">
            <v>P</v>
          </cell>
          <cell r="S115" t="str">
            <v>P</v>
          </cell>
          <cell r="U115" t="str">
            <v>P</v>
          </cell>
          <cell r="W115" t="str">
            <v>P</v>
          </cell>
          <cell r="Y115" t="str">
            <v>A</v>
          </cell>
          <cell r="AA115" t="str">
            <v>P</v>
          </cell>
          <cell r="AC115" t="str">
            <v>P</v>
          </cell>
          <cell r="AE115" t="str">
            <v>P</v>
          </cell>
          <cell r="AG115" t="str">
            <v>P</v>
          </cell>
          <cell r="AI115" t="str">
            <v>P</v>
          </cell>
          <cell r="AK115" t="str">
            <v>O</v>
          </cell>
          <cell r="AM115" t="str">
            <v>P</v>
          </cell>
          <cell r="AO115" t="str">
            <v>P</v>
          </cell>
          <cell r="AQ115" t="str">
            <v>P</v>
          </cell>
          <cell r="AS115" t="str">
            <v>P</v>
          </cell>
        </row>
        <row r="116">
          <cell r="D116">
            <v>666278780237</v>
          </cell>
          <cell r="E116" t="str">
            <v>Bajarangi Kumar</v>
          </cell>
          <cell r="F116" t="str">
            <v>Helper</v>
          </cell>
          <cell r="G116" t="str">
            <v>PI MPP -12 H PLANT</v>
          </cell>
          <cell r="H116">
            <v>10002</v>
          </cell>
          <cell r="I116" t="str">
            <v>P</v>
          </cell>
          <cell r="K116" t="str">
            <v>P</v>
          </cell>
          <cell r="L116">
            <v>11</v>
          </cell>
          <cell r="M116" t="str">
            <v>P</v>
          </cell>
          <cell r="O116" t="str">
            <v>P</v>
          </cell>
          <cell r="P116">
            <v>11</v>
          </cell>
          <cell r="Q116" t="str">
            <v>P</v>
          </cell>
          <cell r="R116">
            <v>11</v>
          </cell>
          <cell r="S116" t="str">
            <v>P</v>
          </cell>
          <cell r="U116" t="str">
            <v>P</v>
          </cell>
          <cell r="W116" t="str">
            <v>P</v>
          </cell>
          <cell r="Y116" t="str">
            <v>P</v>
          </cell>
          <cell r="AA116" t="str">
            <v>P</v>
          </cell>
          <cell r="AC116" t="str">
            <v>P</v>
          </cell>
          <cell r="AE116" t="str">
            <v>P</v>
          </cell>
          <cell r="AG116" t="str">
            <v>P</v>
          </cell>
          <cell r="AI116" t="str">
            <v>P</v>
          </cell>
          <cell r="AK116" t="str">
            <v>O</v>
          </cell>
          <cell r="AM116" t="str">
            <v>P</v>
          </cell>
          <cell r="AO116" t="str">
            <v>P</v>
          </cell>
          <cell r="AQ116" t="str">
            <v>P</v>
          </cell>
          <cell r="AS116" t="str">
            <v>P</v>
          </cell>
        </row>
        <row r="117">
          <cell r="D117">
            <v>752537970799</v>
          </cell>
          <cell r="E117" t="str">
            <v>Rizwan Khan</v>
          </cell>
          <cell r="F117" t="str">
            <v>CO2 Welder</v>
          </cell>
          <cell r="G117" t="str">
            <v>PI MPP -12 H PLANT</v>
          </cell>
          <cell r="H117">
            <v>10002</v>
          </cell>
          <cell r="I117" t="str">
            <v>P</v>
          </cell>
          <cell r="K117" t="str">
            <v>P</v>
          </cell>
          <cell r="L117">
            <v>11</v>
          </cell>
          <cell r="M117" t="str">
            <v>P</v>
          </cell>
          <cell r="N117">
            <v>11</v>
          </cell>
          <cell r="O117" t="str">
            <v>P</v>
          </cell>
          <cell r="Q117" t="str">
            <v>P</v>
          </cell>
          <cell r="R117">
            <v>11</v>
          </cell>
          <cell r="S117" t="str">
            <v>P</v>
          </cell>
          <cell r="U117" t="str">
            <v>P</v>
          </cell>
          <cell r="W117" t="str">
            <v>P</v>
          </cell>
          <cell r="Y117" t="str">
            <v>P</v>
          </cell>
          <cell r="AA117" t="str">
            <v>P</v>
          </cell>
          <cell r="AC117" t="str">
            <v>P</v>
          </cell>
          <cell r="AE117" t="str">
            <v>P</v>
          </cell>
          <cell r="AG117" t="str">
            <v>P</v>
          </cell>
          <cell r="AI117" t="str">
            <v>P</v>
          </cell>
          <cell r="AK117" t="str">
            <v>O</v>
          </cell>
          <cell r="AM117" t="str">
            <v>P</v>
          </cell>
          <cell r="AO117" t="str">
            <v>P</v>
          </cell>
          <cell r="AQ117" t="str">
            <v>P</v>
          </cell>
          <cell r="AS117" t="str">
            <v>P</v>
          </cell>
        </row>
        <row r="118">
          <cell r="D118">
            <v>449108981179</v>
          </cell>
          <cell r="E118" t="str">
            <v>Amlesh Bhagat</v>
          </cell>
          <cell r="F118" t="str">
            <v>CO2 Welder</v>
          </cell>
          <cell r="G118" t="str">
            <v>EPCM  NAVIN</v>
          </cell>
          <cell r="H118">
            <v>10003</v>
          </cell>
          <cell r="I118" t="str">
            <v>P</v>
          </cell>
          <cell r="K118" t="str">
            <v>P</v>
          </cell>
          <cell r="M118" t="str">
            <v>P</v>
          </cell>
          <cell r="O118" t="str">
            <v>P</v>
          </cell>
          <cell r="Q118" t="str">
            <v>P</v>
          </cell>
          <cell r="S118" t="str">
            <v>P</v>
          </cell>
          <cell r="U118" t="str">
            <v>P</v>
          </cell>
          <cell r="V118">
            <v>11</v>
          </cell>
          <cell r="W118" t="str">
            <v>P</v>
          </cell>
          <cell r="Y118" t="str">
            <v>P</v>
          </cell>
          <cell r="AA118" t="str">
            <v>P</v>
          </cell>
          <cell r="AC118" t="str">
            <v>A</v>
          </cell>
          <cell r="AE118" t="str">
            <v>P</v>
          </cell>
          <cell r="AG118" t="str">
            <v>P</v>
          </cell>
          <cell r="AI118" t="str">
            <v>P</v>
          </cell>
          <cell r="AK118" t="str">
            <v>O</v>
          </cell>
          <cell r="AM118" t="str">
            <v>P</v>
          </cell>
          <cell r="AO118" t="str">
            <v>P</v>
          </cell>
          <cell r="AQ118" t="str">
            <v>P</v>
          </cell>
          <cell r="AS118" t="str">
            <v>P</v>
          </cell>
        </row>
        <row r="119">
          <cell r="D119">
            <v>988770554938</v>
          </cell>
          <cell r="E119" t="str">
            <v>Anil Prasad</v>
          </cell>
          <cell r="F119" t="str">
            <v>CO2 Welder</v>
          </cell>
          <cell r="G119" t="str">
            <v>EPCM  NAVIN</v>
          </cell>
          <cell r="H119">
            <v>10003</v>
          </cell>
          <cell r="I119" t="str">
            <v>P</v>
          </cell>
          <cell r="K119" t="str">
            <v>P</v>
          </cell>
          <cell r="M119" t="str">
            <v>P</v>
          </cell>
          <cell r="O119" t="str">
            <v>P</v>
          </cell>
          <cell r="Q119" t="str">
            <v>P</v>
          </cell>
          <cell r="S119" t="str">
            <v>P</v>
          </cell>
          <cell r="U119" t="str">
            <v>P</v>
          </cell>
          <cell r="V119">
            <v>11</v>
          </cell>
          <cell r="W119" t="str">
            <v>P</v>
          </cell>
          <cell r="Y119" t="str">
            <v>P</v>
          </cell>
          <cell r="AA119" t="str">
            <v>P</v>
          </cell>
          <cell r="AC119" t="str">
            <v>P</v>
          </cell>
          <cell r="AE119" t="str">
            <v>P</v>
          </cell>
          <cell r="AG119" t="str">
            <v>P</v>
          </cell>
          <cell r="AI119" t="str">
            <v>P</v>
          </cell>
          <cell r="AK119" t="str">
            <v>O</v>
          </cell>
          <cell r="AM119" t="str">
            <v>P</v>
          </cell>
          <cell r="AO119" t="str">
            <v>P</v>
          </cell>
          <cell r="AQ119" t="str">
            <v>P</v>
          </cell>
          <cell r="AS119" t="str">
            <v>P</v>
          </cell>
        </row>
        <row r="120">
          <cell r="D120">
            <v>823990071350</v>
          </cell>
          <cell r="E120" t="str">
            <v>Krishna</v>
          </cell>
          <cell r="F120" t="str">
            <v>Tacker Welder</v>
          </cell>
          <cell r="G120" t="str">
            <v>PI MPP -12 H PLANT</v>
          </cell>
          <cell r="H120">
            <v>10002</v>
          </cell>
          <cell r="I120" t="str">
            <v>P</v>
          </cell>
          <cell r="K120" t="str">
            <v>A</v>
          </cell>
          <cell r="M120" t="str">
            <v>P</v>
          </cell>
          <cell r="N120">
            <v>11</v>
          </cell>
          <cell r="O120" t="str">
            <v>P</v>
          </cell>
          <cell r="P120">
            <v>11</v>
          </cell>
          <cell r="Q120" t="str">
            <v>P</v>
          </cell>
          <cell r="S120" t="str">
            <v>P</v>
          </cell>
          <cell r="U120" t="str">
            <v>P</v>
          </cell>
          <cell r="W120" t="str">
            <v>P</v>
          </cell>
          <cell r="Y120" t="str">
            <v>P</v>
          </cell>
          <cell r="AA120" t="str">
            <v>A</v>
          </cell>
          <cell r="AC120" t="str">
            <v>A</v>
          </cell>
          <cell r="AE120" t="str">
            <v>P</v>
          </cell>
          <cell r="AG120" t="str">
            <v>HD</v>
          </cell>
          <cell r="AI120" t="str">
            <v>A</v>
          </cell>
          <cell r="AK120" t="str">
            <v>O</v>
          </cell>
          <cell r="AM120" t="str">
            <v>A</v>
          </cell>
          <cell r="AO120" t="str">
            <v>P</v>
          </cell>
          <cell r="AQ120" t="str">
            <v>P</v>
          </cell>
          <cell r="AS120" t="str">
            <v>o</v>
          </cell>
        </row>
        <row r="121">
          <cell r="D121">
            <v>414011416140</v>
          </cell>
          <cell r="E121" t="str">
            <v>Aadity Kumar</v>
          </cell>
          <cell r="F121" t="str">
            <v>Helper</v>
          </cell>
          <cell r="G121" t="str">
            <v>LINDE PANIPAT HGU</v>
          </cell>
          <cell r="H121">
            <v>10006</v>
          </cell>
          <cell r="I121" t="str">
            <v>P</v>
          </cell>
          <cell r="K121" t="str">
            <v>P</v>
          </cell>
          <cell r="M121" t="str">
            <v>P</v>
          </cell>
          <cell r="O121" t="str">
            <v>P</v>
          </cell>
          <cell r="Q121" t="str">
            <v>P</v>
          </cell>
          <cell r="S121" t="str">
            <v>P</v>
          </cell>
          <cell r="U121" t="str">
            <v>P</v>
          </cell>
          <cell r="W121" t="str">
            <v>P</v>
          </cell>
          <cell r="Y121" t="str">
            <v>P</v>
          </cell>
          <cell r="AA121" t="str">
            <v>P</v>
          </cell>
          <cell r="AC121" t="str">
            <v>P</v>
          </cell>
          <cell r="AE121" t="str">
            <v>P</v>
          </cell>
          <cell r="AG121" t="str">
            <v>P</v>
          </cell>
          <cell r="AI121" t="str">
            <v>P</v>
          </cell>
          <cell r="AK121" t="str">
            <v>O</v>
          </cell>
          <cell r="AM121" t="str">
            <v>P</v>
          </cell>
          <cell r="AO121" t="str">
            <v>P</v>
          </cell>
          <cell r="AQ121" t="str">
            <v>P</v>
          </cell>
          <cell r="AS121" t="str">
            <v>P</v>
          </cell>
        </row>
        <row r="122">
          <cell r="D122">
            <v>865235213976</v>
          </cell>
          <cell r="E122" t="str">
            <v>Aswini Kumar Dehuri</v>
          </cell>
          <cell r="F122" t="str">
            <v>CO2 Welder</v>
          </cell>
          <cell r="G122" t="str">
            <v>LINDE PANIPAT HGU</v>
          </cell>
          <cell r="H122">
            <v>10006</v>
          </cell>
          <cell r="I122" t="str">
            <v>P</v>
          </cell>
          <cell r="K122" t="str">
            <v>P</v>
          </cell>
          <cell r="L122">
            <v>11</v>
          </cell>
          <cell r="M122" t="str">
            <v>P</v>
          </cell>
          <cell r="N122">
            <v>11</v>
          </cell>
          <cell r="O122" t="str">
            <v>P</v>
          </cell>
          <cell r="P122">
            <v>11</v>
          </cell>
          <cell r="Q122" t="str">
            <v>P</v>
          </cell>
          <cell r="S122" t="str">
            <v>P</v>
          </cell>
          <cell r="T122">
            <v>11</v>
          </cell>
          <cell r="U122" t="str">
            <v>P</v>
          </cell>
          <cell r="W122" t="str">
            <v>P</v>
          </cell>
          <cell r="Y122" t="str">
            <v>P</v>
          </cell>
          <cell r="Z122">
            <v>11</v>
          </cell>
          <cell r="AA122" t="str">
            <v>P</v>
          </cell>
          <cell r="AC122" t="str">
            <v>P</v>
          </cell>
          <cell r="AD122">
            <v>11</v>
          </cell>
          <cell r="AE122" t="str">
            <v>P</v>
          </cell>
          <cell r="AG122" t="str">
            <v>P</v>
          </cell>
          <cell r="AI122" t="str">
            <v>A</v>
          </cell>
          <cell r="AK122" t="str">
            <v>O</v>
          </cell>
          <cell r="AM122" t="str">
            <v>P</v>
          </cell>
          <cell r="AN122">
            <v>11</v>
          </cell>
          <cell r="AO122" t="str">
            <v>P</v>
          </cell>
          <cell r="AQ122" t="str">
            <v>P</v>
          </cell>
          <cell r="AS122" t="str">
            <v>P</v>
          </cell>
        </row>
        <row r="123">
          <cell r="D123">
            <v>535543181135</v>
          </cell>
          <cell r="E123" t="str">
            <v>Bhulur Sadai</v>
          </cell>
          <cell r="F123" t="str">
            <v>House Keeper</v>
          </cell>
          <cell r="G123" t="str">
            <v>PI MPP -12 H PLANT</v>
          </cell>
          <cell r="H123">
            <v>10002</v>
          </cell>
          <cell r="I123" t="str">
            <v>P</v>
          </cell>
          <cell r="K123" t="str">
            <v>P</v>
          </cell>
          <cell r="M123" t="str">
            <v>P</v>
          </cell>
          <cell r="O123" t="str">
            <v>P</v>
          </cell>
          <cell r="Q123" t="str">
            <v>P</v>
          </cell>
          <cell r="S123" t="str">
            <v>P</v>
          </cell>
          <cell r="U123" t="str">
            <v>P</v>
          </cell>
          <cell r="W123" t="str">
            <v>P</v>
          </cell>
          <cell r="Y123" t="str">
            <v>P</v>
          </cell>
          <cell r="AA123" t="str">
            <v>P</v>
          </cell>
          <cell r="AC123" t="str">
            <v>P</v>
          </cell>
          <cell r="AE123" t="str">
            <v>P</v>
          </cell>
          <cell r="AG123" t="str">
            <v>P</v>
          </cell>
          <cell r="AI123" t="str">
            <v>P</v>
          </cell>
          <cell r="AK123" t="str">
            <v>O</v>
          </cell>
          <cell r="AM123" t="str">
            <v>P</v>
          </cell>
          <cell r="AO123" t="str">
            <v>P</v>
          </cell>
          <cell r="AQ123" t="str">
            <v>P</v>
          </cell>
          <cell r="AS123" t="str">
            <v>P</v>
          </cell>
        </row>
        <row r="124">
          <cell r="D124">
            <v>539738595299</v>
          </cell>
          <cell r="E124" t="str">
            <v>Shiv Kumar</v>
          </cell>
          <cell r="F124" t="str">
            <v>Structure Fitter</v>
          </cell>
          <cell r="G124" t="str">
            <v>LINDE NETHA.BLUSE H2</v>
          </cell>
          <cell r="H124">
            <v>10009</v>
          </cell>
          <cell r="I124" t="str">
            <v>P</v>
          </cell>
          <cell r="K124" t="str">
            <v>P</v>
          </cell>
          <cell r="L124">
            <v>11</v>
          </cell>
          <cell r="M124" t="str">
            <v>P</v>
          </cell>
          <cell r="O124" t="str">
            <v>P</v>
          </cell>
          <cell r="Q124" t="str">
            <v>P</v>
          </cell>
          <cell r="R124">
            <v>11</v>
          </cell>
          <cell r="S124" t="str">
            <v>P</v>
          </cell>
          <cell r="T124">
            <v>11</v>
          </cell>
          <cell r="U124" t="str">
            <v>P</v>
          </cell>
          <cell r="W124" t="str">
            <v>P</v>
          </cell>
          <cell r="Y124" t="str">
            <v>P</v>
          </cell>
          <cell r="Z124">
            <v>11</v>
          </cell>
          <cell r="AA124" t="str">
            <v>P</v>
          </cell>
          <cell r="AC124" t="str">
            <v>P</v>
          </cell>
          <cell r="AE124" t="str">
            <v>P</v>
          </cell>
          <cell r="AG124" t="str">
            <v>P</v>
          </cell>
          <cell r="AI124" t="str">
            <v>P</v>
          </cell>
          <cell r="AK124" t="str">
            <v>O</v>
          </cell>
          <cell r="AM124" t="str">
            <v>P</v>
          </cell>
          <cell r="AO124" t="str">
            <v>P</v>
          </cell>
          <cell r="AQ124" t="str">
            <v>P</v>
          </cell>
          <cell r="AS124" t="str">
            <v>P</v>
          </cell>
        </row>
        <row r="125">
          <cell r="D125">
            <v>879222377701</v>
          </cell>
          <cell r="E125" t="str">
            <v>Kanhaiya Kushwaha</v>
          </cell>
          <cell r="F125" t="str">
            <v>Driller</v>
          </cell>
          <cell r="G125" t="str">
            <v>LINDE PANIPAT HGU</v>
          </cell>
          <cell r="H125">
            <v>10006</v>
          </cell>
          <cell r="I125" t="str">
            <v>P</v>
          </cell>
          <cell r="K125" t="str">
            <v>P</v>
          </cell>
          <cell r="M125" t="str">
            <v>P</v>
          </cell>
          <cell r="N125">
            <v>11</v>
          </cell>
          <cell r="O125" t="str">
            <v>P</v>
          </cell>
          <cell r="P125">
            <v>11</v>
          </cell>
          <cell r="Q125" t="str">
            <v>P</v>
          </cell>
          <cell r="S125" t="str">
            <v>P</v>
          </cell>
          <cell r="U125" t="str">
            <v>P</v>
          </cell>
          <cell r="V125">
            <v>11</v>
          </cell>
          <cell r="W125" t="str">
            <v>P</v>
          </cell>
          <cell r="Y125" t="str">
            <v>P</v>
          </cell>
          <cell r="AA125" t="str">
            <v>P</v>
          </cell>
          <cell r="AC125" t="str">
            <v>P</v>
          </cell>
          <cell r="AD125">
            <v>11</v>
          </cell>
          <cell r="AE125" t="str">
            <v>P</v>
          </cell>
          <cell r="AG125" t="str">
            <v>P</v>
          </cell>
          <cell r="AI125" t="str">
            <v>P</v>
          </cell>
          <cell r="AK125" t="str">
            <v>O</v>
          </cell>
          <cell r="AM125" t="str">
            <v>P</v>
          </cell>
          <cell r="AO125" t="str">
            <v>P</v>
          </cell>
          <cell r="AQ125" t="str">
            <v>P</v>
          </cell>
          <cell r="AS125" t="str">
            <v>P</v>
          </cell>
        </row>
        <row r="126">
          <cell r="D126">
            <v>517518689676</v>
          </cell>
          <cell r="E126" t="str">
            <v>Md Mahfuj</v>
          </cell>
          <cell r="F126" t="str">
            <v>Rigger</v>
          </cell>
          <cell r="G126" t="str">
            <v>EPCM  NAVIN</v>
          </cell>
          <cell r="H126">
            <v>10003</v>
          </cell>
          <cell r="I126" t="str">
            <v>P</v>
          </cell>
          <cell r="K126" t="str">
            <v>P</v>
          </cell>
          <cell r="M126" t="str">
            <v>P</v>
          </cell>
          <cell r="O126" t="str">
            <v>P</v>
          </cell>
          <cell r="Q126" t="str">
            <v>P</v>
          </cell>
          <cell r="S126" t="str">
            <v>P</v>
          </cell>
          <cell r="U126" t="str">
            <v>P</v>
          </cell>
          <cell r="W126" t="str">
            <v>P</v>
          </cell>
          <cell r="Y126" t="str">
            <v>A</v>
          </cell>
          <cell r="AA126" t="str">
            <v>P</v>
          </cell>
          <cell r="AC126" t="str">
            <v>P</v>
          </cell>
          <cell r="AE126" t="str">
            <v>P</v>
          </cell>
          <cell r="AG126" t="str">
            <v>P</v>
          </cell>
          <cell r="AI126" t="str">
            <v>P</v>
          </cell>
          <cell r="AK126" t="str">
            <v>O</v>
          </cell>
          <cell r="AM126" t="str">
            <v>A</v>
          </cell>
          <cell r="AO126" t="str">
            <v>P</v>
          </cell>
          <cell r="AQ126" t="str">
            <v>P</v>
          </cell>
          <cell r="AS126" t="str">
            <v>P</v>
          </cell>
        </row>
        <row r="127">
          <cell r="D127">
            <v>641623800380</v>
          </cell>
          <cell r="E127" t="str">
            <v>Sonu Yadav</v>
          </cell>
          <cell r="F127" t="str">
            <v>Tacker Welder</v>
          </cell>
          <cell r="G127" t="str">
            <v>PI MPP -12 H PLANT</v>
          </cell>
          <cell r="H127">
            <v>10002</v>
          </cell>
          <cell r="I127" t="str">
            <v>P</v>
          </cell>
          <cell r="K127" t="str">
            <v>P</v>
          </cell>
          <cell r="L127">
            <v>11</v>
          </cell>
          <cell r="M127" t="str">
            <v>P</v>
          </cell>
          <cell r="O127" t="str">
            <v>P</v>
          </cell>
          <cell r="Q127" t="str">
            <v>P</v>
          </cell>
          <cell r="S127" t="str">
            <v>P</v>
          </cell>
          <cell r="U127" t="str">
            <v>P</v>
          </cell>
          <cell r="W127" t="str">
            <v>P</v>
          </cell>
          <cell r="Y127" t="str">
            <v>P</v>
          </cell>
          <cell r="AA127" t="str">
            <v>A</v>
          </cell>
          <cell r="AC127" t="str">
            <v>P</v>
          </cell>
          <cell r="AE127" t="str">
            <v>P</v>
          </cell>
          <cell r="AG127" t="str">
            <v>P</v>
          </cell>
          <cell r="AI127" t="str">
            <v>P</v>
          </cell>
          <cell r="AK127" t="str">
            <v>O</v>
          </cell>
          <cell r="AM127" t="str">
            <v>P</v>
          </cell>
          <cell r="AO127" t="str">
            <v>P</v>
          </cell>
          <cell r="AQ127" t="str">
            <v>P</v>
          </cell>
          <cell r="AS127" t="str">
            <v>P</v>
          </cell>
        </row>
        <row r="128">
          <cell r="D128">
            <v>392384982055</v>
          </cell>
          <cell r="E128" t="str">
            <v>Shahanawaj</v>
          </cell>
          <cell r="F128" t="str">
            <v>Structure Fitter</v>
          </cell>
          <cell r="G128" t="str">
            <v>PI MPP -12 H PLANT</v>
          </cell>
          <cell r="H128">
            <v>10002</v>
          </cell>
          <cell r="I128" t="str">
            <v>P</v>
          </cell>
          <cell r="K128" t="str">
            <v>P</v>
          </cell>
          <cell r="L128">
            <v>11</v>
          </cell>
          <cell r="M128" t="str">
            <v>P</v>
          </cell>
          <cell r="O128" t="str">
            <v>P</v>
          </cell>
          <cell r="Q128" t="str">
            <v>P</v>
          </cell>
          <cell r="S128" t="str">
            <v>P</v>
          </cell>
          <cell r="U128" t="str">
            <v>P</v>
          </cell>
          <cell r="W128" t="str">
            <v>P</v>
          </cell>
          <cell r="Y128" t="str">
            <v>P</v>
          </cell>
          <cell r="AA128" t="str">
            <v>A</v>
          </cell>
          <cell r="AC128" t="str">
            <v>P</v>
          </cell>
          <cell r="AE128" t="str">
            <v>P</v>
          </cell>
          <cell r="AG128" t="str">
            <v>P</v>
          </cell>
          <cell r="AI128" t="str">
            <v>P</v>
          </cell>
          <cell r="AK128" t="str">
            <v>O</v>
          </cell>
          <cell r="AM128" t="str">
            <v>P</v>
          </cell>
          <cell r="AO128" t="str">
            <v>P</v>
          </cell>
          <cell r="AQ128" t="str">
            <v>P</v>
          </cell>
          <cell r="AS128" t="str">
            <v>P</v>
          </cell>
        </row>
        <row r="129">
          <cell r="D129">
            <v>993714623050</v>
          </cell>
          <cell r="E129" t="str">
            <v>Nitish Yadav</v>
          </cell>
          <cell r="F129" t="str">
            <v>Helper</v>
          </cell>
          <cell r="G129" t="str">
            <v>PI MPP -12 H PLANT</v>
          </cell>
          <cell r="H129">
            <v>10002</v>
          </cell>
          <cell r="I129" t="str">
            <v>P</v>
          </cell>
          <cell r="K129" t="str">
            <v>P</v>
          </cell>
          <cell r="L129">
            <v>11</v>
          </cell>
          <cell r="M129" t="str">
            <v>A</v>
          </cell>
          <cell r="O129" t="str">
            <v>P</v>
          </cell>
          <cell r="P129">
            <v>11</v>
          </cell>
          <cell r="Q129" t="str">
            <v>P</v>
          </cell>
          <cell r="S129" t="str">
            <v>P</v>
          </cell>
          <cell r="U129" t="str">
            <v>P</v>
          </cell>
          <cell r="W129" t="str">
            <v>P</v>
          </cell>
          <cell r="Y129" t="str">
            <v>P</v>
          </cell>
          <cell r="AA129" t="str">
            <v>A</v>
          </cell>
          <cell r="AC129" t="str">
            <v>P</v>
          </cell>
          <cell r="AE129" t="str">
            <v>P</v>
          </cell>
          <cell r="AG129" t="str">
            <v>P</v>
          </cell>
          <cell r="AI129" t="str">
            <v>P</v>
          </cell>
          <cell r="AK129" t="str">
            <v>O</v>
          </cell>
          <cell r="AM129" t="str">
            <v>P</v>
          </cell>
          <cell r="AO129" t="str">
            <v>P</v>
          </cell>
          <cell r="AQ129" t="str">
            <v>P</v>
          </cell>
          <cell r="AS129" t="str">
            <v>P</v>
          </cell>
        </row>
        <row r="130">
          <cell r="D130">
            <v>830047205594</v>
          </cell>
          <cell r="E130" t="str">
            <v>Anish Yadav</v>
          </cell>
          <cell r="F130" t="str">
            <v>Helper</v>
          </cell>
          <cell r="G130" t="str">
            <v>LINDE NETHA.BLUSE H2</v>
          </cell>
          <cell r="H130">
            <v>10009</v>
          </cell>
          <cell r="I130" t="str">
            <v>P</v>
          </cell>
          <cell r="K130" t="str">
            <v>P</v>
          </cell>
          <cell r="L130">
            <v>11</v>
          </cell>
          <cell r="M130" t="str">
            <v>A</v>
          </cell>
          <cell r="O130" t="str">
            <v>P</v>
          </cell>
          <cell r="P130">
            <v>11</v>
          </cell>
          <cell r="Q130" t="str">
            <v>P</v>
          </cell>
          <cell r="R130">
            <v>11</v>
          </cell>
          <cell r="S130" t="str">
            <v>A</v>
          </cell>
          <cell r="U130" t="str">
            <v>P</v>
          </cell>
          <cell r="W130" t="str">
            <v>P</v>
          </cell>
          <cell r="Y130" t="str">
            <v>P</v>
          </cell>
          <cell r="AC130" t="str">
            <v>o</v>
          </cell>
          <cell r="AM130" t="str">
            <v>o</v>
          </cell>
          <cell r="AQ130">
            <v>0</v>
          </cell>
          <cell r="AS130" t="str">
            <v>o</v>
          </cell>
        </row>
        <row r="131">
          <cell r="D131">
            <v>237464228490</v>
          </cell>
          <cell r="E131" t="str">
            <v>Anil kr Ray</v>
          </cell>
          <cell r="F131" t="str">
            <v>Driver</v>
          </cell>
          <cell r="G131" t="str">
            <v>PI MPP -12 H PLANT</v>
          </cell>
          <cell r="H131">
            <v>10002</v>
          </cell>
          <cell r="I131" t="str">
            <v>P</v>
          </cell>
          <cell r="K131" t="str">
            <v>P</v>
          </cell>
          <cell r="M131" t="str">
            <v>P</v>
          </cell>
          <cell r="O131" t="str">
            <v>P</v>
          </cell>
          <cell r="Q131" t="str">
            <v>P</v>
          </cell>
          <cell r="S131" t="str">
            <v>P</v>
          </cell>
          <cell r="U131" t="str">
            <v>P</v>
          </cell>
          <cell r="W131" t="str">
            <v>P</v>
          </cell>
          <cell r="Y131" t="str">
            <v>P</v>
          </cell>
          <cell r="AA131" t="str">
            <v>P</v>
          </cell>
          <cell r="AC131" t="str">
            <v>P</v>
          </cell>
          <cell r="AE131" t="str">
            <v>P</v>
          </cell>
          <cell r="AG131" t="str">
            <v>P</v>
          </cell>
          <cell r="AI131" t="str">
            <v>P</v>
          </cell>
          <cell r="AK131" t="str">
            <v>O</v>
          </cell>
          <cell r="AM131" t="str">
            <v>P</v>
          </cell>
          <cell r="AO131" t="str">
            <v>P</v>
          </cell>
          <cell r="AQ131" t="str">
            <v>P</v>
          </cell>
          <cell r="AS131" t="str">
            <v>P</v>
          </cell>
        </row>
        <row r="132">
          <cell r="D132">
            <v>567995926131</v>
          </cell>
          <cell r="E132" t="str">
            <v>Debashish Maity</v>
          </cell>
          <cell r="F132" t="str">
            <v>Rigger</v>
          </cell>
          <cell r="G132" t="str">
            <v>TATA LINE KILN</v>
          </cell>
          <cell r="H132">
            <v>10008</v>
          </cell>
          <cell r="I132" t="str">
            <v>P</v>
          </cell>
          <cell r="K132" t="str">
            <v>P</v>
          </cell>
          <cell r="M132" t="str">
            <v>P</v>
          </cell>
          <cell r="O132" t="str">
            <v>P</v>
          </cell>
          <cell r="Q132" t="str">
            <v>P</v>
          </cell>
          <cell r="S132" t="str">
            <v>P</v>
          </cell>
          <cell r="U132" t="str">
            <v>P</v>
          </cell>
          <cell r="W132" t="str">
            <v>P</v>
          </cell>
          <cell r="Y132" t="str">
            <v>P</v>
          </cell>
          <cell r="AA132" t="str">
            <v>P</v>
          </cell>
          <cell r="AC132" t="str">
            <v>P</v>
          </cell>
          <cell r="AE132" t="str">
            <v>P</v>
          </cell>
          <cell r="AG132" t="str">
            <v>P</v>
          </cell>
          <cell r="AI132" t="str">
            <v>P</v>
          </cell>
          <cell r="AK132" t="str">
            <v>O</v>
          </cell>
          <cell r="AM132" t="str">
            <v>P</v>
          </cell>
          <cell r="AO132" t="str">
            <v>P</v>
          </cell>
          <cell r="AQ132" t="str">
            <v>P</v>
          </cell>
          <cell r="AS132" t="str">
            <v>P</v>
          </cell>
        </row>
        <row r="133">
          <cell r="D133">
            <v>253296068627</v>
          </cell>
          <cell r="E133" t="str">
            <v>Rangdev</v>
          </cell>
          <cell r="F133" t="str">
            <v>Grinder</v>
          </cell>
          <cell r="G133" t="str">
            <v>PI MPP -12 H PLANT</v>
          </cell>
          <cell r="H133">
            <v>10002</v>
          </cell>
          <cell r="I133" t="str">
            <v>P</v>
          </cell>
          <cell r="K133" t="str">
            <v>P</v>
          </cell>
          <cell r="L133">
            <v>11</v>
          </cell>
          <cell r="M133" t="str">
            <v>P</v>
          </cell>
          <cell r="N133">
            <v>11</v>
          </cell>
          <cell r="O133" t="str">
            <v>A</v>
          </cell>
          <cell r="Q133" t="str">
            <v>P</v>
          </cell>
          <cell r="R133">
            <v>11</v>
          </cell>
          <cell r="S133" t="str">
            <v>P</v>
          </cell>
          <cell r="T133">
            <v>11</v>
          </cell>
          <cell r="U133" t="str">
            <v>P</v>
          </cell>
          <cell r="V133">
            <v>11</v>
          </cell>
          <cell r="W133" t="str">
            <v>P</v>
          </cell>
          <cell r="Y133" t="str">
            <v>P</v>
          </cell>
          <cell r="Z133">
            <v>11</v>
          </cell>
          <cell r="AA133" t="str">
            <v>P</v>
          </cell>
          <cell r="AC133" t="str">
            <v>A</v>
          </cell>
          <cell r="AE133" t="str">
            <v>HD</v>
          </cell>
          <cell r="AG133" t="str">
            <v>A</v>
          </cell>
          <cell r="AI133" t="str">
            <v>A</v>
          </cell>
          <cell r="AK133" t="str">
            <v>O</v>
          </cell>
          <cell r="AM133" t="str">
            <v>A</v>
          </cell>
          <cell r="AO133" t="str">
            <v>A</v>
          </cell>
          <cell r="AQ133" t="str">
            <v>A</v>
          </cell>
          <cell r="AS133" t="str">
            <v>A</v>
          </cell>
        </row>
        <row r="134">
          <cell r="D134">
            <v>301941028458</v>
          </cell>
          <cell r="E134" t="str">
            <v>Dhruv</v>
          </cell>
          <cell r="F134" t="str">
            <v>Rigger</v>
          </cell>
          <cell r="G134" t="str">
            <v>LINDE PANIPAT HGU</v>
          </cell>
          <cell r="H134">
            <v>10006</v>
          </cell>
          <cell r="I134" t="str">
            <v>P</v>
          </cell>
          <cell r="K134" t="str">
            <v>P</v>
          </cell>
          <cell r="M134" t="str">
            <v>P</v>
          </cell>
          <cell r="O134" t="str">
            <v>P</v>
          </cell>
          <cell r="Q134" t="str">
            <v>P</v>
          </cell>
          <cell r="S134" t="str">
            <v>P</v>
          </cell>
          <cell r="U134" t="str">
            <v>P</v>
          </cell>
          <cell r="W134" t="str">
            <v>P</v>
          </cell>
          <cell r="Y134" t="str">
            <v>P</v>
          </cell>
          <cell r="AA134" t="str">
            <v>P</v>
          </cell>
          <cell r="AC134" t="str">
            <v>A</v>
          </cell>
          <cell r="AE134" t="str">
            <v>P</v>
          </cell>
          <cell r="AG134" t="str">
            <v>P</v>
          </cell>
          <cell r="AI134" t="str">
            <v>P</v>
          </cell>
          <cell r="AK134" t="str">
            <v>O</v>
          </cell>
          <cell r="AM134" t="str">
            <v>P</v>
          </cell>
          <cell r="AO134" t="str">
            <v>P</v>
          </cell>
          <cell r="AQ134" t="str">
            <v>P</v>
          </cell>
          <cell r="AS134" t="str">
            <v>P</v>
          </cell>
        </row>
        <row r="135">
          <cell r="D135">
            <v>465145777431</v>
          </cell>
          <cell r="E135" t="str">
            <v>Rohit Kumar</v>
          </cell>
          <cell r="F135" t="str">
            <v>Driver</v>
          </cell>
          <cell r="G135" t="str">
            <v>EPCM  NAVIN</v>
          </cell>
          <cell r="H135">
            <v>10003</v>
          </cell>
          <cell r="I135" t="str">
            <v>P</v>
          </cell>
          <cell r="K135" t="str">
            <v>P</v>
          </cell>
          <cell r="L135">
            <v>11</v>
          </cell>
          <cell r="M135" t="str">
            <v>P</v>
          </cell>
          <cell r="N135">
            <v>2</v>
          </cell>
          <cell r="O135" t="str">
            <v>P</v>
          </cell>
          <cell r="P135">
            <v>3</v>
          </cell>
          <cell r="Q135" t="str">
            <v>P</v>
          </cell>
          <cell r="R135">
            <v>2</v>
          </cell>
          <cell r="S135" t="str">
            <v>P</v>
          </cell>
          <cell r="T135">
            <v>3</v>
          </cell>
          <cell r="U135" t="str">
            <v>P</v>
          </cell>
          <cell r="V135">
            <v>2</v>
          </cell>
          <cell r="W135" t="str">
            <v>P</v>
          </cell>
          <cell r="Y135" t="str">
            <v>P</v>
          </cell>
          <cell r="Z135">
            <v>3</v>
          </cell>
          <cell r="AA135" t="str">
            <v>P</v>
          </cell>
          <cell r="AC135" t="str">
            <v>P</v>
          </cell>
          <cell r="AD135">
            <v>5</v>
          </cell>
          <cell r="AE135" t="str">
            <v>P</v>
          </cell>
          <cell r="AF135">
            <v>2</v>
          </cell>
          <cell r="AG135" t="str">
            <v>P</v>
          </cell>
          <cell r="AH135">
            <v>3</v>
          </cell>
          <cell r="AI135" t="str">
            <v>P</v>
          </cell>
          <cell r="AJ135">
            <v>2</v>
          </cell>
          <cell r="AL135">
            <v>6</v>
          </cell>
          <cell r="AM135" t="str">
            <v>P</v>
          </cell>
          <cell r="AN135">
            <v>3</v>
          </cell>
          <cell r="AO135" t="str">
            <v>P</v>
          </cell>
          <cell r="AP135">
            <v>2</v>
          </cell>
          <cell r="AQ135" t="str">
            <v>P</v>
          </cell>
          <cell r="AR135">
            <v>3</v>
          </cell>
          <cell r="AS135" t="str">
            <v>P</v>
          </cell>
          <cell r="AT135">
            <v>2</v>
          </cell>
        </row>
        <row r="136">
          <cell r="D136">
            <v>238303938479</v>
          </cell>
          <cell r="E136" t="str">
            <v>Raj Pati Singh</v>
          </cell>
          <cell r="F136" t="str">
            <v>Helper</v>
          </cell>
          <cell r="G136" t="str">
            <v>PI MPP -12 H PLANT</v>
          </cell>
          <cell r="H136">
            <v>10002</v>
          </cell>
          <cell r="I136" t="str">
            <v>P</v>
          </cell>
          <cell r="K136" t="str">
            <v>P</v>
          </cell>
          <cell r="M136" t="str">
            <v>P</v>
          </cell>
          <cell r="N136">
            <v>11</v>
          </cell>
          <cell r="O136" t="str">
            <v>P</v>
          </cell>
          <cell r="Q136" t="str">
            <v>P</v>
          </cell>
          <cell r="R136">
            <v>11</v>
          </cell>
          <cell r="S136" t="str">
            <v>P</v>
          </cell>
          <cell r="T136">
            <v>11</v>
          </cell>
          <cell r="U136" t="str">
            <v>P</v>
          </cell>
          <cell r="V136">
            <v>11</v>
          </cell>
          <cell r="W136" t="str">
            <v>O</v>
          </cell>
          <cell r="Y136" t="str">
            <v>P</v>
          </cell>
          <cell r="AA136" t="str">
            <v>A</v>
          </cell>
          <cell r="AC136" t="str">
            <v>A</v>
          </cell>
          <cell r="AE136" t="str">
            <v>P</v>
          </cell>
          <cell r="AG136" t="str">
            <v>P</v>
          </cell>
          <cell r="AI136" t="str">
            <v>P</v>
          </cell>
          <cell r="AK136" t="str">
            <v>O</v>
          </cell>
          <cell r="AM136" t="str">
            <v>P</v>
          </cell>
          <cell r="AO136" t="str">
            <v>P</v>
          </cell>
          <cell r="AQ136" t="str">
            <v>P</v>
          </cell>
          <cell r="AS136" t="str">
            <v>P</v>
          </cell>
        </row>
        <row r="137">
          <cell r="D137">
            <v>497126437555</v>
          </cell>
          <cell r="E137" t="str">
            <v>Md Mozahid Alam</v>
          </cell>
          <cell r="F137" t="str">
            <v>Tacker Welder</v>
          </cell>
          <cell r="G137" t="str">
            <v>PI MPP -12 H PLANT</v>
          </cell>
          <cell r="H137">
            <v>10002</v>
          </cell>
          <cell r="I137" t="str">
            <v>P</v>
          </cell>
          <cell r="K137" t="str">
            <v>P</v>
          </cell>
          <cell r="L137">
            <v>11</v>
          </cell>
          <cell r="M137" t="str">
            <v>P</v>
          </cell>
          <cell r="O137" t="str">
            <v>P</v>
          </cell>
          <cell r="P137">
            <v>7</v>
          </cell>
          <cell r="Q137" t="str">
            <v>P</v>
          </cell>
          <cell r="S137" t="str">
            <v>P</v>
          </cell>
          <cell r="T137">
            <v>11</v>
          </cell>
          <cell r="U137" t="str">
            <v>P</v>
          </cell>
          <cell r="W137" t="str">
            <v>P</v>
          </cell>
          <cell r="Y137" t="str">
            <v>P</v>
          </cell>
          <cell r="Z137">
            <v>11</v>
          </cell>
          <cell r="AA137" t="str">
            <v>P</v>
          </cell>
          <cell r="AB137">
            <v>11</v>
          </cell>
          <cell r="AC137" t="str">
            <v>P</v>
          </cell>
          <cell r="AE137" t="str">
            <v>P</v>
          </cell>
          <cell r="AG137" t="str">
            <v>P</v>
          </cell>
          <cell r="AI137" t="str">
            <v>P</v>
          </cell>
          <cell r="AK137" t="str">
            <v>O</v>
          </cell>
          <cell r="AM137" t="str">
            <v>P</v>
          </cell>
          <cell r="AO137" t="str">
            <v>P</v>
          </cell>
          <cell r="AQ137" t="str">
            <v>P</v>
          </cell>
          <cell r="AS137" t="str">
            <v>P</v>
          </cell>
          <cell r="AT137">
            <v>11</v>
          </cell>
        </row>
        <row r="138">
          <cell r="D138">
            <v>277284963818</v>
          </cell>
          <cell r="E138" t="str">
            <v>Rajkumar Prasad</v>
          </cell>
          <cell r="F138" t="str">
            <v>S.T.Fabricator</v>
          </cell>
          <cell r="G138" t="str">
            <v>LINDE NETHA.BLUSE H2</v>
          </cell>
          <cell r="H138">
            <v>10009</v>
          </cell>
          <cell r="I138" t="str">
            <v>P</v>
          </cell>
          <cell r="K138" t="str">
            <v>P</v>
          </cell>
          <cell r="M138" t="str">
            <v>P</v>
          </cell>
          <cell r="O138" t="str">
            <v>A</v>
          </cell>
          <cell r="Q138" t="str">
            <v>P</v>
          </cell>
          <cell r="S138" t="str">
            <v>P</v>
          </cell>
          <cell r="U138" t="str">
            <v>P</v>
          </cell>
          <cell r="W138" t="str">
            <v>P</v>
          </cell>
          <cell r="Y138" t="str">
            <v>P</v>
          </cell>
          <cell r="AA138" t="str">
            <v>A</v>
          </cell>
          <cell r="AC138" t="str">
            <v>A</v>
          </cell>
          <cell r="AE138" t="str">
            <v>A</v>
          </cell>
          <cell r="AG138" t="str">
            <v>A</v>
          </cell>
          <cell r="AI138" t="str">
            <v>P</v>
          </cell>
          <cell r="AK138" t="str">
            <v>O</v>
          </cell>
          <cell r="AM138" t="str">
            <v>P</v>
          </cell>
          <cell r="AO138" t="str">
            <v>P</v>
          </cell>
          <cell r="AQ138" t="str">
            <v>P</v>
          </cell>
          <cell r="AS138" t="str">
            <v>P</v>
          </cell>
        </row>
        <row r="139">
          <cell r="D139">
            <v>740979784034</v>
          </cell>
          <cell r="E139" t="str">
            <v>Durgesh Kumar Kushwaha</v>
          </cell>
          <cell r="F139" t="str">
            <v>CO2 Welder</v>
          </cell>
          <cell r="G139" t="str">
            <v>PI MPP -12 H PLANT</v>
          </cell>
          <cell r="H139">
            <v>10002</v>
          </cell>
          <cell r="I139" t="str">
            <v>O</v>
          </cell>
          <cell r="K139" t="str">
            <v>P</v>
          </cell>
          <cell r="M139" t="str">
            <v>P</v>
          </cell>
          <cell r="N139">
            <v>11</v>
          </cell>
          <cell r="O139" t="str">
            <v>P</v>
          </cell>
          <cell r="Q139" t="str">
            <v>P</v>
          </cell>
          <cell r="S139" t="str">
            <v>A</v>
          </cell>
          <cell r="U139" t="str">
            <v>P</v>
          </cell>
          <cell r="W139" t="str">
            <v>P</v>
          </cell>
          <cell r="Y139" t="str">
            <v>P</v>
          </cell>
          <cell r="AA139" t="str">
            <v>P</v>
          </cell>
          <cell r="AC139" t="str">
            <v>P</v>
          </cell>
          <cell r="AE139" t="str">
            <v>P</v>
          </cell>
          <cell r="AG139" t="str">
            <v>P</v>
          </cell>
          <cell r="AI139" t="str">
            <v>P</v>
          </cell>
          <cell r="AK139" t="str">
            <v>O</v>
          </cell>
          <cell r="AM139" t="str">
            <v>P</v>
          </cell>
          <cell r="AO139" t="str">
            <v>P</v>
          </cell>
          <cell r="AQ139" t="str">
            <v>P</v>
          </cell>
          <cell r="AS139" t="str">
            <v>P</v>
          </cell>
        </row>
        <row r="140">
          <cell r="D140">
            <v>446607604079</v>
          </cell>
          <cell r="E140" t="str">
            <v>Pradeep Kumar</v>
          </cell>
          <cell r="F140" t="str">
            <v>CO2 Welder</v>
          </cell>
          <cell r="G140" t="str">
            <v>PI MPP -12 H PLANT</v>
          </cell>
          <cell r="H140">
            <v>10002</v>
          </cell>
          <cell r="I140" t="str">
            <v>P</v>
          </cell>
          <cell r="K140" t="str">
            <v>P</v>
          </cell>
          <cell r="L140">
            <v>11</v>
          </cell>
          <cell r="M140" t="str">
            <v>P</v>
          </cell>
          <cell r="N140">
            <v>11</v>
          </cell>
          <cell r="O140" t="str">
            <v>P</v>
          </cell>
          <cell r="Q140" t="str">
            <v>A</v>
          </cell>
          <cell r="S140" t="str">
            <v>P</v>
          </cell>
          <cell r="U140" t="str">
            <v>P</v>
          </cell>
          <cell r="W140" t="str">
            <v>P</v>
          </cell>
          <cell r="Y140" t="str">
            <v>P</v>
          </cell>
          <cell r="AA140" t="str">
            <v>P</v>
          </cell>
          <cell r="AC140" t="str">
            <v>P</v>
          </cell>
          <cell r="AE140" t="str">
            <v>P</v>
          </cell>
          <cell r="AF140">
            <v>11</v>
          </cell>
          <cell r="AG140" t="str">
            <v>P</v>
          </cell>
          <cell r="AI140" t="str">
            <v>P</v>
          </cell>
          <cell r="AK140" t="str">
            <v>O</v>
          </cell>
          <cell r="AM140" t="str">
            <v>P</v>
          </cell>
          <cell r="AO140" t="str">
            <v>P</v>
          </cell>
          <cell r="AQ140" t="str">
            <v>P</v>
          </cell>
          <cell r="AS140" t="str">
            <v>P</v>
          </cell>
          <cell r="AT140">
            <v>11</v>
          </cell>
        </row>
        <row r="141">
          <cell r="D141">
            <v>279306340076</v>
          </cell>
          <cell r="E141" t="str">
            <v>Harpal singh</v>
          </cell>
          <cell r="F141" t="str">
            <v>Rigger</v>
          </cell>
          <cell r="G141" t="str">
            <v>PI MPP -12 H PLANT</v>
          </cell>
          <cell r="H141">
            <v>10002</v>
          </cell>
          <cell r="I141" t="str">
            <v>P</v>
          </cell>
          <cell r="K141" t="str">
            <v>P</v>
          </cell>
          <cell r="L141">
            <v>11</v>
          </cell>
          <cell r="M141" t="str">
            <v>P</v>
          </cell>
          <cell r="N141">
            <v>11</v>
          </cell>
          <cell r="O141" t="str">
            <v>P</v>
          </cell>
          <cell r="P141">
            <v>11</v>
          </cell>
          <cell r="Q141" t="str">
            <v>P</v>
          </cell>
          <cell r="S141" t="str">
            <v>P</v>
          </cell>
          <cell r="T141">
            <v>11</v>
          </cell>
          <cell r="U141" t="str">
            <v>P</v>
          </cell>
          <cell r="V141">
            <v>11</v>
          </cell>
          <cell r="W141" t="str">
            <v>P</v>
          </cell>
          <cell r="Y141" t="str">
            <v>P</v>
          </cell>
          <cell r="Z141">
            <v>11</v>
          </cell>
          <cell r="AA141" t="str">
            <v>P</v>
          </cell>
          <cell r="AC141" t="str">
            <v>P</v>
          </cell>
          <cell r="AE141" t="str">
            <v>P</v>
          </cell>
          <cell r="AG141" t="str">
            <v>P</v>
          </cell>
          <cell r="AH141">
            <v>11</v>
          </cell>
          <cell r="AI141" t="str">
            <v>P</v>
          </cell>
          <cell r="AK141" t="str">
            <v>O</v>
          </cell>
          <cell r="AM141" t="str">
            <v>P</v>
          </cell>
          <cell r="AO141" t="str">
            <v>A</v>
          </cell>
          <cell r="AQ141" t="str">
            <v>P</v>
          </cell>
          <cell r="AS141" t="str">
            <v>P</v>
          </cell>
        </row>
        <row r="142">
          <cell r="D142">
            <v>221895255788</v>
          </cell>
          <cell r="E142" t="str">
            <v>Budhan Mahato</v>
          </cell>
          <cell r="F142" t="str">
            <v>CO2 Welder</v>
          </cell>
          <cell r="G142" t="str">
            <v>PI MPP -12 H PLANT</v>
          </cell>
          <cell r="H142">
            <v>10002</v>
          </cell>
          <cell r="I142" t="str">
            <v>P</v>
          </cell>
          <cell r="K142" t="str">
            <v>P</v>
          </cell>
          <cell r="M142" t="str">
            <v>P</v>
          </cell>
          <cell r="N142">
            <v>11</v>
          </cell>
          <cell r="O142" t="str">
            <v>P</v>
          </cell>
          <cell r="Q142" t="str">
            <v>P</v>
          </cell>
          <cell r="S142" t="str">
            <v>P</v>
          </cell>
          <cell r="U142" t="str">
            <v>P</v>
          </cell>
          <cell r="W142" t="str">
            <v>P</v>
          </cell>
          <cell r="Y142" t="str">
            <v>P</v>
          </cell>
          <cell r="AA142" t="str">
            <v>P</v>
          </cell>
          <cell r="AC142" t="str">
            <v>P</v>
          </cell>
          <cell r="AE142" t="str">
            <v>P</v>
          </cell>
          <cell r="AG142" t="str">
            <v>P</v>
          </cell>
          <cell r="AI142" t="str">
            <v>P</v>
          </cell>
          <cell r="AK142" t="str">
            <v>O</v>
          </cell>
          <cell r="AM142" t="str">
            <v>P</v>
          </cell>
          <cell r="AO142" t="str">
            <v>P</v>
          </cell>
          <cell r="AQ142" t="str">
            <v>P</v>
          </cell>
          <cell r="AS142" t="str">
            <v>P</v>
          </cell>
        </row>
        <row r="143">
          <cell r="D143">
            <v>594972338418</v>
          </cell>
          <cell r="E143" t="str">
            <v>Rajan Rajbhar</v>
          </cell>
          <cell r="F143" t="str">
            <v>CO2 Welder</v>
          </cell>
          <cell r="G143" t="str">
            <v>PI MPP -12 H PLANT</v>
          </cell>
          <cell r="H143">
            <v>10002</v>
          </cell>
          <cell r="I143" t="str">
            <v>P</v>
          </cell>
          <cell r="K143" t="str">
            <v>P</v>
          </cell>
          <cell r="L143">
            <v>11</v>
          </cell>
          <cell r="M143" t="str">
            <v>P</v>
          </cell>
          <cell r="O143" t="str">
            <v>P</v>
          </cell>
          <cell r="Q143" t="str">
            <v>P</v>
          </cell>
          <cell r="R143">
            <v>11</v>
          </cell>
          <cell r="S143" t="str">
            <v>P</v>
          </cell>
          <cell r="U143" t="str">
            <v>P</v>
          </cell>
          <cell r="W143" t="str">
            <v>P</v>
          </cell>
          <cell r="Y143" t="str">
            <v>P</v>
          </cell>
          <cell r="AA143" t="str">
            <v>P</v>
          </cell>
          <cell r="AC143" t="str">
            <v>P</v>
          </cell>
          <cell r="AE143" t="str">
            <v>P</v>
          </cell>
          <cell r="AG143" t="str">
            <v>P</v>
          </cell>
          <cell r="AI143" t="str">
            <v>P</v>
          </cell>
          <cell r="AK143" t="str">
            <v>O</v>
          </cell>
          <cell r="AM143" t="str">
            <v>P</v>
          </cell>
          <cell r="AO143" t="str">
            <v>P</v>
          </cell>
          <cell r="AQ143" t="str">
            <v>P</v>
          </cell>
          <cell r="AS143" t="str">
            <v>P</v>
          </cell>
        </row>
        <row r="144">
          <cell r="D144">
            <v>420323583674</v>
          </cell>
          <cell r="E144" t="str">
            <v>Aravind Rajbhar</v>
          </cell>
          <cell r="F144" t="str">
            <v>Tacker Welder</v>
          </cell>
          <cell r="G144" t="str">
            <v>PI MPP -12 H PLANT</v>
          </cell>
          <cell r="H144">
            <v>10002</v>
          </cell>
          <cell r="I144" t="str">
            <v>O</v>
          </cell>
          <cell r="K144" t="str">
            <v>P</v>
          </cell>
          <cell r="L144">
            <v>11</v>
          </cell>
          <cell r="M144" t="str">
            <v>A</v>
          </cell>
          <cell r="O144" t="str">
            <v>P</v>
          </cell>
          <cell r="Q144" t="str">
            <v>P</v>
          </cell>
          <cell r="R144">
            <v>11</v>
          </cell>
          <cell r="S144" t="str">
            <v>P</v>
          </cell>
          <cell r="T144">
            <v>11</v>
          </cell>
          <cell r="U144" t="str">
            <v>P</v>
          </cell>
          <cell r="W144" t="str">
            <v>O</v>
          </cell>
          <cell r="Y144" t="str">
            <v>A</v>
          </cell>
          <cell r="AA144" t="str">
            <v>A</v>
          </cell>
          <cell r="AC144" t="str">
            <v>A</v>
          </cell>
          <cell r="AE144" t="str">
            <v>A</v>
          </cell>
          <cell r="AG144" t="str">
            <v>A</v>
          </cell>
          <cell r="AI144" t="str">
            <v>A</v>
          </cell>
          <cell r="AK144" t="str">
            <v>O</v>
          </cell>
          <cell r="AM144" t="str">
            <v>A</v>
          </cell>
          <cell r="AO144" t="str">
            <v>A</v>
          </cell>
          <cell r="AQ144" t="str">
            <v>A</v>
          </cell>
          <cell r="AS144" t="str">
            <v>A</v>
          </cell>
        </row>
        <row r="145">
          <cell r="D145">
            <v>592299006342</v>
          </cell>
          <cell r="E145" t="str">
            <v>Mitlesh Kumar</v>
          </cell>
          <cell r="F145" t="str">
            <v>Helper</v>
          </cell>
          <cell r="G145" t="str">
            <v>PI MPP -12 H PLANT</v>
          </cell>
          <cell r="H145">
            <v>10002</v>
          </cell>
          <cell r="I145" t="str">
            <v>P</v>
          </cell>
          <cell r="K145" t="str">
            <v>P</v>
          </cell>
          <cell r="L145">
            <v>11</v>
          </cell>
          <cell r="M145" t="str">
            <v>P</v>
          </cell>
          <cell r="N145">
            <v>11</v>
          </cell>
          <cell r="O145" t="str">
            <v>P</v>
          </cell>
          <cell r="Q145" t="str">
            <v>HD</v>
          </cell>
          <cell r="S145" t="str">
            <v>A</v>
          </cell>
          <cell r="U145" t="str">
            <v>P</v>
          </cell>
          <cell r="W145" t="str">
            <v>O</v>
          </cell>
          <cell r="Y145" t="str">
            <v>P</v>
          </cell>
          <cell r="AA145" t="str">
            <v>P</v>
          </cell>
          <cell r="AC145" t="str">
            <v>P</v>
          </cell>
          <cell r="AE145" t="str">
            <v>P</v>
          </cell>
          <cell r="AG145" t="str">
            <v>P</v>
          </cell>
          <cell r="AI145" t="str">
            <v>P</v>
          </cell>
          <cell r="AK145" t="str">
            <v>O</v>
          </cell>
          <cell r="AM145" t="str">
            <v>P</v>
          </cell>
          <cell r="AO145" t="str">
            <v>P</v>
          </cell>
          <cell r="AQ145" t="str">
            <v>A</v>
          </cell>
          <cell r="AS145" t="str">
            <v>P</v>
          </cell>
          <cell r="AT145">
            <v>11</v>
          </cell>
        </row>
        <row r="146">
          <cell r="D146">
            <v>699572476078</v>
          </cell>
          <cell r="E146" t="str">
            <v>Rohan Kumar</v>
          </cell>
          <cell r="F146" t="str">
            <v>Rigger</v>
          </cell>
          <cell r="G146" t="str">
            <v>LINDE NETHA.BLUSE H2</v>
          </cell>
          <cell r="H146">
            <v>10009</v>
          </cell>
          <cell r="I146" t="str">
            <v>P</v>
          </cell>
          <cell r="K146" t="str">
            <v>P</v>
          </cell>
          <cell r="M146" t="str">
            <v>P</v>
          </cell>
          <cell r="O146" t="str">
            <v>P</v>
          </cell>
          <cell r="Q146" t="str">
            <v>P</v>
          </cell>
          <cell r="S146" t="str">
            <v>P</v>
          </cell>
          <cell r="U146" t="str">
            <v>P</v>
          </cell>
          <cell r="W146" t="str">
            <v>O</v>
          </cell>
          <cell r="Y146" t="str">
            <v>P</v>
          </cell>
          <cell r="AA146" t="str">
            <v>P</v>
          </cell>
          <cell r="AC146" t="str">
            <v>P</v>
          </cell>
          <cell r="AE146" t="str">
            <v>P</v>
          </cell>
          <cell r="AG146" t="str">
            <v>P</v>
          </cell>
          <cell r="AI146" t="str">
            <v>P</v>
          </cell>
          <cell r="AK146" t="str">
            <v>O</v>
          </cell>
          <cell r="AM146" t="str">
            <v>P</v>
          </cell>
          <cell r="AO146" t="str">
            <v>P</v>
          </cell>
          <cell r="AQ146" t="str">
            <v>P</v>
          </cell>
          <cell r="AS146" t="str">
            <v>P</v>
          </cell>
        </row>
        <row r="147">
          <cell r="D147">
            <v>646922097498</v>
          </cell>
          <cell r="E147" t="str">
            <v>Barun lohar</v>
          </cell>
          <cell r="F147" t="str">
            <v>Driller</v>
          </cell>
          <cell r="G147" t="str">
            <v>EPCM  NAVIN</v>
          </cell>
          <cell r="H147">
            <v>10003</v>
          </cell>
          <cell r="I147" t="str">
            <v>P</v>
          </cell>
          <cell r="K147" t="str">
            <v>P</v>
          </cell>
          <cell r="M147" t="str">
            <v>A</v>
          </cell>
          <cell r="O147" t="str">
            <v>P</v>
          </cell>
          <cell r="Q147" t="str">
            <v>P</v>
          </cell>
          <cell r="S147" t="str">
            <v>P</v>
          </cell>
          <cell r="U147" t="str">
            <v>P</v>
          </cell>
          <cell r="V147">
            <v>11</v>
          </cell>
          <cell r="W147" t="str">
            <v>P</v>
          </cell>
          <cell r="Y147" t="str">
            <v>A</v>
          </cell>
          <cell r="AA147" t="str">
            <v>P</v>
          </cell>
          <cell r="AC147" t="str">
            <v>P</v>
          </cell>
          <cell r="AE147" t="str">
            <v>A</v>
          </cell>
          <cell r="AG147" t="str">
            <v>P</v>
          </cell>
          <cell r="AI147" t="str">
            <v>P</v>
          </cell>
          <cell r="AJ147">
            <v>11</v>
          </cell>
          <cell r="AK147" t="str">
            <v>O</v>
          </cell>
          <cell r="AM147" t="str">
            <v>P</v>
          </cell>
          <cell r="AO147" t="str">
            <v>A</v>
          </cell>
          <cell r="AQ147" t="str">
            <v>P</v>
          </cell>
          <cell r="AS147" t="str">
            <v>P</v>
          </cell>
        </row>
        <row r="148">
          <cell r="D148">
            <v>786291778911</v>
          </cell>
          <cell r="E148" t="str">
            <v>Bappa Lohar</v>
          </cell>
          <cell r="F148" t="str">
            <v>Rigger</v>
          </cell>
          <cell r="G148" t="str">
            <v>PI MPP -12 H PLANT</v>
          </cell>
          <cell r="H148">
            <v>10002</v>
          </cell>
          <cell r="I148" t="str">
            <v>P</v>
          </cell>
          <cell r="K148" t="str">
            <v>A</v>
          </cell>
          <cell r="M148" t="str">
            <v>P</v>
          </cell>
          <cell r="O148" t="str">
            <v>P</v>
          </cell>
          <cell r="P148">
            <v>11</v>
          </cell>
          <cell r="Q148" t="str">
            <v>P</v>
          </cell>
          <cell r="S148" t="str">
            <v>P</v>
          </cell>
          <cell r="T148">
            <v>11</v>
          </cell>
          <cell r="U148" t="str">
            <v>P</v>
          </cell>
          <cell r="W148" t="str">
            <v>P</v>
          </cell>
          <cell r="Y148" t="str">
            <v>P</v>
          </cell>
          <cell r="AA148" t="str">
            <v>A</v>
          </cell>
          <cell r="AC148" t="str">
            <v>A</v>
          </cell>
          <cell r="AE148" t="str">
            <v>A</v>
          </cell>
          <cell r="AI148" t="str">
            <v>O</v>
          </cell>
          <cell r="AM148" t="str">
            <v>o</v>
          </cell>
          <cell r="AQ148">
            <v>0</v>
          </cell>
        </row>
        <row r="149">
          <cell r="D149">
            <v>544108740408</v>
          </cell>
          <cell r="E149" t="str">
            <v>Sandeep Kumar</v>
          </cell>
          <cell r="F149" t="str">
            <v>Helper</v>
          </cell>
          <cell r="G149" t="str">
            <v>LINDE PANIPAT HGU</v>
          </cell>
          <cell r="H149">
            <v>10006</v>
          </cell>
          <cell r="I149" t="str">
            <v>P</v>
          </cell>
          <cell r="K149" t="str">
            <v>P</v>
          </cell>
          <cell r="M149" t="str">
            <v>P</v>
          </cell>
          <cell r="O149" t="str">
            <v>P</v>
          </cell>
          <cell r="Q149" t="str">
            <v>P</v>
          </cell>
          <cell r="S149" t="str">
            <v>P</v>
          </cell>
          <cell r="U149" t="str">
            <v>P</v>
          </cell>
          <cell r="W149" t="str">
            <v>P</v>
          </cell>
          <cell r="Y149" t="str">
            <v>P</v>
          </cell>
          <cell r="AA149" t="str">
            <v>P</v>
          </cell>
          <cell r="AC149" t="str">
            <v>P</v>
          </cell>
          <cell r="AE149" t="str">
            <v>P</v>
          </cell>
          <cell r="AG149" t="str">
            <v>P</v>
          </cell>
          <cell r="AI149" t="str">
            <v>P</v>
          </cell>
          <cell r="AK149" t="str">
            <v>O</v>
          </cell>
          <cell r="AM149" t="str">
            <v>P</v>
          </cell>
          <cell r="AO149" t="str">
            <v>P</v>
          </cell>
          <cell r="AQ149" t="str">
            <v>P</v>
          </cell>
          <cell r="AS149" t="str">
            <v>P</v>
          </cell>
        </row>
        <row r="150">
          <cell r="D150">
            <v>354420242585</v>
          </cell>
          <cell r="E150" t="str">
            <v>Jagabandhu Sharma</v>
          </cell>
          <cell r="F150" t="str">
            <v>Gas Cutter</v>
          </cell>
          <cell r="G150" t="str">
            <v>PI MPP -12 H PLANT</v>
          </cell>
          <cell r="H150">
            <v>10002</v>
          </cell>
          <cell r="I150" t="str">
            <v>O</v>
          </cell>
          <cell r="K150" t="str">
            <v>P</v>
          </cell>
          <cell r="M150" t="str">
            <v>A</v>
          </cell>
          <cell r="O150" t="str">
            <v>P</v>
          </cell>
          <cell r="P150">
            <v>11</v>
          </cell>
          <cell r="Q150" t="str">
            <v>P</v>
          </cell>
          <cell r="S150" t="str">
            <v>P</v>
          </cell>
          <cell r="U150" t="str">
            <v>P</v>
          </cell>
          <cell r="W150" t="str">
            <v>P</v>
          </cell>
          <cell r="Y150" t="str">
            <v>A</v>
          </cell>
          <cell r="AA150" t="str">
            <v>P</v>
          </cell>
          <cell r="AC150" t="str">
            <v>P</v>
          </cell>
          <cell r="AE150" t="str">
            <v>P</v>
          </cell>
          <cell r="AG150" t="str">
            <v>P</v>
          </cell>
          <cell r="AI150" t="str">
            <v>P</v>
          </cell>
          <cell r="AK150" t="str">
            <v>O</v>
          </cell>
          <cell r="AM150" t="str">
            <v>A</v>
          </cell>
          <cell r="AO150" t="str">
            <v>P</v>
          </cell>
          <cell r="AQ150" t="str">
            <v>P</v>
          </cell>
          <cell r="AS150" t="str">
            <v>P</v>
          </cell>
        </row>
        <row r="151">
          <cell r="D151">
            <v>308635689686</v>
          </cell>
          <cell r="E151" t="str">
            <v>Santosh Singh</v>
          </cell>
          <cell r="F151" t="str">
            <v>Rigger</v>
          </cell>
          <cell r="G151" t="str">
            <v>LINDE NETHA.BLUSE H2</v>
          </cell>
          <cell r="H151">
            <v>10009</v>
          </cell>
          <cell r="I151" t="str">
            <v>O</v>
          </cell>
          <cell r="K151" t="str">
            <v>P</v>
          </cell>
          <cell r="L151">
            <v>11</v>
          </cell>
          <cell r="M151" t="str">
            <v>A</v>
          </cell>
          <cell r="O151" t="str">
            <v>P</v>
          </cell>
          <cell r="P151">
            <v>11</v>
          </cell>
          <cell r="Q151" t="str">
            <v>P</v>
          </cell>
          <cell r="S151" t="str">
            <v>P</v>
          </cell>
          <cell r="U151" t="str">
            <v>P</v>
          </cell>
          <cell r="V151">
            <v>5</v>
          </cell>
          <cell r="W151" t="str">
            <v>P</v>
          </cell>
          <cell r="Y151" t="str">
            <v>A</v>
          </cell>
          <cell r="AC151" t="str">
            <v>o</v>
          </cell>
          <cell r="AI151" t="str">
            <v>O</v>
          </cell>
          <cell r="AM151" t="str">
            <v>o</v>
          </cell>
          <cell r="AQ151">
            <v>0</v>
          </cell>
          <cell r="AS151" t="str">
            <v>o</v>
          </cell>
        </row>
        <row r="152">
          <cell r="D152">
            <v>630716203331</v>
          </cell>
          <cell r="E152" t="str">
            <v>Manoj Behera</v>
          </cell>
          <cell r="F152" t="str">
            <v>Helper</v>
          </cell>
          <cell r="G152" t="str">
            <v>LINDE PANIPAT HGU</v>
          </cell>
          <cell r="H152">
            <v>10006</v>
          </cell>
          <cell r="I152" t="str">
            <v>P</v>
          </cell>
          <cell r="K152" t="str">
            <v>P</v>
          </cell>
          <cell r="M152" t="str">
            <v>P</v>
          </cell>
          <cell r="O152" t="str">
            <v>P</v>
          </cell>
          <cell r="P152">
            <v>11</v>
          </cell>
          <cell r="Q152" t="str">
            <v>P</v>
          </cell>
          <cell r="S152" t="str">
            <v>P</v>
          </cell>
          <cell r="U152" t="str">
            <v>P</v>
          </cell>
          <cell r="W152" t="str">
            <v>P</v>
          </cell>
          <cell r="Y152" t="str">
            <v>P</v>
          </cell>
          <cell r="AA152" t="str">
            <v>A</v>
          </cell>
          <cell r="AC152" t="str">
            <v>P</v>
          </cell>
          <cell r="AE152" t="str">
            <v>P</v>
          </cell>
          <cell r="AG152" t="str">
            <v>P</v>
          </cell>
          <cell r="AI152" t="str">
            <v>P</v>
          </cell>
          <cell r="AK152" t="str">
            <v>O</v>
          </cell>
          <cell r="AM152" t="str">
            <v>P</v>
          </cell>
          <cell r="AO152" t="str">
            <v>P</v>
          </cell>
          <cell r="AQ152" t="str">
            <v>P</v>
          </cell>
          <cell r="AS152" t="str">
            <v>P</v>
          </cell>
          <cell r="AT152">
            <v>11</v>
          </cell>
        </row>
        <row r="153">
          <cell r="D153">
            <v>971444743929</v>
          </cell>
          <cell r="E153" t="str">
            <v>Amal Pressanna</v>
          </cell>
          <cell r="F153" t="str">
            <v>Fitter</v>
          </cell>
          <cell r="G153" t="str">
            <v>LINDE PANIPAT HGU</v>
          </cell>
          <cell r="H153">
            <v>10006</v>
          </cell>
          <cell r="I153" t="str">
            <v>P</v>
          </cell>
          <cell r="K153" t="str">
            <v>P</v>
          </cell>
          <cell r="M153" t="str">
            <v>P</v>
          </cell>
          <cell r="O153" t="str">
            <v>P</v>
          </cell>
          <cell r="Q153" t="str">
            <v>P</v>
          </cell>
          <cell r="S153" t="str">
            <v>P</v>
          </cell>
          <cell r="U153" t="str">
            <v>P</v>
          </cell>
          <cell r="W153" t="str">
            <v>O</v>
          </cell>
          <cell r="Y153" t="str">
            <v>P</v>
          </cell>
          <cell r="AA153" t="str">
            <v>P</v>
          </cell>
          <cell r="AC153" t="str">
            <v>P</v>
          </cell>
          <cell r="AE153" t="str">
            <v>P</v>
          </cell>
          <cell r="AG153" t="str">
            <v>A</v>
          </cell>
          <cell r="AI153" t="str">
            <v>A</v>
          </cell>
          <cell r="AK153" t="str">
            <v>O</v>
          </cell>
          <cell r="AM153" t="str">
            <v>A</v>
          </cell>
          <cell r="AO153" t="str">
            <v>A</v>
          </cell>
          <cell r="AQ153" t="str">
            <v>A</v>
          </cell>
          <cell r="AS153" t="str">
            <v>A</v>
          </cell>
        </row>
        <row r="154">
          <cell r="D154">
            <v>638812416106</v>
          </cell>
          <cell r="E154" t="str">
            <v>Dharmendra</v>
          </cell>
          <cell r="F154" t="str">
            <v>Rigger</v>
          </cell>
          <cell r="G154" t="str">
            <v>PI MPP -12 H PLANT</v>
          </cell>
          <cell r="H154">
            <v>10002</v>
          </cell>
          <cell r="I154" t="str">
            <v>P</v>
          </cell>
          <cell r="K154" t="str">
            <v>A</v>
          </cell>
          <cell r="M154" t="str">
            <v>P</v>
          </cell>
          <cell r="O154" t="str">
            <v>P</v>
          </cell>
          <cell r="P154">
            <v>11</v>
          </cell>
          <cell r="Q154" t="str">
            <v>P</v>
          </cell>
          <cell r="S154" t="str">
            <v>P</v>
          </cell>
          <cell r="U154" t="str">
            <v>A</v>
          </cell>
          <cell r="W154" t="str">
            <v>O</v>
          </cell>
          <cell r="Y154" t="str">
            <v>A</v>
          </cell>
          <cell r="AC154" t="str">
            <v>o</v>
          </cell>
          <cell r="AI154" t="str">
            <v>O</v>
          </cell>
          <cell r="AM154" t="str">
            <v>o</v>
          </cell>
          <cell r="AQ154">
            <v>0</v>
          </cell>
          <cell r="AS154" t="str">
            <v>o</v>
          </cell>
        </row>
        <row r="155">
          <cell r="D155">
            <v>798332172687</v>
          </cell>
          <cell r="E155" t="str">
            <v>Arvind Kumar</v>
          </cell>
          <cell r="F155" t="str">
            <v>Rigger</v>
          </cell>
          <cell r="G155" t="str">
            <v>LINDE NETHA.BLUSE H2</v>
          </cell>
          <cell r="H155">
            <v>10009</v>
          </cell>
          <cell r="I155" t="str">
            <v>P</v>
          </cell>
          <cell r="K155" t="str">
            <v>P</v>
          </cell>
          <cell r="L155">
            <v>11</v>
          </cell>
          <cell r="M155" t="str">
            <v>P</v>
          </cell>
          <cell r="O155" t="str">
            <v>P</v>
          </cell>
          <cell r="P155">
            <v>11</v>
          </cell>
          <cell r="Q155" t="str">
            <v>P</v>
          </cell>
          <cell r="R155">
            <v>11</v>
          </cell>
          <cell r="S155" t="str">
            <v>P</v>
          </cell>
          <cell r="U155" t="str">
            <v>P</v>
          </cell>
          <cell r="W155" t="str">
            <v>P</v>
          </cell>
          <cell r="Y155" t="str">
            <v>P</v>
          </cell>
          <cell r="Z155">
            <v>11</v>
          </cell>
          <cell r="AA155" t="str">
            <v>P</v>
          </cell>
          <cell r="AC155" t="str">
            <v>P</v>
          </cell>
          <cell r="AD155">
            <v>11</v>
          </cell>
          <cell r="AE155" t="str">
            <v>P</v>
          </cell>
          <cell r="AG155" t="str">
            <v>P</v>
          </cell>
          <cell r="AI155" t="str">
            <v>P</v>
          </cell>
          <cell r="AK155" t="str">
            <v>O</v>
          </cell>
          <cell r="AM155" t="str">
            <v>P</v>
          </cell>
          <cell r="AO155" t="str">
            <v>A</v>
          </cell>
          <cell r="AQ155" t="str">
            <v>A</v>
          </cell>
          <cell r="AS155" t="str">
            <v>A</v>
          </cell>
        </row>
        <row r="156">
          <cell r="D156">
            <v>351145804143</v>
          </cell>
          <cell r="E156" t="str">
            <v>Rupesh Kumar Singh</v>
          </cell>
          <cell r="F156" t="str">
            <v>Gas Cutter</v>
          </cell>
          <cell r="G156" t="str">
            <v>PI MPP -12 H PLANT</v>
          </cell>
          <cell r="H156">
            <v>10002</v>
          </cell>
          <cell r="I156" t="str">
            <v>P</v>
          </cell>
          <cell r="K156" t="str">
            <v>P</v>
          </cell>
          <cell r="L156">
            <v>11</v>
          </cell>
          <cell r="M156" t="str">
            <v>P</v>
          </cell>
          <cell r="O156" t="str">
            <v>P</v>
          </cell>
          <cell r="P156">
            <v>11</v>
          </cell>
          <cell r="Q156" t="str">
            <v>P</v>
          </cell>
          <cell r="S156" t="str">
            <v>P</v>
          </cell>
          <cell r="U156" t="str">
            <v>P</v>
          </cell>
          <cell r="W156" t="str">
            <v>P</v>
          </cell>
          <cell r="Y156" t="str">
            <v>P</v>
          </cell>
          <cell r="AA156" t="str">
            <v>P</v>
          </cell>
          <cell r="AC156" t="str">
            <v>P</v>
          </cell>
          <cell r="AE156" t="str">
            <v>A</v>
          </cell>
          <cell r="AG156" t="str">
            <v>P</v>
          </cell>
          <cell r="AI156" t="str">
            <v>P</v>
          </cell>
          <cell r="AK156" t="str">
            <v>O</v>
          </cell>
          <cell r="AM156" t="str">
            <v>P</v>
          </cell>
          <cell r="AO156" t="str">
            <v>P</v>
          </cell>
          <cell r="AQ156" t="str">
            <v>P</v>
          </cell>
          <cell r="AS156" t="str">
            <v>P</v>
          </cell>
        </row>
        <row r="157">
          <cell r="D157">
            <v>925609135637</v>
          </cell>
          <cell r="E157" t="str">
            <v>Bhola Sah</v>
          </cell>
          <cell r="F157" t="str">
            <v>Tacker Welder</v>
          </cell>
          <cell r="G157" t="str">
            <v>PI MPP -12 H PLANT</v>
          </cell>
          <cell r="H157">
            <v>10002</v>
          </cell>
          <cell r="I157" t="str">
            <v>O</v>
          </cell>
          <cell r="K157" t="str">
            <v>A</v>
          </cell>
          <cell r="M157" t="str">
            <v>P</v>
          </cell>
          <cell r="O157" t="str">
            <v>A</v>
          </cell>
          <cell r="Q157" t="str">
            <v>A</v>
          </cell>
          <cell r="S157" t="str">
            <v>A</v>
          </cell>
          <cell r="U157" t="str">
            <v>A</v>
          </cell>
          <cell r="AC157" t="str">
            <v>o</v>
          </cell>
          <cell r="AI157" t="str">
            <v>O</v>
          </cell>
          <cell r="AM157" t="str">
            <v>o</v>
          </cell>
          <cell r="AQ157">
            <v>0</v>
          </cell>
          <cell r="AS157" t="str">
            <v>o</v>
          </cell>
        </row>
        <row r="158">
          <cell r="D158">
            <v>527984674803</v>
          </cell>
          <cell r="E158" t="str">
            <v>Upendra Singh</v>
          </cell>
          <cell r="F158" t="str">
            <v>Grinder</v>
          </cell>
          <cell r="G158" t="str">
            <v>LINDE NETHA.BLUSE H2</v>
          </cell>
          <cell r="H158">
            <v>10009</v>
          </cell>
          <cell r="I158" t="str">
            <v>P</v>
          </cell>
          <cell r="K158" t="str">
            <v>P</v>
          </cell>
          <cell r="M158" t="str">
            <v>P</v>
          </cell>
          <cell r="N158">
            <v>11</v>
          </cell>
          <cell r="O158" t="str">
            <v>P</v>
          </cell>
          <cell r="P158">
            <v>11</v>
          </cell>
          <cell r="Q158" t="str">
            <v>P</v>
          </cell>
          <cell r="S158" t="str">
            <v>P</v>
          </cell>
          <cell r="T158">
            <v>11</v>
          </cell>
          <cell r="U158" t="str">
            <v>P</v>
          </cell>
          <cell r="V158">
            <v>11</v>
          </cell>
          <cell r="W158" t="str">
            <v>P</v>
          </cell>
          <cell r="X158">
            <v>11</v>
          </cell>
          <cell r="Y158" t="str">
            <v>P</v>
          </cell>
          <cell r="Z158">
            <v>11</v>
          </cell>
          <cell r="AA158" t="str">
            <v>P</v>
          </cell>
          <cell r="AC158" t="str">
            <v>P</v>
          </cell>
          <cell r="AE158" t="str">
            <v>P</v>
          </cell>
          <cell r="AG158" t="str">
            <v>P</v>
          </cell>
          <cell r="AH158">
            <v>11</v>
          </cell>
          <cell r="AI158" t="str">
            <v>P</v>
          </cell>
          <cell r="AK158" t="str">
            <v>O</v>
          </cell>
          <cell r="AM158" t="str">
            <v>P</v>
          </cell>
          <cell r="AN158">
            <v>11</v>
          </cell>
          <cell r="AO158" t="str">
            <v>P</v>
          </cell>
          <cell r="AP158">
            <v>11</v>
          </cell>
          <cell r="AQ158" t="str">
            <v>P</v>
          </cell>
          <cell r="AR158">
            <v>11</v>
          </cell>
          <cell r="AS158" t="str">
            <v>P</v>
          </cell>
          <cell r="AT158">
            <v>11</v>
          </cell>
        </row>
        <row r="159">
          <cell r="D159">
            <v>262616351785</v>
          </cell>
          <cell r="E159" t="str">
            <v>Sandeep Kashyap</v>
          </cell>
          <cell r="F159" t="str">
            <v>Rigger</v>
          </cell>
          <cell r="G159" t="str">
            <v>LINDE NETHA.BLUSE H2</v>
          </cell>
          <cell r="H159">
            <v>10009</v>
          </cell>
          <cell r="I159" t="str">
            <v>P</v>
          </cell>
          <cell r="K159" t="str">
            <v>P</v>
          </cell>
          <cell r="L159">
            <v>11</v>
          </cell>
          <cell r="M159" t="str">
            <v>P</v>
          </cell>
          <cell r="N159">
            <v>11</v>
          </cell>
          <cell r="O159" t="str">
            <v>P</v>
          </cell>
          <cell r="P159">
            <v>11</v>
          </cell>
          <cell r="Q159" t="str">
            <v>P</v>
          </cell>
          <cell r="R159">
            <v>11</v>
          </cell>
          <cell r="S159" t="str">
            <v>P</v>
          </cell>
          <cell r="U159" t="str">
            <v>P</v>
          </cell>
          <cell r="W159" t="str">
            <v>P</v>
          </cell>
          <cell r="Y159" t="str">
            <v>P</v>
          </cell>
          <cell r="Z159">
            <v>11</v>
          </cell>
          <cell r="AA159" t="str">
            <v>P</v>
          </cell>
          <cell r="AC159" t="str">
            <v>A</v>
          </cell>
          <cell r="AE159" t="str">
            <v>P</v>
          </cell>
          <cell r="AG159" t="str">
            <v>P</v>
          </cell>
          <cell r="AH159">
            <v>11</v>
          </cell>
          <cell r="AI159" t="str">
            <v>P</v>
          </cell>
          <cell r="AK159" t="str">
            <v>O</v>
          </cell>
          <cell r="AM159" t="str">
            <v>P</v>
          </cell>
          <cell r="AO159" t="str">
            <v>P</v>
          </cell>
          <cell r="AQ159" t="str">
            <v>P</v>
          </cell>
          <cell r="AS159" t="str">
            <v>P</v>
          </cell>
        </row>
        <row r="160">
          <cell r="D160">
            <v>376419560672</v>
          </cell>
          <cell r="E160" t="str">
            <v>Dilanwaz Kha</v>
          </cell>
          <cell r="F160" t="str">
            <v>Tacker Welder</v>
          </cell>
          <cell r="G160" t="str">
            <v>LINDE NETHA.BLUSE H2</v>
          </cell>
          <cell r="H160">
            <v>10009</v>
          </cell>
          <cell r="I160" t="str">
            <v>P</v>
          </cell>
          <cell r="K160" t="str">
            <v>P</v>
          </cell>
          <cell r="L160">
            <v>11</v>
          </cell>
          <cell r="M160" t="str">
            <v>P</v>
          </cell>
          <cell r="N160">
            <v>11</v>
          </cell>
          <cell r="O160" t="str">
            <v>P</v>
          </cell>
          <cell r="P160">
            <v>11</v>
          </cell>
          <cell r="Q160" t="str">
            <v>P</v>
          </cell>
          <cell r="R160">
            <v>11</v>
          </cell>
          <cell r="S160" t="str">
            <v>P</v>
          </cell>
          <cell r="T160">
            <v>11</v>
          </cell>
          <cell r="U160" t="str">
            <v>P</v>
          </cell>
          <cell r="W160" t="str">
            <v>P</v>
          </cell>
          <cell r="Y160" t="str">
            <v>A</v>
          </cell>
          <cell r="AA160" t="str">
            <v>P</v>
          </cell>
          <cell r="AC160" t="str">
            <v>P</v>
          </cell>
          <cell r="AE160" t="str">
            <v>P</v>
          </cell>
          <cell r="AG160" t="str">
            <v>A</v>
          </cell>
          <cell r="AI160" t="str">
            <v>P</v>
          </cell>
          <cell r="AK160" t="str">
            <v>O</v>
          </cell>
          <cell r="AM160" t="str">
            <v>P</v>
          </cell>
          <cell r="AO160" t="str">
            <v>P</v>
          </cell>
          <cell r="AQ160" t="str">
            <v>A</v>
          </cell>
          <cell r="AS160" t="str">
            <v>P</v>
          </cell>
        </row>
        <row r="161">
          <cell r="D161">
            <v>815057797020</v>
          </cell>
          <cell r="E161" t="str">
            <v>Shamsher Khan</v>
          </cell>
          <cell r="F161" t="str">
            <v>Helper</v>
          </cell>
          <cell r="G161" t="str">
            <v>LINDE NETHA.BLUSE H2</v>
          </cell>
          <cell r="H161">
            <v>10009</v>
          </cell>
          <cell r="I161" t="str">
            <v>P</v>
          </cell>
          <cell r="K161" t="str">
            <v>P</v>
          </cell>
          <cell r="L161">
            <v>11</v>
          </cell>
          <cell r="M161" t="str">
            <v>P</v>
          </cell>
          <cell r="N161">
            <v>11</v>
          </cell>
          <cell r="O161" t="str">
            <v>P</v>
          </cell>
          <cell r="Q161" t="str">
            <v>P</v>
          </cell>
          <cell r="S161" t="str">
            <v>P</v>
          </cell>
          <cell r="T161">
            <v>11</v>
          </cell>
          <cell r="U161" t="str">
            <v>P</v>
          </cell>
          <cell r="W161" t="str">
            <v>P</v>
          </cell>
          <cell r="Y161" t="str">
            <v>P</v>
          </cell>
          <cell r="AA161" t="str">
            <v>P</v>
          </cell>
          <cell r="AC161" t="str">
            <v>P</v>
          </cell>
          <cell r="AE161" t="str">
            <v>P</v>
          </cell>
          <cell r="AG161" t="str">
            <v>A</v>
          </cell>
          <cell r="AI161" t="str">
            <v>P</v>
          </cell>
          <cell r="AK161" t="str">
            <v>O</v>
          </cell>
          <cell r="AM161" t="str">
            <v>P</v>
          </cell>
          <cell r="AO161" t="str">
            <v>P</v>
          </cell>
          <cell r="AQ161" t="str">
            <v>P</v>
          </cell>
          <cell r="AS161" t="str">
            <v>P</v>
          </cell>
        </row>
        <row r="162">
          <cell r="D162">
            <v>834421053970</v>
          </cell>
          <cell r="E162" t="str">
            <v>Haidar Hawari</v>
          </cell>
          <cell r="F162" t="str">
            <v>Tacker Welder</v>
          </cell>
          <cell r="G162" t="str">
            <v>PI MPP -12 H PLANT</v>
          </cell>
          <cell r="H162">
            <v>10002</v>
          </cell>
          <cell r="I162" t="str">
            <v>P</v>
          </cell>
          <cell r="K162" t="str">
            <v>P</v>
          </cell>
          <cell r="M162" t="str">
            <v>A</v>
          </cell>
          <cell r="O162" t="str">
            <v>P</v>
          </cell>
          <cell r="Q162" t="str">
            <v>P</v>
          </cell>
          <cell r="S162" t="str">
            <v>P</v>
          </cell>
          <cell r="U162" t="str">
            <v>P</v>
          </cell>
          <cell r="W162" t="str">
            <v>P</v>
          </cell>
          <cell r="Y162" t="str">
            <v>P</v>
          </cell>
          <cell r="AA162" t="str">
            <v>P</v>
          </cell>
          <cell r="AC162" t="str">
            <v>P</v>
          </cell>
          <cell r="AE162" t="str">
            <v>P</v>
          </cell>
          <cell r="AG162" t="str">
            <v>P</v>
          </cell>
          <cell r="AI162" t="str">
            <v>P</v>
          </cell>
          <cell r="AK162" t="str">
            <v>O</v>
          </cell>
          <cell r="AM162" t="str">
            <v>P</v>
          </cell>
          <cell r="AO162" t="str">
            <v>P</v>
          </cell>
          <cell r="AQ162" t="str">
            <v>P</v>
          </cell>
          <cell r="AS162" t="str">
            <v>P</v>
          </cell>
        </row>
        <row r="163">
          <cell r="D163">
            <v>206826124389</v>
          </cell>
          <cell r="E163" t="str">
            <v>Roshan Rajbhar</v>
          </cell>
          <cell r="F163" t="str">
            <v>Asst. Fitter</v>
          </cell>
          <cell r="G163" t="str">
            <v>EPCM  NAVIN</v>
          </cell>
          <cell r="H163">
            <v>10003</v>
          </cell>
          <cell r="I163" t="str">
            <v>P</v>
          </cell>
          <cell r="K163" t="str">
            <v>A</v>
          </cell>
          <cell r="M163" t="str">
            <v>A</v>
          </cell>
          <cell r="O163" t="str">
            <v>A</v>
          </cell>
          <cell r="Q163" t="str">
            <v>P</v>
          </cell>
          <cell r="S163" t="str">
            <v>P</v>
          </cell>
          <cell r="U163" t="str">
            <v>P</v>
          </cell>
          <cell r="W163" t="str">
            <v>P</v>
          </cell>
          <cell r="Y163" t="str">
            <v>P</v>
          </cell>
          <cell r="AA163" t="str">
            <v>A</v>
          </cell>
          <cell r="AC163" t="str">
            <v>P</v>
          </cell>
          <cell r="AE163" t="str">
            <v>P</v>
          </cell>
          <cell r="AG163" t="str">
            <v>P</v>
          </cell>
          <cell r="AI163" t="str">
            <v>P</v>
          </cell>
          <cell r="AK163" t="str">
            <v>O</v>
          </cell>
          <cell r="AM163" t="str">
            <v>P</v>
          </cell>
          <cell r="AO163" t="str">
            <v>P</v>
          </cell>
          <cell r="AQ163" t="str">
            <v>P</v>
          </cell>
          <cell r="AS163" t="str">
            <v>A</v>
          </cell>
        </row>
        <row r="164">
          <cell r="D164">
            <v>233610092196</v>
          </cell>
          <cell r="E164" t="str">
            <v>Mustufa Ansari</v>
          </cell>
          <cell r="F164" t="str">
            <v>Tacker Welder</v>
          </cell>
          <cell r="G164" t="str">
            <v>EPCM  NAVIN</v>
          </cell>
          <cell r="H164">
            <v>10003</v>
          </cell>
          <cell r="I164" t="str">
            <v>P</v>
          </cell>
          <cell r="K164" t="str">
            <v>P</v>
          </cell>
          <cell r="M164" t="str">
            <v>P</v>
          </cell>
          <cell r="O164" t="str">
            <v>A</v>
          </cell>
          <cell r="Q164" t="str">
            <v>P</v>
          </cell>
          <cell r="S164" t="str">
            <v>P</v>
          </cell>
          <cell r="U164" t="str">
            <v>P</v>
          </cell>
          <cell r="W164" t="str">
            <v>P</v>
          </cell>
          <cell r="Y164" t="str">
            <v>P</v>
          </cell>
          <cell r="AA164" t="str">
            <v>HD</v>
          </cell>
          <cell r="AC164" t="str">
            <v>P</v>
          </cell>
          <cell r="AE164" t="str">
            <v>P</v>
          </cell>
          <cell r="AG164" t="str">
            <v>P</v>
          </cell>
          <cell r="AI164" t="str">
            <v>P</v>
          </cell>
          <cell r="AK164" t="str">
            <v>O</v>
          </cell>
          <cell r="AM164" t="str">
            <v>A</v>
          </cell>
          <cell r="AO164" t="str">
            <v>P</v>
          </cell>
          <cell r="AQ164" t="str">
            <v>P</v>
          </cell>
          <cell r="AS164" t="str">
            <v>P</v>
          </cell>
        </row>
        <row r="165">
          <cell r="D165">
            <v>979768717235</v>
          </cell>
          <cell r="E165" t="str">
            <v>Ramesh Sah</v>
          </cell>
          <cell r="F165" t="str">
            <v>Rigger</v>
          </cell>
          <cell r="G165" t="str">
            <v>LINDE NETHA.BLUSE H2</v>
          </cell>
          <cell r="H165">
            <v>10009</v>
          </cell>
          <cell r="I165" t="str">
            <v>P</v>
          </cell>
          <cell r="K165" t="str">
            <v>A</v>
          </cell>
          <cell r="M165" t="str">
            <v>P</v>
          </cell>
          <cell r="O165" t="str">
            <v>P</v>
          </cell>
          <cell r="Q165" t="str">
            <v>P</v>
          </cell>
          <cell r="S165" t="str">
            <v>P</v>
          </cell>
          <cell r="U165" t="str">
            <v>P</v>
          </cell>
          <cell r="W165" t="str">
            <v>P</v>
          </cell>
          <cell r="Y165" t="str">
            <v>P</v>
          </cell>
          <cell r="AA165" t="str">
            <v>A</v>
          </cell>
          <cell r="AC165" t="str">
            <v>P</v>
          </cell>
          <cell r="AE165" t="str">
            <v>P</v>
          </cell>
          <cell r="AG165" t="str">
            <v>P</v>
          </cell>
          <cell r="AI165" t="str">
            <v>P</v>
          </cell>
          <cell r="AK165" t="str">
            <v>O</v>
          </cell>
          <cell r="AM165" t="str">
            <v>A</v>
          </cell>
          <cell r="AO165" t="str">
            <v>A</v>
          </cell>
          <cell r="AQ165" t="str">
            <v>A</v>
          </cell>
          <cell r="AS165" t="str">
            <v>A</v>
          </cell>
        </row>
        <row r="166">
          <cell r="D166">
            <v>712136447383</v>
          </cell>
          <cell r="E166" t="str">
            <v>Guddu Sahani</v>
          </cell>
          <cell r="F166" t="str">
            <v>Gas Cutter</v>
          </cell>
          <cell r="G166" t="str">
            <v>EPCM  NAVIN</v>
          </cell>
          <cell r="H166">
            <v>10003</v>
          </cell>
          <cell r="I166" t="str">
            <v>P</v>
          </cell>
          <cell r="K166" t="str">
            <v>P</v>
          </cell>
          <cell r="M166" t="str">
            <v>P</v>
          </cell>
          <cell r="O166" t="str">
            <v>P</v>
          </cell>
          <cell r="Q166" t="str">
            <v>P</v>
          </cell>
          <cell r="S166" t="str">
            <v>P</v>
          </cell>
          <cell r="U166" t="str">
            <v>P</v>
          </cell>
          <cell r="W166" t="str">
            <v>P</v>
          </cell>
          <cell r="Y166" t="str">
            <v>P</v>
          </cell>
          <cell r="AA166" t="str">
            <v>P</v>
          </cell>
          <cell r="AC166" t="str">
            <v>P</v>
          </cell>
          <cell r="AE166" t="str">
            <v>P</v>
          </cell>
          <cell r="AG166" t="str">
            <v>P</v>
          </cell>
          <cell r="AI166" t="str">
            <v>P</v>
          </cell>
          <cell r="AK166" t="str">
            <v>O</v>
          </cell>
          <cell r="AM166" t="str">
            <v>P</v>
          </cell>
          <cell r="AO166" t="str">
            <v>P</v>
          </cell>
          <cell r="AQ166" t="str">
            <v>P</v>
          </cell>
          <cell r="AS166" t="str">
            <v>P</v>
          </cell>
        </row>
        <row r="167">
          <cell r="D167">
            <v>867805044094</v>
          </cell>
          <cell r="E167" t="str">
            <v>Kameshwar Chaurasiya</v>
          </cell>
          <cell r="F167" t="str">
            <v>Hydra Operator</v>
          </cell>
          <cell r="G167" t="str">
            <v>EPCM  NAVIN</v>
          </cell>
          <cell r="H167">
            <v>10003</v>
          </cell>
          <cell r="I167" t="str">
            <v>P</v>
          </cell>
          <cell r="K167" t="str">
            <v>P</v>
          </cell>
          <cell r="M167" t="str">
            <v>P</v>
          </cell>
          <cell r="N167">
            <v>11</v>
          </cell>
          <cell r="O167" t="str">
            <v>P</v>
          </cell>
          <cell r="Q167" t="str">
            <v>P</v>
          </cell>
          <cell r="S167" t="str">
            <v>P</v>
          </cell>
          <cell r="T167">
            <v>11</v>
          </cell>
          <cell r="U167" t="str">
            <v>P</v>
          </cell>
          <cell r="W167" t="str">
            <v>P</v>
          </cell>
          <cell r="X167">
            <v>8</v>
          </cell>
          <cell r="Y167" t="str">
            <v>P</v>
          </cell>
          <cell r="AA167" t="str">
            <v>A</v>
          </cell>
          <cell r="AC167" t="str">
            <v>A</v>
          </cell>
          <cell r="AE167" t="str">
            <v>A</v>
          </cell>
          <cell r="AG167" t="str">
            <v>A</v>
          </cell>
          <cell r="AI167" t="str">
            <v>A</v>
          </cell>
          <cell r="AK167" t="str">
            <v>O</v>
          </cell>
          <cell r="AM167" t="str">
            <v>A</v>
          </cell>
          <cell r="AO167" t="str">
            <v>A</v>
          </cell>
          <cell r="AQ167" t="str">
            <v>A</v>
          </cell>
          <cell r="AS167" t="str">
            <v>A</v>
          </cell>
        </row>
        <row r="168">
          <cell r="D168">
            <v>469682698653</v>
          </cell>
          <cell r="E168" t="str">
            <v>Kapaleshwar Singh</v>
          </cell>
          <cell r="F168" t="str">
            <v>Grinder</v>
          </cell>
          <cell r="G168" t="str">
            <v>PI MPP -12 H PLANT</v>
          </cell>
          <cell r="H168">
            <v>10002</v>
          </cell>
          <cell r="I168" t="str">
            <v>P</v>
          </cell>
          <cell r="K168" t="str">
            <v>P</v>
          </cell>
          <cell r="L168">
            <v>11</v>
          </cell>
          <cell r="M168" t="str">
            <v>P</v>
          </cell>
          <cell r="N168">
            <v>11</v>
          </cell>
          <cell r="O168" t="str">
            <v>P</v>
          </cell>
          <cell r="P168">
            <v>11</v>
          </cell>
          <cell r="Q168" t="str">
            <v>P</v>
          </cell>
          <cell r="S168" t="str">
            <v>P</v>
          </cell>
          <cell r="T168">
            <v>11</v>
          </cell>
          <cell r="U168" t="str">
            <v>P</v>
          </cell>
          <cell r="W168" t="str">
            <v>P</v>
          </cell>
          <cell r="Y168" t="str">
            <v>P</v>
          </cell>
          <cell r="AA168" t="str">
            <v>P</v>
          </cell>
          <cell r="AC168" t="str">
            <v>P</v>
          </cell>
          <cell r="AD168">
            <v>11</v>
          </cell>
          <cell r="AE168" t="str">
            <v>P</v>
          </cell>
          <cell r="AG168" t="str">
            <v>P</v>
          </cell>
          <cell r="AI168" t="str">
            <v>P</v>
          </cell>
          <cell r="AK168" t="str">
            <v>O</v>
          </cell>
          <cell r="AM168" t="str">
            <v>P</v>
          </cell>
          <cell r="AO168" t="str">
            <v>P</v>
          </cell>
          <cell r="AQ168" t="str">
            <v>P</v>
          </cell>
          <cell r="AS168" t="str">
            <v>P</v>
          </cell>
        </row>
        <row r="169">
          <cell r="D169">
            <v>323257734252</v>
          </cell>
          <cell r="E169" t="str">
            <v>Ramvriksha Mandal</v>
          </cell>
          <cell r="F169" t="str">
            <v>Grinder</v>
          </cell>
          <cell r="G169" t="str">
            <v>PI MPP -12 H PLANT</v>
          </cell>
          <cell r="H169">
            <v>10002</v>
          </cell>
          <cell r="I169" t="str">
            <v>P</v>
          </cell>
          <cell r="K169" t="str">
            <v>P</v>
          </cell>
          <cell r="M169" t="str">
            <v>P</v>
          </cell>
          <cell r="N169">
            <v>11</v>
          </cell>
          <cell r="O169" t="str">
            <v>P</v>
          </cell>
          <cell r="Q169" t="str">
            <v>P</v>
          </cell>
          <cell r="S169" t="str">
            <v>P</v>
          </cell>
          <cell r="U169" t="str">
            <v>P</v>
          </cell>
          <cell r="W169" t="str">
            <v>P</v>
          </cell>
          <cell r="Y169" t="str">
            <v>P</v>
          </cell>
          <cell r="Z169">
            <v>11</v>
          </cell>
          <cell r="AA169" t="str">
            <v>P</v>
          </cell>
          <cell r="AC169" t="str">
            <v>P</v>
          </cell>
          <cell r="AE169" t="str">
            <v>P</v>
          </cell>
          <cell r="AG169" t="str">
            <v>P</v>
          </cell>
          <cell r="AI169" t="str">
            <v>P</v>
          </cell>
          <cell r="AK169" t="str">
            <v>O</v>
          </cell>
          <cell r="AM169" t="str">
            <v>P</v>
          </cell>
          <cell r="AO169" t="str">
            <v>P</v>
          </cell>
          <cell r="AQ169" t="str">
            <v>P</v>
          </cell>
          <cell r="AS169" t="str">
            <v>P</v>
          </cell>
        </row>
        <row r="170">
          <cell r="D170">
            <v>324173470815</v>
          </cell>
          <cell r="E170" t="str">
            <v>Ramkumar Mandal</v>
          </cell>
          <cell r="F170" t="str">
            <v>Rigger</v>
          </cell>
          <cell r="G170" t="str">
            <v>LINDE NETHA.BLUSE H2</v>
          </cell>
          <cell r="H170">
            <v>10009</v>
          </cell>
          <cell r="I170" t="str">
            <v>P</v>
          </cell>
          <cell r="K170" t="str">
            <v>P</v>
          </cell>
          <cell r="L170">
            <v>11</v>
          </cell>
          <cell r="M170" t="str">
            <v>P</v>
          </cell>
          <cell r="N170">
            <v>11</v>
          </cell>
          <cell r="O170" t="str">
            <v>P</v>
          </cell>
          <cell r="Q170" t="str">
            <v>P</v>
          </cell>
          <cell r="S170" t="str">
            <v>P</v>
          </cell>
          <cell r="T170">
            <v>11</v>
          </cell>
          <cell r="U170" t="str">
            <v>P</v>
          </cell>
          <cell r="W170" t="str">
            <v>P</v>
          </cell>
          <cell r="X170">
            <v>8</v>
          </cell>
          <cell r="Y170" t="str">
            <v>P</v>
          </cell>
          <cell r="AA170" t="str">
            <v>P</v>
          </cell>
          <cell r="AC170" t="str">
            <v>P</v>
          </cell>
          <cell r="AE170" t="str">
            <v>P</v>
          </cell>
          <cell r="AG170" t="str">
            <v>P</v>
          </cell>
          <cell r="AH170">
            <v>11</v>
          </cell>
          <cell r="AI170" t="str">
            <v>P</v>
          </cell>
          <cell r="AK170" t="str">
            <v>O</v>
          </cell>
          <cell r="AM170" t="str">
            <v>P</v>
          </cell>
          <cell r="AN170">
            <v>11</v>
          </cell>
          <cell r="AO170" t="str">
            <v>P</v>
          </cell>
          <cell r="AP170">
            <v>11</v>
          </cell>
          <cell r="AQ170" t="str">
            <v>P</v>
          </cell>
          <cell r="AS170" t="str">
            <v>P</v>
          </cell>
          <cell r="AT170">
            <v>11</v>
          </cell>
        </row>
        <row r="171">
          <cell r="D171">
            <v>976783376830</v>
          </cell>
          <cell r="E171" t="str">
            <v>Lalan Mandal</v>
          </cell>
          <cell r="F171" t="str">
            <v>Tacker Welder</v>
          </cell>
          <cell r="G171" t="str">
            <v>LINDE NETHA.BLUSE H2</v>
          </cell>
          <cell r="H171">
            <v>10009</v>
          </cell>
          <cell r="I171" t="str">
            <v>P</v>
          </cell>
          <cell r="K171" t="str">
            <v>A</v>
          </cell>
          <cell r="M171" t="str">
            <v>P</v>
          </cell>
          <cell r="O171" t="str">
            <v>P</v>
          </cell>
          <cell r="Q171" t="str">
            <v>P</v>
          </cell>
          <cell r="S171" t="str">
            <v>P</v>
          </cell>
          <cell r="U171" t="str">
            <v>P</v>
          </cell>
          <cell r="W171" t="str">
            <v>P</v>
          </cell>
          <cell r="Y171" t="str">
            <v>A</v>
          </cell>
          <cell r="AA171" t="str">
            <v>A</v>
          </cell>
          <cell r="AC171" t="str">
            <v>P</v>
          </cell>
          <cell r="AE171" t="str">
            <v>A</v>
          </cell>
          <cell r="AG171" t="str">
            <v>P</v>
          </cell>
          <cell r="AI171" t="str">
            <v>P</v>
          </cell>
          <cell r="AK171" t="str">
            <v>O</v>
          </cell>
          <cell r="AM171" t="str">
            <v>A</v>
          </cell>
          <cell r="AO171" t="str">
            <v>A</v>
          </cell>
          <cell r="AQ171" t="str">
            <v>A</v>
          </cell>
          <cell r="AS171" t="str">
            <v>o</v>
          </cell>
        </row>
        <row r="172">
          <cell r="D172">
            <v>842175512979</v>
          </cell>
          <cell r="E172" t="str">
            <v>Ashok Kumar</v>
          </cell>
          <cell r="F172" t="str">
            <v>Tacker Welder</v>
          </cell>
          <cell r="G172" t="str">
            <v>PI MPP -12 H PLANT</v>
          </cell>
          <cell r="H172">
            <v>10002</v>
          </cell>
          <cell r="I172" t="str">
            <v>P</v>
          </cell>
          <cell r="K172" t="str">
            <v>P</v>
          </cell>
          <cell r="M172" t="str">
            <v>P</v>
          </cell>
          <cell r="N172">
            <v>11</v>
          </cell>
          <cell r="O172" t="str">
            <v>P</v>
          </cell>
          <cell r="Q172" t="str">
            <v>P</v>
          </cell>
          <cell r="S172" t="str">
            <v>P</v>
          </cell>
          <cell r="U172" t="str">
            <v>P</v>
          </cell>
          <cell r="W172" t="str">
            <v>P</v>
          </cell>
          <cell r="Y172" t="str">
            <v>P</v>
          </cell>
          <cell r="Z172">
            <v>11</v>
          </cell>
          <cell r="AA172" t="str">
            <v>P</v>
          </cell>
          <cell r="AC172" t="str">
            <v>P</v>
          </cell>
          <cell r="AE172" t="str">
            <v>P</v>
          </cell>
          <cell r="AG172" t="str">
            <v>P</v>
          </cell>
          <cell r="AI172" t="str">
            <v>P</v>
          </cell>
          <cell r="AK172" t="str">
            <v>O</v>
          </cell>
          <cell r="AM172" t="str">
            <v>P</v>
          </cell>
          <cell r="AO172" t="str">
            <v>P</v>
          </cell>
          <cell r="AQ172" t="str">
            <v>P</v>
          </cell>
          <cell r="AS172" t="str">
            <v>P</v>
          </cell>
        </row>
        <row r="173">
          <cell r="D173">
            <v>793272538652</v>
          </cell>
          <cell r="E173" t="str">
            <v>Raja Ram</v>
          </cell>
          <cell r="F173" t="str">
            <v>Grinder</v>
          </cell>
          <cell r="G173" t="str">
            <v>LINDE NETHA.BLUSE H2</v>
          </cell>
          <cell r="H173">
            <v>10009</v>
          </cell>
          <cell r="I173" t="str">
            <v>P</v>
          </cell>
          <cell r="K173" t="str">
            <v>P</v>
          </cell>
          <cell r="L173">
            <v>11</v>
          </cell>
          <cell r="M173" t="str">
            <v>P</v>
          </cell>
          <cell r="N173">
            <v>11</v>
          </cell>
          <cell r="O173" t="str">
            <v>P</v>
          </cell>
          <cell r="P173">
            <v>11</v>
          </cell>
          <cell r="Q173" t="str">
            <v>P</v>
          </cell>
          <cell r="R173">
            <v>11</v>
          </cell>
          <cell r="S173" t="str">
            <v>P</v>
          </cell>
          <cell r="T173">
            <v>11</v>
          </cell>
          <cell r="U173" t="str">
            <v>P</v>
          </cell>
          <cell r="V173">
            <v>11</v>
          </cell>
          <cell r="W173" t="str">
            <v>P</v>
          </cell>
          <cell r="X173">
            <v>11</v>
          </cell>
          <cell r="Y173" t="str">
            <v>P</v>
          </cell>
          <cell r="Z173">
            <v>11</v>
          </cell>
          <cell r="AA173" t="str">
            <v>P</v>
          </cell>
          <cell r="AB173">
            <v>11</v>
          </cell>
          <cell r="AC173" t="str">
            <v>P</v>
          </cell>
          <cell r="AE173" t="str">
            <v>P</v>
          </cell>
          <cell r="AG173" t="str">
            <v>P</v>
          </cell>
          <cell r="AH173">
            <v>11</v>
          </cell>
          <cell r="AI173" t="str">
            <v>P</v>
          </cell>
          <cell r="AK173" t="str">
            <v>O</v>
          </cell>
          <cell r="AM173" t="str">
            <v>P</v>
          </cell>
          <cell r="AN173">
            <v>11</v>
          </cell>
          <cell r="AO173" t="str">
            <v>P</v>
          </cell>
          <cell r="AP173">
            <v>11</v>
          </cell>
          <cell r="AQ173" t="str">
            <v>P</v>
          </cell>
          <cell r="AR173">
            <v>11</v>
          </cell>
          <cell r="AS173" t="str">
            <v>P</v>
          </cell>
          <cell r="AT173">
            <v>11</v>
          </cell>
        </row>
        <row r="174">
          <cell r="D174">
            <v>888427054224</v>
          </cell>
          <cell r="E174" t="str">
            <v>Sadam Husain</v>
          </cell>
          <cell r="F174" t="str">
            <v>Rigger</v>
          </cell>
          <cell r="G174" t="str">
            <v>PI MPP -12 H PLANT</v>
          </cell>
          <cell r="H174">
            <v>10002</v>
          </cell>
          <cell r="I174" t="str">
            <v>P</v>
          </cell>
          <cell r="K174" t="str">
            <v>P</v>
          </cell>
          <cell r="M174" t="str">
            <v>P</v>
          </cell>
          <cell r="O174" t="str">
            <v>P</v>
          </cell>
          <cell r="Q174" t="str">
            <v>A</v>
          </cell>
          <cell r="S174" t="str">
            <v>P</v>
          </cell>
          <cell r="T174">
            <v>11</v>
          </cell>
          <cell r="U174" t="str">
            <v>P</v>
          </cell>
          <cell r="W174" t="str">
            <v>P</v>
          </cell>
          <cell r="Y174" t="str">
            <v>P</v>
          </cell>
          <cell r="AA174" t="str">
            <v>A</v>
          </cell>
          <cell r="AC174" t="str">
            <v>P</v>
          </cell>
          <cell r="AE174" t="str">
            <v>P</v>
          </cell>
          <cell r="AG174" t="str">
            <v>P</v>
          </cell>
          <cell r="AI174" t="str">
            <v>A</v>
          </cell>
          <cell r="AK174" t="str">
            <v>O</v>
          </cell>
          <cell r="AM174" t="str">
            <v>A</v>
          </cell>
          <cell r="AO174" t="str">
            <v>A</v>
          </cell>
          <cell r="AQ174" t="str">
            <v>A</v>
          </cell>
          <cell r="AS174" t="str">
            <v>A</v>
          </cell>
        </row>
        <row r="175">
          <cell r="D175">
            <v>253249483705</v>
          </cell>
          <cell r="E175" t="str">
            <v>Ajeet Baleshwar Ram</v>
          </cell>
          <cell r="F175" t="str">
            <v>S.T.Fabricator</v>
          </cell>
          <cell r="G175" t="str">
            <v>PI MPP -12 H PLANT</v>
          </cell>
          <cell r="H175">
            <v>10002</v>
          </cell>
          <cell r="I175" t="str">
            <v>P</v>
          </cell>
          <cell r="K175" t="str">
            <v>P</v>
          </cell>
          <cell r="L175">
            <v>11</v>
          </cell>
          <cell r="M175" t="str">
            <v>P</v>
          </cell>
          <cell r="O175" t="str">
            <v>P</v>
          </cell>
          <cell r="P175">
            <v>11</v>
          </cell>
          <cell r="Q175" t="str">
            <v>P</v>
          </cell>
          <cell r="R175">
            <v>11</v>
          </cell>
          <cell r="S175" t="str">
            <v>P</v>
          </cell>
          <cell r="U175" t="str">
            <v>P</v>
          </cell>
          <cell r="W175" t="str">
            <v>P</v>
          </cell>
          <cell r="Y175" t="str">
            <v>P</v>
          </cell>
          <cell r="AA175" t="str">
            <v>P</v>
          </cell>
          <cell r="AC175" t="str">
            <v>P</v>
          </cell>
          <cell r="AE175" t="str">
            <v>P</v>
          </cell>
          <cell r="AG175" t="str">
            <v>P</v>
          </cell>
          <cell r="AI175" t="str">
            <v>P</v>
          </cell>
          <cell r="AK175" t="str">
            <v>O</v>
          </cell>
          <cell r="AM175" t="str">
            <v>A</v>
          </cell>
          <cell r="AO175" t="str">
            <v>P</v>
          </cell>
          <cell r="AQ175" t="str">
            <v>P</v>
          </cell>
          <cell r="AS175" t="str">
            <v>P</v>
          </cell>
        </row>
        <row r="176">
          <cell r="D176">
            <v>944375501846</v>
          </cell>
          <cell r="E176" t="str">
            <v>Sonu Kumar</v>
          </cell>
          <cell r="F176" t="str">
            <v>Rigger</v>
          </cell>
          <cell r="G176" t="str">
            <v>PI MPP -12 H PLANT</v>
          </cell>
          <cell r="H176">
            <v>10002</v>
          </cell>
          <cell r="I176" t="str">
            <v>O</v>
          </cell>
          <cell r="K176" t="str">
            <v>P</v>
          </cell>
          <cell r="M176" t="str">
            <v>P</v>
          </cell>
          <cell r="O176" t="str">
            <v>A</v>
          </cell>
          <cell r="Q176" t="str">
            <v>P</v>
          </cell>
          <cell r="S176" t="str">
            <v>P</v>
          </cell>
          <cell r="T176">
            <v>11</v>
          </cell>
          <cell r="U176" t="str">
            <v>P</v>
          </cell>
          <cell r="W176" t="str">
            <v>P</v>
          </cell>
          <cell r="Y176" t="str">
            <v>A</v>
          </cell>
          <cell r="AA176" t="str">
            <v>P</v>
          </cell>
          <cell r="AC176" t="str">
            <v>A</v>
          </cell>
          <cell r="AE176" t="str">
            <v>A</v>
          </cell>
          <cell r="AG176" t="str">
            <v>P</v>
          </cell>
          <cell r="AH176">
            <v>11</v>
          </cell>
          <cell r="AI176" t="str">
            <v>P</v>
          </cell>
          <cell r="AK176" t="str">
            <v>O</v>
          </cell>
          <cell r="AM176" t="str">
            <v>P</v>
          </cell>
          <cell r="AO176" t="str">
            <v>P</v>
          </cell>
          <cell r="AQ176" t="str">
            <v>A</v>
          </cell>
          <cell r="AS176" t="str">
            <v>P</v>
          </cell>
          <cell r="AT176">
            <v>11</v>
          </cell>
        </row>
        <row r="177">
          <cell r="D177">
            <v>990392238180</v>
          </cell>
          <cell r="E177" t="str">
            <v>Narayan Vishwakarma</v>
          </cell>
          <cell r="F177" t="str">
            <v>Gas Cutter</v>
          </cell>
          <cell r="G177" t="str">
            <v>PI MPP -12 H PLANT</v>
          </cell>
          <cell r="H177">
            <v>10002</v>
          </cell>
          <cell r="I177" t="str">
            <v>P</v>
          </cell>
          <cell r="K177" t="str">
            <v>P</v>
          </cell>
          <cell r="L177">
            <v>11</v>
          </cell>
          <cell r="M177" t="str">
            <v>P</v>
          </cell>
          <cell r="N177">
            <v>11</v>
          </cell>
          <cell r="O177" t="str">
            <v>P</v>
          </cell>
          <cell r="P177">
            <v>11</v>
          </cell>
          <cell r="Q177" t="str">
            <v>P</v>
          </cell>
          <cell r="S177" t="str">
            <v>P</v>
          </cell>
          <cell r="T177">
            <v>11</v>
          </cell>
          <cell r="U177" t="str">
            <v>P</v>
          </cell>
          <cell r="W177" t="str">
            <v>P</v>
          </cell>
          <cell r="Y177" t="str">
            <v>P</v>
          </cell>
          <cell r="AA177" t="str">
            <v>P</v>
          </cell>
          <cell r="AC177" t="str">
            <v>A</v>
          </cell>
          <cell r="AE177" t="str">
            <v>P</v>
          </cell>
          <cell r="AG177" t="str">
            <v>P</v>
          </cell>
          <cell r="AH177">
            <v>11</v>
          </cell>
          <cell r="AI177" t="str">
            <v>P</v>
          </cell>
          <cell r="AK177" t="str">
            <v>O</v>
          </cell>
          <cell r="AM177" t="str">
            <v>P</v>
          </cell>
          <cell r="AO177" t="str">
            <v>P</v>
          </cell>
          <cell r="AQ177" t="str">
            <v>P</v>
          </cell>
          <cell r="AR177">
            <v>11</v>
          </cell>
          <cell r="AS177" t="str">
            <v>P</v>
          </cell>
          <cell r="AT177">
            <v>11</v>
          </cell>
        </row>
        <row r="178">
          <cell r="D178">
            <v>995863854914</v>
          </cell>
          <cell r="E178" t="str">
            <v>Ritesh Kumar Pandey</v>
          </cell>
          <cell r="F178" t="str">
            <v>Structure Fitter</v>
          </cell>
          <cell r="G178" t="str">
            <v>LINDE NETHA.BLUSE H2</v>
          </cell>
          <cell r="H178">
            <v>10009</v>
          </cell>
          <cell r="I178" t="str">
            <v>P</v>
          </cell>
          <cell r="K178" t="str">
            <v>P</v>
          </cell>
          <cell r="M178" t="str">
            <v>A</v>
          </cell>
          <cell r="O178" t="str">
            <v>P</v>
          </cell>
          <cell r="Q178" t="str">
            <v>P</v>
          </cell>
          <cell r="S178" t="str">
            <v>P</v>
          </cell>
          <cell r="T178">
            <v>11</v>
          </cell>
          <cell r="U178" t="str">
            <v>A</v>
          </cell>
          <cell r="W178" t="str">
            <v>O</v>
          </cell>
          <cell r="Y178" t="str">
            <v>P</v>
          </cell>
          <cell r="AA178" t="str">
            <v>P</v>
          </cell>
          <cell r="AC178" t="str">
            <v>P</v>
          </cell>
          <cell r="AE178" t="str">
            <v>A</v>
          </cell>
          <cell r="AG178" t="str">
            <v>P</v>
          </cell>
          <cell r="AI178" t="str">
            <v>P</v>
          </cell>
          <cell r="AK178" t="str">
            <v>O</v>
          </cell>
          <cell r="AM178" t="str">
            <v>P</v>
          </cell>
          <cell r="AO178" t="str">
            <v>P</v>
          </cell>
          <cell r="AQ178" t="str">
            <v>P</v>
          </cell>
          <cell r="AS178" t="str">
            <v>A</v>
          </cell>
        </row>
        <row r="179">
          <cell r="D179">
            <v>716690538750</v>
          </cell>
          <cell r="E179" t="str">
            <v>Gopal Sahu</v>
          </cell>
          <cell r="F179" t="str">
            <v>Grinder</v>
          </cell>
          <cell r="G179" t="str">
            <v>LINDE NETHA.BLUSE H2</v>
          </cell>
          <cell r="H179">
            <v>10009</v>
          </cell>
          <cell r="K179" t="str">
            <v>P</v>
          </cell>
          <cell r="L179">
            <v>11</v>
          </cell>
          <cell r="M179" t="str">
            <v>P</v>
          </cell>
          <cell r="N179">
            <v>11</v>
          </cell>
          <cell r="O179" t="str">
            <v>P</v>
          </cell>
          <cell r="Q179" t="str">
            <v>P</v>
          </cell>
          <cell r="S179" t="str">
            <v>P</v>
          </cell>
          <cell r="U179" t="str">
            <v>P</v>
          </cell>
          <cell r="W179" t="str">
            <v>P</v>
          </cell>
          <cell r="X179">
            <v>11</v>
          </cell>
          <cell r="Y179" t="str">
            <v>P</v>
          </cell>
          <cell r="Z179">
            <v>11</v>
          </cell>
          <cell r="AA179" t="str">
            <v>P</v>
          </cell>
          <cell r="AC179" t="str">
            <v>P</v>
          </cell>
          <cell r="AE179" t="str">
            <v>P</v>
          </cell>
          <cell r="AG179" t="str">
            <v>P</v>
          </cell>
          <cell r="AH179">
            <v>11</v>
          </cell>
          <cell r="AI179" t="str">
            <v>P</v>
          </cell>
          <cell r="AK179" t="str">
            <v>O</v>
          </cell>
          <cell r="AM179" t="str">
            <v>P</v>
          </cell>
          <cell r="AN179">
            <v>11</v>
          </cell>
          <cell r="AO179" t="str">
            <v>P</v>
          </cell>
          <cell r="AP179">
            <v>11</v>
          </cell>
          <cell r="AQ179" t="str">
            <v>P</v>
          </cell>
          <cell r="AR179">
            <v>11</v>
          </cell>
          <cell r="AS179" t="str">
            <v>P</v>
          </cell>
          <cell r="AT179">
            <v>11</v>
          </cell>
        </row>
        <row r="180">
          <cell r="D180">
            <v>628926949131</v>
          </cell>
          <cell r="E180" t="str">
            <v>Hinchapathi</v>
          </cell>
          <cell r="F180" t="str">
            <v>Grinder</v>
          </cell>
          <cell r="G180" t="str">
            <v>LINDE NETHA.BLUSE H2</v>
          </cell>
          <cell r="H180">
            <v>10009</v>
          </cell>
          <cell r="K180" t="str">
            <v>P</v>
          </cell>
          <cell r="M180" t="str">
            <v>P</v>
          </cell>
          <cell r="N180">
            <v>11</v>
          </cell>
          <cell r="O180" t="str">
            <v>P</v>
          </cell>
          <cell r="Q180" t="str">
            <v>P</v>
          </cell>
          <cell r="S180" t="str">
            <v>P</v>
          </cell>
          <cell r="T180">
            <v>11</v>
          </cell>
          <cell r="U180" t="str">
            <v>P</v>
          </cell>
          <cell r="W180" t="str">
            <v>P</v>
          </cell>
          <cell r="X180">
            <v>11</v>
          </cell>
          <cell r="Y180" t="str">
            <v>P</v>
          </cell>
          <cell r="Z180">
            <v>11</v>
          </cell>
          <cell r="AA180" t="str">
            <v>P</v>
          </cell>
          <cell r="AC180" t="str">
            <v>P</v>
          </cell>
          <cell r="AE180" t="str">
            <v>P</v>
          </cell>
          <cell r="AG180" t="str">
            <v>P</v>
          </cell>
          <cell r="AH180">
            <v>11</v>
          </cell>
          <cell r="AI180" t="str">
            <v>P</v>
          </cell>
          <cell r="AK180" t="str">
            <v>O</v>
          </cell>
          <cell r="AM180" t="str">
            <v>P</v>
          </cell>
          <cell r="AN180">
            <v>11</v>
          </cell>
          <cell r="AO180" t="str">
            <v>P</v>
          </cell>
          <cell r="AP180">
            <v>11</v>
          </cell>
          <cell r="AQ180" t="str">
            <v>P</v>
          </cell>
          <cell r="AR180">
            <v>11</v>
          </cell>
          <cell r="AS180" t="str">
            <v>P</v>
          </cell>
          <cell r="AT180">
            <v>11</v>
          </cell>
        </row>
        <row r="181">
          <cell r="D181">
            <v>368834887715</v>
          </cell>
          <cell r="E181" t="str">
            <v>Vikram Singh</v>
          </cell>
          <cell r="F181" t="str">
            <v>Rigger</v>
          </cell>
          <cell r="G181" t="str">
            <v>LINDE NETHA.BLUSE H2</v>
          </cell>
          <cell r="H181">
            <v>10009</v>
          </cell>
          <cell r="K181" t="str">
            <v>P</v>
          </cell>
          <cell r="M181" t="str">
            <v>P</v>
          </cell>
          <cell r="N181">
            <v>11</v>
          </cell>
          <cell r="O181" t="str">
            <v>P</v>
          </cell>
          <cell r="P181">
            <v>11</v>
          </cell>
          <cell r="Q181" t="str">
            <v>P</v>
          </cell>
          <cell r="R181">
            <v>11</v>
          </cell>
          <cell r="S181" t="str">
            <v>P</v>
          </cell>
          <cell r="T181">
            <v>11</v>
          </cell>
          <cell r="U181" t="str">
            <v>P</v>
          </cell>
          <cell r="W181" t="str">
            <v>P</v>
          </cell>
          <cell r="Y181" t="str">
            <v>P</v>
          </cell>
          <cell r="AA181" t="str">
            <v>P</v>
          </cell>
          <cell r="AB181">
            <v>11</v>
          </cell>
          <cell r="AC181" t="str">
            <v>P</v>
          </cell>
          <cell r="AD181">
            <v>11</v>
          </cell>
          <cell r="AE181" t="str">
            <v>P</v>
          </cell>
          <cell r="AG181" t="str">
            <v>P</v>
          </cell>
          <cell r="AI181" t="str">
            <v>P</v>
          </cell>
          <cell r="AK181" t="str">
            <v>O</v>
          </cell>
          <cell r="AM181" t="str">
            <v>P</v>
          </cell>
          <cell r="AO181" t="str">
            <v>P</v>
          </cell>
          <cell r="AQ181" t="str">
            <v>P</v>
          </cell>
          <cell r="AR181">
            <v>11</v>
          </cell>
          <cell r="AS181" t="str">
            <v>P</v>
          </cell>
        </row>
        <row r="182">
          <cell r="D182">
            <v>999843151894</v>
          </cell>
          <cell r="E182" t="str">
            <v>Mangan Sahu</v>
          </cell>
          <cell r="F182" t="str">
            <v>Grinder</v>
          </cell>
          <cell r="G182" t="str">
            <v>LINDE NETHA.BLUSE H2</v>
          </cell>
          <cell r="H182">
            <v>10009</v>
          </cell>
          <cell r="K182" t="str">
            <v>P</v>
          </cell>
          <cell r="L182">
            <v>11</v>
          </cell>
          <cell r="M182" t="str">
            <v>P</v>
          </cell>
          <cell r="O182" t="str">
            <v>P</v>
          </cell>
          <cell r="Q182" t="str">
            <v>P</v>
          </cell>
          <cell r="R182">
            <v>11</v>
          </cell>
          <cell r="S182" t="str">
            <v>P</v>
          </cell>
          <cell r="U182" t="str">
            <v>P</v>
          </cell>
          <cell r="W182" t="str">
            <v>P</v>
          </cell>
          <cell r="Y182" t="str">
            <v>P</v>
          </cell>
          <cell r="Z182">
            <v>11</v>
          </cell>
          <cell r="AA182" t="str">
            <v>P</v>
          </cell>
          <cell r="AB182">
            <v>11</v>
          </cell>
          <cell r="AC182" t="str">
            <v>P</v>
          </cell>
          <cell r="AD182">
            <v>11</v>
          </cell>
          <cell r="AE182" t="str">
            <v>P</v>
          </cell>
          <cell r="AG182" t="str">
            <v>P</v>
          </cell>
          <cell r="AH182">
            <v>11</v>
          </cell>
          <cell r="AI182" t="str">
            <v>P</v>
          </cell>
          <cell r="AK182" t="str">
            <v>O</v>
          </cell>
          <cell r="AM182" t="str">
            <v>A</v>
          </cell>
          <cell r="AQ182">
            <v>0</v>
          </cell>
          <cell r="AS182" t="str">
            <v>o</v>
          </cell>
        </row>
        <row r="183">
          <cell r="D183">
            <v>716123607759</v>
          </cell>
          <cell r="E183" t="str">
            <v>Mahavir Sah</v>
          </cell>
          <cell r="F183" t="str">
            <v>Helper</v>
          </cell>
          <cell r="G183" t="str">
            <v>LINDE NETHA.BLUSE H2</v>
          </cell>
          <cell r="H183">
            <v>10009</v>
          </cell>
          <cell r="K183" t="str">
            <v>P</v>
          </cell>
          <cell r="M183" t="str">
            <v>P</v>
          </cell>
          <cell r="O183" t="str">
            <v>P</v>
          </cell>
          <cell r="Q183" t="str">
            <v>P</v>
          </cell>
          <cell r="S183" t="str">
            <v>P</v>
          </cell>
          <cell r="U183" t="str">
            <v>P</v>
          </cell>
          <cell r="W183" t="str">
            <v>P</v>
          </cell>
          <cell r="Y183" t="str">
            <v>P</v>
          </cell>
          <cell r="Z183">
            <v>11</v>
          </cell>
          <cell r="AA183" t="str">
            <v>P</v>
          </cell>
          <cell r="AC183" t="str">
            <v>P</v>
          </cell>
          <cell r="AE183" t="str">
            <v>A</v>
          </cell>
          <cell r="AG183" t="str">
            <v>P</v>
          </cell>
          <cell r="AI183" t="str">
            <v>P</v>
          </cell>
          <cell r="AK183" t="str">
            <v>O</v>
          </cell>
          <cell r="AM183" t="str">
            <v>P</v>
          </cell>
          <cell r="AO183" t="str">
            <v>P</v>
          </cell>
          <cell r="AQ183" t="str">
            <v>P</v>
          </cell>
          <cell r="AR183">
            <v>11</v>
          </cell>
          <cell r="AS183" t="str">
            <v>P</v>
          </cell>
          <cell r="AT183">
            <v>11</v>
          </cell>
        </row>
        <row r="184">
          <cell r="D184">
            <v>549223460112</v>
          </cell>
          <cell r="E184" t="str">
            <v>Raju Singh</v>
          </cell>
          <cell r="F184" t="str">
            <v>Helper</v>
          </cell>
          <cell r="G184" t="str">
            <v>LINDE NETHA.BLUSE H2</v>
          </cell>
          <cell r="H184">
            <v>10009</v>
          </cell>
          <cell r="K184" t="str">
            <v>P</v>
          </cell>
          <cell r="M184" t="str">
            <v>P</v>
          </cell>
          <cell r="O184" t="str">
            <v>P</v>
          </cell>
          <cell r="Q184" t="str">
            <v>P</v>
          </cell>
          <cell r="S184" t="str">
            <v>P</v>
          </cell>
          <cell r="U184" t="str">
            <v>P</v>
          </cell>
          <cell r="W184" t="str">
            <v>P</v>
          </cell>
          <cell r="Y184" t="str">
            <v>P</v>
          </cell>
          <cell r="AA184" t="str">
            <v>P</v>
          </cell>
          <cell r="AC184" t="str">
            <v>A</v>
          </cell>
          <cell r="AE184" t="str">
            <v>P</v>
          </cell>
          <cell r="AG184" t="str">
            <v>P</v>
          </cell>
          <cell r="AI184" t="str">
            <v>P</v>
          </cell>
          <cell r="AK184" t="str">
            <v>O</v>
          </cell>
          <cell r="AM184" t="str">
            <v>P</v>
          </cell>
          <cell r="AO184" t="str">
            <v>P</v>
          </cell>
          <cell r="AQ184" t="str">
            <v>P</v>
          </cell>
          <cell r="AR184">
            <v>11</v>
          </cell>
          <cell r="AS184" t="str">
            <v>P</v>
          </cell>
          <cell r="AT184">
            <v>11</v>
          </cell>
        </row>
        <row r="185">
          <cell r="D185">
            <v>968843267083</v>
          </cell>
          <cell r="E185" t="str">
            <v>Asarfi Kumar</v>
          </cell>
          <cell r="F185" t="str">
            <v>Structure Fitter</v>
          </cell>
          <cell r="G185" t="str">
            <v>LINDE NETHA.BLUSE H2</v>
          </cell>
          <cell r="H185">
            <v>10009</v>
          </cell>
          <cell r="K185" t="str">
            <v>P</v>
          </cell>
          <cell r="M185" t="str">
            <v>P</v>
          </cell>
          <cell r="O185" t="str">
            <v>P</v>
          </cell>
          <cell r="Q185" t="str">
            <v>P</v>
          </cell>
          <cell r="S185" t="str">
            <v>A</v>
          </cell>
          <cell r="U185" t="str">
            <v>A</v>
          </cell>
          <cell r="W185" t="str">
            <v>O</v>
          </cell>
          <cell r="Y185" t="str">
            <v>A</v>
          </cell>
          <cell r="AA185" t="str">
            <v>A</v>
          </cell>
          <cell r="AC185" t="str">
            <v>A</v>
          </cell>
          <cell r="AE185" t="str">
            <v>A</v>
          </cell>
          <cell r="AG185" t="str">
            <v>A</v>
          </cell>
          <cell r="AI185" t="str">
            <v>A</v>
          </cell>
          <cell r="AK185" t="str">
            <v>O</v>
          </cell>
          <cell r="AM185" t="str">
            <v>A</v>
          </cell>
          <cell r="AO185" t="str">
            <v>A</v>
          </cell>
          <cell r="AQ185" t="str">
            <v>A</v>
          </cell>
          <cell r="AS185" t="str">
            <v>A</v>
          </cell>
        </row>
        <row r="186">
          <cell r="D186">
            <v>295757459475</v>
          </cell>
          <cell r="E186" t="str">
            <v>Sandeep Kumar Bharti</v>
          </cell>
          <cell r="F186" t="str">
            <v>Driller</v>
          </cell>
          <cell r="G186" t="str">
            <v>LINDE NETHA.BLUSE H2</v>
          </cell>
          <cell r="H186">
            <v>10009</v>
          </cell>
          <cell r="K186" t="str">
            <v>P</v>
          </cell>
          <cell r="M186" t="str">
            <v>P</v>
          </cell>
          <cell r="O186" t="str">
            <v>P</v>
          </cell>
          <cell r="P186">
            <v>11</v>
          </cell>
          <cell r="Q186" t="str">
            <v>P</v>
          </cell>
          <cell r="S186" t="str">
            <v>P</v>
          </cell>
          <cell r="T186">
            <v>11</v>
          </cell>
          <cell r="U186" t="str">
            <v>P</v>
          </cell>
          <cell r="V186">
            <v>11</v>
          </cell>
          <cell r="W186" t="str">
            <v>P</v>
          </cell>
          <cell r="Y186" t="str">
            <v>P</v>
          </cell>
          <cell r="AA186" t="str">
            <v>P</v>
          </cell>
          <cell r="AC186" t="str">
            <v>P</v>
          </cell>
          <cell r="AD186">
            <v>11</v>
          </cell>
          <cell r="AE186" t="str">
            <v>P</v>
          </cell>
          <cell r="AG186" t="str">
            <v>P</v>
          </cell>
          <cell r="AI186" t="str">
            <v>P</v>
          </cell>
          <cell r="AK186" t="str">
            <v>O</v>
          </cell>
          <cell r="AM186" t="str">
            <v>P</v>
          </cell>
          <cell r="AO186" t="str">
            <v>P</v>
          </cell>
          <cell r="AQ186" t="str">
            <v>P</v>
          </cell>
          <cell r="AS186" t="str">
            <v>P</v>
          </cell>
          <cell r="AT186">
            <v>11</v>
          </cell>
        </row>
        <row r="187">
          <cell r="D187">
            <v>937496959565</v>
          </cell>
          <cell r="E187" t="str">
            <v>Ram Dular</v>
          </cell>
          <cell r="F187" t="str">
            <v>Rigger</v>
          </cell>
          <cell r="G187" t="str">
            <v>EPCM  NAVIN</v>
          </cell>
          <cell r="H187">
            <v>10003</v>
          </cell>
          <cell r="M187" t="str">
            <v>P</v>
          </cell>
          <cell r="O187" t="str">
            <v>P</v>
          </cell>
          <cell r="Q187" t="str">
            <v>P</v>
          </cell>
          <cell r="S187" t="str">
            <v>P</v>
          </cell>
          <cell r="U187" t="str">
            <v>P</v>
          </cell>
          <cell r="W187" t="str">
            <v>P</v>
          </cell>
          <cell r="Y187" t="str">
            <v>P</v>
          </cell>
          <cell r="AA187" t="str">
            <v>P</v>
          </cell>
          <cell r="AC187" t="str">
            <v>P</v>
          </cell>
          <cell r="AE187" t="str">
            <v>P</v>
          </cell>
          <cell r="AG187" t="str">
            <v>P</v>
          </cell>
          <cell r="AI187" t="str">
            <v>P</v>
          </cell>
          <cell r="AK187" t="str">
            <v>O</v>
          </cell>
          <cell r="AM187" t="str">
            <v>P</v>
          </cell>
          <cell r="AO187" t="str">
            <v>P</v>
          </cell>
          <cell r="AQ187" t="str">
            <v>P</v>
          </cell>
          <cell r="AS187" t="str">
            <v>P</v>
          </cell>
          <cell r="AT187">
            <v>11</v>
          </cell>
        </row>
        <row r="188">
          <cell r="D188">
            <v>321611757770</v>
          </cell>
          <cell r="E188" t="str">
            <v>Saroop Singh</v>
          </cell>
          <cell r="F188" t="str">
            <v>Rigger</v>
          </cell>
          <cell r="G188" t="str">
            <v>TATA LINE KILN</v>
          </cell>
          <cell r="H188">
            <v>10008</v>
          </cell>
          <cell r="I188" t="str">
            <v>P</v>
          </cell>
          <cell r="K188" t="str">
            <v>P</v>
          </cell>
          <cell r="M188" t="str">
            <v>P</v>
          </cell>
          <cell r="O188" t="str">
            <v>P</v>
          </cell>
          <cell r="Q188" t="str">
            <v>P</v>
          </cell>
          <cell r="S188" t="str">
            <v>P</v>
          </cell>
          <cell r="U188" t="str">
            <v>HD</v>
          </cell>
          <cell r="W188" t="str">
            <v>P</v>
          </cell>
          <cell r="X188">
            <v>8</v>
          </cell>
          <cell r="Y188" t="str">
            <v>P</v>
          </cell>
          <cell r="AA188" t="str">
            <v>P</v>
          </cell>
          <cell r="AC188" t="str">
            <v>P</v>
          </cell>
          <cell r="AE188" t="str">
            <v>P</v>
          </cell>
          <cell r="AG188" t="str">
            <v>P</v>
          </cell>
          <cell r="AI188" t="str">
            <v>P</v>
          </cell>
          <cell r="AK188" t="str">
            <v>O</v>
          </cell>
          <cell r="AM188" t="str">
            <v>P</v>
          </cell>
          <cell r="AO188" t="str">
            <v>P</v>
          </cell>
          <cell r="AQ188" t="str">
            <v>P</v>
          </cell>
          <cell r="AS188" t="str">
            <v>P</v>
          </cell>
        </row>
        <row r="189">
          <cell r="D189">
            <v>248211083898</v>
          </cell>
          <cell r="E189" t="str">
            <v>Sujit Champatti</v>
          </cell>
          <cell r="F189" t="str">
            <v>Rigger</v>
          </cell>
          <cell r="G189" t="str">
            <v>LINDE NETHA.BLUSE H2</v>
          </cell>
          <cell r="H189">
            <v>10009</v>
          </cell>
          <cell r="I189" t="str">
            <v>A</v>
          </cell>
          <cell r="K189" t="str">
            <v>P</v>
          </cell>
          <cell r="M189" t="str">
            <v>P</v>
          </cell>
          <cell r="O189" t="str">
            <v>A</v>
          </cell>
          <cell r="Q189" t="str">
            <v>P</v>
          </cell>
          <cell r="S189" t="str">
            <v>P</v>
          </cell>
          <cell r="U189" t="str">
            <v>P</v>
          </cell>
          <cell r="V189">
            <v>11</v>
          </cell>
          <cell r="W189" t="str">
            <v>P</v>
          </cell>
          <cell r="Y189" t="str">
            <v>P</v>
          </cell>
          <cell r="AA189" t="str">
            <v>A</v>
          </cell>
          <cell r="AC189" t="str">
            <v>P</v>
          </cell>
          <cell r="AE189" t="str">
            <v>P</v>
          </cell>
          <cell r="AG189" t="str">
            <v>A</v>
          </cell>
          <cell r="AI189" t="str">
            <v>P</v>
          </cell>
          <cell r="AK189" t="str">
            <v>O</v>
          </cell>
          <cell r="AM189" t="str">
            <v>P</v>
          </cell>
          <cell r="AO189" t="str">
            <v>A</v>
          </cell>
          <cell r="AQ189" t="str">
            <v>P</v>
          </cell>
          <cell r="AR189">
            <v>11</v>
          </cell>
          <cell r="AS189" t="str">
            <v>P</v>
          </cell>
        </row>
        <row r="190">
          <cell r="D190">
            <v>532132833575</v>
          </cell>
          <cell r="E190" t="str">
            <v>Sona Singh</v>
          </cell>
          <cell r="F190" t="str">
            <v>Rigger</v>
          </cell>
          <cell r="G190" t="str">
            <v>LINDE NETHA.BLUSE H2</v>
          </cell>
          <cell r="H190">
            <v>10009</v>
          </cell>
          <cell r="I190" t="str">
            <v>P</v>
          </cell>
          <cell r="K190" t="str">
            <v>P</v>
          </cell>
          <cell r="M190" t="str">
            <v>P</v>
          </cell>
          <cell r="O190" t="str">
            <v>P</v>
          </cell>
          <cell r="Q190" t="str">
            <v>P</v>
          </cell>
          <cell r="S190" t="str">
            <v>P</v>
          </cell>
          <cell r="U190" t="str">
            <v>HD</v>
          </cell>
          <cell r="W190" t="str">
            <v>O</v>
          </cell>
          <cell r="Y190" t="str">
            <v>P</v>
          </cell>
          <cell r="AA190" t="str">
            <v>P</v>
          </cell>
          <cell r="AC190" t="str">
            <v>P</v>
          </cell>
          <cell r="AE190" t="str">
            <v>A</v>
          </cell>
          <cell r="AG190" t="str">
            <v>P</v>
          </cell>
          <cell r="AI190" t="str">
            <v>P</v>
          </cell>
          <cell r="AK190" t="str">
            <v>O</v>
          </cell>
          <cell r="AM190" t="str">
            <v>P</v>
          </cell>
          <cell r="AO190" t="str">
            <v>P</v>
          </cell>
          <cell r="AQ190" t="str">
            <v>P</v>
          </cell>
          <cell r="AS190" t="str">
            <v>P</v>
          </cell>
        </row>
        <row r="191">
          <cell r="D191">
            <v>929713570191</v>
          </cell>
          <cell r="E191" t="str">
            <v>Gurmel Singh</v>
          </cell>
          <cell r="F191" t="str">
            <v>Rigger</v>
          </cell>
          <cell r="G191" t="str">
            <v>LINDE NETHA.BLUSE H2</v>
          </cell>
          <cell r="H191">
            <v>10009</v>
          </cell>
          <cell r="I191" t="str">
            <v>P</v>
          </cell>
          <cell r="K191" t="str">
            <v>P</v>
          </cell>
          <cell r="M191" t="str">
            <v>P</v>
          </cell>
          <cell r="O191" t="str">
            <v>P</v>
          </cell>
          <cell r="Q191" t="str">
            <v>P</v>
          </cell>
          <cell r="S191" t="str">
            <v>HD</v>
          </cell>
          <cell r="U191" t="str">
            <v>P</v>
          </cell>
          <cell r="W191" t="str">
            <v>P</v>
          </cell>
          <cell r="X191">
            <v>8</v>
          </cell>
          <cell r="Y191" t="str">
            <v>P</v>
          </cell>
          <cell r="AA191" t="str">
            <v>P</v>
          </cell>
          <cell r="AC191" t="str">
            <v>P</v>
          </cell>
          <cell r="AE191" t="str">
            <v>P</v>
          </cell>
          <cell r="AG191" t="str">
            <v>P</v>
          </cell>
          <cell r="AI191" t="str">
            <v>P</v>
          </cell>
          <cell r="AK191" t="str">
            <v>O</v>
          </cell>
          <cell r="AM191" t="str">
            <v>P</v>
          </cell>
          <cell r="AO191" t="str">
            <v>P</v>
          </cell>
          <cell r="AQ191" t="str">
            <v>P</v>
          </cell>
          <cell r="AS191" t="str">
            <v>P</v>
          </cell>
        </row>
        <row r="192">
          <cell r="D192">
            <v>612923620822</v>
          </cell>
          <cell r="E192" t="str">
            <v>Chand Kishor Kumar</v>
          </cell>
          <cell r="F192" t="str">
            <v>Rigger</v>
          </cell>
          <cell r="G192" t="str">
            <v>EPCM  NAVIN</v>
          </cell>
          <cell r="H192">
            <v>10003</v>
          </cell>
          <cell r="M192" t="str">
            <v>P</v>
          </cell>
          <cell r="O192" t="str">
            <v>P</v>
          </cell>
          <cell r="Q192" t="str">
            <v>P</v>
          </cell>
          <cell r="S192" t="str">
            <v>P</v>
          </cell>
          <cell r="U192" t="str">
            <v>P</v>
          </cell>
          <cell r="W192" t="str">
            <v>P</v>
          </cell>
          <cell r="Y192" t="str">
            <v>P</v>
          </cell>
          <cell r="AA192" t="str">
            <v>P</v>
          </cell>
          <cell r="AC192" t="str">
            <v>P</v>
          </cell>
          <cell r="AE192" t="str">
            <v>P</v>
          </cell>
          <cell r="AG192" t="str">
            <v>P</v>
          </cell>
          <cell r="AI192" t="str">
            <v>P</v>
          </cell>
          <cell r="AK192" t="str">
            <v>O</v>
          </cell>
          <cell r="AM192" t="str">
            <v>A</v>
          </cell>
          <cell r="AO192" t="str">
            <v>P</v>
          </cell>
          <cell r="AQ192" t="str">
            <v>P</v>
          </cell>
          <cell r="AS192" t="str">
            <v>P</v>
          </cell>
          <cell r="AT192">
            <v>11</v>
          </cell>
        </row>
        <row r="193">
          <cell r="D193">
            <v>433338778793</v>
          </cell>
          <cell r="E193" t="str">
            <v>Deepak Bharti</v>
          </cell>
          <cell r="F193" t="str">
            <v>Rigger</v>
          </cell>
          <cell r="G193" t="str">
            <v>EPCM  NAVIN</v>
          </cell>
          <cell r="H193">
            <v>10003</v>
          </cell>
          <cell r="M193" t="str">
            <v>P</v>
          </cell>
          <cell r="O193" t="str">
            <v>P</v>
          </cell>
          <cell r="Q193" t="str">
            <v>P</v>
          </cell>
          <cell r="S193" t="str">
            <v>P</v>
          </cell>
          <cell r="U193" t="str">
            <v>P</v>
          </cell>
          <cell r="W193" t="str">
            <v>P</v>
          </cell>
          <cell r="Y193" t="str">
            <v>P</v>
          </cell>
          <cell r="AA193" t="str">
            <v>P</v>
          </cell>
          <cell r="AC193" t="str">
            <v>P</v>
          </cell>
          <cell r="AE193" t="str">
            <v>P</v>
          </cell>
          <cell r="AG193" t="str">
            <v>P</v>
          </cell>
          <cell r="AI193" t="str">
            <v>P</v>
          </cell>
          <cell r="AK193" t="str">
            <v>O</v>
          </cell>
          <cell r="AM193" t="str">
            <v>P</v>
          </cell>
          <cell r="AO193" t="str">
            <v>P</v>
          </cell>
          <cell r="AQ193" t="str">
            <v>P</v>
          </cell>
          <cell r="AS193" t="str">
            <v>P</v>
          </cell>
        </row>
        <row r="194">
          <cell r="D194">
            <v>582565162847</v>
          </cell>
          <cell r="E194" t="str">
            <v>Saroj Kumar Chaudhary</v>
          </cell>
          <cell r="F194" t="str">
            <v>Structure Fitter</v>
          </cell>
          <cell r="G194" t="str">
            <v>LINDE NETHA.BLUSE H2</v>
          </cell>
          <cell r="H194">
            <v>10009</v>
          </cell>
          <cell r="M194" t="str">
            <v>P</v>
          </cell>
          <cell r="O194" t="str">
            <v>P</v>
          </cell>
          <cell r="Q194" t="str">
            <v>P</v>
          </cell>
          <cell r="S194" t="str">
            <v>P</v>
          </cell>
          <cell r="T194">
            <v>11</v>
          </cell>
          <cell r="U194" t="str">
            <v>P</v>
          </cell>
          <cell r="V194">
            <v>11</v>
          </cell>
          <cell r="W194" t="str">
            <v>O</v>
          </cell>
          <cell r="Y194" t="str">
            <v>P</v>
          </cell>
          <cell r="AA194" t="str">
            <v>P</v>
          </cell>
          <cell r="AC194" t="str">
            <v>P</v>
          </cell>
          <cell r="AE194" t="str">
            <v>P</v>
          </cell>
          <cell r="AG194" t="str">
            <v>P</v>
          </cell>
          <cell r="AI194" t="str">
            <v>P</v>
          </cell>
          <cell r="AK194" t="str">
            <v>O</v>
          </cell>
          <cell r="AM194" t="str">
            <v>P</v>
          </cell>
          <cell r="AO194" t="str">
            <v>P</v>
          </cell>
          <cell r="AQ194" t="str">
            <v>P</v>
          </cell>
          <cell r="AS194" t="str">
            <v>A</v>
          </cell>
        </row>
        <row r="195">
          <cell r="D195">
            <v>543617124699</v>
          </cell>
          <cell r="E195" t="str">
            <v>Chandan Kumar Sahu</v>
          </cell>
          <cell r="F195" t="str">
            <v>Rigger</v>
          </cell>
          <cell r="G195" t="str">
            <v>PI MPP -12 H PLANT</v>
          </cell>
          <cell r="H195">
            <v>10002</v>
          </cell>
          <cell r="M195" t="str">
            <v>P</v>
          </cell>
          <cell r="N195">
            <v>11</v>
          </cell>
          <cell r="O195" t="str">
            <v>P</v>
          </cell>
          <cell r="Q195" t="str">
            <v>P</v>
          </cell>
          <cell r="S195" t="str">
            <v>P</v>
          </cell>
          <cell r="T195">
            <v>11</v>
          </cell>
          <cell r="U195" t="str">
            <v>P</v>
          </cell>
          <cell r="W195" t="str">
            <v>P</v>
          </cell>
          <cell r="Y195" t="str">
            <v>P</v>
          </cell>
          <cell r="AA195" t="str">
            <v>P</v>
          </cell>
          <cell r="AC195" t="str">
            <v>P</v>
          </cell>
          <cell r="AE195" t="str">
            <v>P</v>
          </cell>
          <cell r="AG195" t="str">
            <v>A</v>
          </cell>
          <cell r="AI195" t="str">
            <v>P</v>
          </cell>
          <cell r="AK195" t="str">
            <v>O</v>
          </cell>
          <cell r="AM195" t="str">
            <v>P</v>
          </cell>
          <cell r="AO195" t="str">
            <v>P</v>
          </cell>
          <cell r="AQ195" t="str">
            <v>P</v>
          </cell>
          <cell r="AS195" t="str">
            <v>P</v>
          </cell>
        </row>
        <row r="196">
          <cell r="D196">
            <v>820309594471</v>
          </cell>
          <cell r="E196" t="str">
            <v>Mrityunjaya Kumar</v>
          </cell>
          <cell r="F196" t="str">
            <v>Tackar Welder</v>
          </cell>
          <cell r="G196" t="str">
            <v>LINDE NETHA.BLUSE H2</v>
          </cell>
          <cell r="H196">
            <v>10009</v>
          </cell>
          <cell r="M196" t="str">
            <v>P</v>
          </cell>
          <cell r="O196" t="str">
            <v>P</v>
          </cell>
          <cell r="Q196" t="str">
            <v>P</v>
          </cell>
          <cell r="R196">
            <v>11</v>
          </cell>
          <cell r="S196" t="str">
            <v>P</v>
          </cell>
          <cell r="U196" t="str">
            <v>P</v>
          </cell>
          <cell r="W196" t="str">
            <v>P</v>
          </cell>
          <cell r="Y196" t="str">
            <v>P</v>
          </cell>
          <cell r="AA196" t="str">
            <v>P</v>
          </cell>
          <cell r="AC196" t="str">
            <v>P</v>
          </cell>
          <cell r="AE196" t="str">
            <v>P</v>
          </cell>
          <cell r="AG196" t="str">
            <v>P</v>
          </cell>
          <cell r="AI196" t="str">
            <v>P</v>
          </cell>
          <cell r="AK196" t="str">
            <v>O</v>
          </cell>
          <cell r="AM196" t="str">
            <v>A</v>
          </cell>
          <cell r="AO196" t="str">
            <v>P</v>
          </cell>
          <cell r="AQ196" t="str">
            <v>P</v>
          </cell>
          <cell r="AS196" t="str">
            <v>P</v>
          </cell>
        </row>
        <row r="197">
          <cell r="D197">
            <v>388631866578</v>
          </cell>
          <cell r="E197" t="str">
            <v>Manoj Chauhan</v>
          </cell>
          <cell r="F197" t="str">
            <v>Structure Fitter</v>
          </cell>
          <cell r="G197" t="str">
            <v>LINDE NETHA.BLUSE H2</v>
          </cell>
          <cell r="H197">
            <v>10009</v>
          </cell>
          <cell r="M197" t="str">
            <v>P</v>
          </cell>
          <cell r="O197" t="str">
            <v>P</v>
          </cell>
          <cell r="Q197" t="str">
            <v>P</v>
          </cell>
          <cell r="S197" t="str">
            <v>P</v>
          </cell>
          <cell r="T197">
            <v>11</v>
          </cell>
          <cell r="U197" t="str">
            <v>P</v>
          </cell>
          <cell r="W197" t="str">
            <v>P</v>
          </cell>
          <cell r="Y197" t="str">
            <v>P</v>
          </cell>
          <cell r="AA197" t="str">
            <v>P</v>
          </cell>
          <cell r="AC197" t="str">
            <v>P</v>
          </cell>
          <cell r="AE197" t="str">
            <v>P</v>
          </cell>
          <cell r="AG197" t="str">
            <v>P</v>
          </cell>
          <cell r="AI197" t="str">
            <v>P</v>
          </cell>
          <cell r="AK197" t="str">
            <v>O</v>
          </cell>
          <cell r="AM197" t="str">
            <v>P</v>
          </cell>
          <cell r="AO197" t="str">
            <v>P</v>
          </cell>
          <cell r="AQ197" t="str">
            <v>P</v>
          </cell>
          <cell r="AS197" t="str">
            <v>P</v>
          </cell>
          <cell r="AT197">
            <v>11</v>
          </cell>
        </row>
        <row r="198">
          <cell r="D198">
            <v>601336090601</v>
          </cell>
          <cell r="E198" t="str">
            <v>Niraj Kumar</v>
          </cell>
          <cell r="F198" t="str">
            <v>Driver</v>
          </cell>
          <cell r="G198" t="str">
            <v>TATA LINE KILN</v>
          </cell>
          <cell r="H198">
            <v>10008</v>
          </cell>
          <cell r="M198" t="str">
            <v>P</v>
          </cell>
          <cell r="O198" t="str">
            <v>P</v>
          </cell>
          <cell r="Q198" t="str">
            <v>P</v>
          </cell>
          <cell r="S198" t="str">
            <v>P</v>
          </cell>
          <cell r="U198" t="str">
            <v>P</v>
          </cell>
          <cell r="W198" t="str">
            <v>P</v>
          </cell>
          <cell r="Y198" t="str">
            <v>P</v>
          </cell>
          <cell r="AA198" t="str">
            <v>P</v>
          </cell>
          <cell r="AC198" t="str">
            <v>P</v>
          </cell>
          <cell r="AE198" t="str">
            <v>P</v>
          </cell>
          <cell r="AG198" t="str">
            <v>P</v>
          </cell>
          <cell r="AI198" t="str">
            <v>P</v>
          </cell>
          <cell r="AK198" t="str">
            <v>O</v>
          </cell>
          <cell r="AM198" t="str">
            <v>P</v>
          </cell>
          <cell r="AO198" t="str">
            <v>P</v>
          </cell>
          <cell r="AQ198" t="str">
            <v>P</v>
          </cell>
          <cell r="AS198" t="str">
            <v>P</v>
          </cell>
        </row>
        <row r="199">
          <cell r="D199">
            <v>281124340817</v>
          </cell>
          <cell r="E199" t="str">
            <v>Purushottam Maiti</v>
          </cell>
          <cell r="F199" t="str">
            <v>Rigger</v>
          </cell>
          <cell r="G199" t="str">
            <v>LINDE NETHA.BLUSE H2</v>
          </cell>
          <cell r="H199">
            <v>10009</v>
          </cell>
          <cell r="O199" t="str">
            <v>P</v>
          </cell>
          <cell r="Q199" t="str">
            <v>P</v>
          </cell>
          <cell r="S199" t="str">
            <v>P</v>
          </cell>
          <cell r="T199">
            <v>11</v>
          </cell>
          <cell r="U199" t="str">
            <v>P</v>
          </cell>
          <cell r="W199" t="str">
            <v>P</v>
          </cell>
          <cell r="Y199" t="str">
            <v>P</v>
          </cell>
          <cell r="AA199" t="str">
            <v>P</v>
          </cell>
          <cell r="AC199" t="str">
            <v>P</v>
          </cell>
          <cell r="AD199">
            <v>11</v>
          </cell>
          <cell r="AE199" t="str">
            <v>P</v>
          </cell>
          <cell r="AG199" t="str">
            <v>P</v>
          </cell>
          <cell r="AI199" t="str">
            <v>P</v>
          </cell>
          <cell r="AK199" t="str">
            <v>O</v>
          </cell>
          <cell r="AM199" t="str">
            <v>P</v>
          </cell>
          <cell r="AO199" t="str">
            <v>P</v>
          </cell>
          <cell r="AQ199" t="str">
            <v>A</v>
          </cell>
          <cell r="AS199" t="str">
            <v>P</v>
          </cell>
        </row>
        <row r="200">
          <cell r="D200">
            <v>267757510373</v>
          </cell>
          <cell r="E200" t="str">
            <v>Swapan Kumar Das</v>
          </cell>
          <cell r="F200" t="str">
            <v>Rigger</v>
          </cell>
          <cell r="G200" t="str">
            <v>LINDE NETHA.BLUSE H2</v>
          </cell>
          <cell r="H200">
            <v>10009</v>
          </cell>
          <cell r="S200" t="str">
            <v>P</v>
          </cell>
          <cell r="T200">
            <v>11</v>
          </cell>
          <cell r="U200" t="str">
            <v>P</v>
          </cell>
          <cell r="W200" t="str">
            <v>P</v>
          </cell>
          <cell r="Y200" t="str">
            <v>P</v>
          </cell>
          <cell r="AA200" t="str">
            <v>P</v>
          </cell>
          <cell r="AC200" t="str">
            <v>P</v>
          </cell>
          <cell r="AE200" t="str">
            <v>P</v>
          </cell>
          <cell r="AG200" t="str">
            <v>P</v>
          </cell>
          <cell r="AI200" t="str">
            <v>P</v>
          </cell>
          <cell r="AK200" t="str">
            <v>O</v>
          </cell>
          <cell r="AM200" t="str">
            <v>P</v>
          </cell>
          <cell r="AO200" t="str">
            <v>P</v>
          </cell>
          <cell r="AQ200" t="str">
            <v>P</v>
          </cell>
          <cell r="AR200">
            <v>11</v>
          </cell>
          <cell r="AS200" t="str">
            <v>P</v>
          </cell>
        </row>
        <row r="201">
          <cell r="D201">
            <v>804198594214</v>
          </cell>
          <cell r="E201" t="str">
            <v>Kuldeep Singh</v>
          </cell>
          <cell r="F201" t="str">
            <v>Hydra Operator</v>
          </cell>
          <cell r="G201" t="str">
            <v>PI MPP -12 H PLANT</v>
          </cell>
          <cell r="H201">
            <v>10002</v>
          </cell>
          <cell r="S201" t="str">
            <v>P</v>
          </cell>
          <cell r="T201">
            <v>11</v>
          </cell>
          <cell r="U201" t="str">
            <v>P</v>
          </cell>
          <cell r="W201" t="str">
            <v>P</v>
          </cell>
          <cell r="Y201" t="str">
            <v>P</v>
          </cell>
          <cell r="AA201" t="str">
            <v>P</v>
          </cell>
          <cell r="AC201" t="str">
            <v>P</v>
          </cell>
          <cell r="AE201" t="str">
            <v>P</v>
          </cell>
          <cell r="AG201" t="str">
            <v>P</v>
          </cell>
          <cell r="AI201" t="str">
            <v>P</v>
          </cell>
          <cell r="AK201" t="str">
            <v>O</v>
          </cell>
          <cell r="AM201" t="str">
            <v>P</v>
          </cell>
          <cell r="AO201" t="str">
            <v>P</v>
          </cell>
          <cell r="AP201">
            <v>11</v>
          </cell>
          <cell r="AQ201" t="str">
            <v>P</v>
          </cell>
          <cell r="AR201">
            <v>11</v>
          </cell>
          <cell r="AS201" t="str">
            <v>P</v>
          </cell>
          <cell r="AT201">
            <v>11</v>
          </cell>
        </row>
        <row r="202">
          <cell r="D202">
            <v>273373481454</v>
          </cell>
          <cell r="E202" t="str">
            <v>Raju Kumar</v>
          </cell>
          <cell r="F202" t="str">
            <v>CO2 Welder</v>
          </cell>
          <cell r="G202" t="str">
            <v>EPCM  NAVIN</v>
          </cell>
          <cell r="H202">
            <v>10003</v>
          </cell>
          <cell r="U202" t="str">
            <v>P</v>
          </cell>
          <cell r="V202">
            <v>11</v>
          </cell>
          <cell r="W202" t="str">
            <v>P</v>
          </cell>
          <cell r="Y202" t="str">
            <v>P</v>
          </cell>
          <cell r="AA202" t="str">
            <v>P</v>
          </cell>
          <cell r="AC202" t="str">
            <v>P</v>
          </cell>
          <cell r="AE202" t="str">
            <v>P</v>
          </cell>
          <cell r="AG202" t="str">
            <v>P</v>
          </cell>
          <cell r="AI202" t="str">
            <v>P</v>
          </cell>
          <cell r="AK202" t="str">
            <v>O</v>
          </cell>
          <cell r="AM202" t="str">
            <v>P</v>
          </cell>
          <cell r="AO202" t="str">
            <v>P</v>
          </cell>
          <cell r="AQ202" t="str">
            <v>P</v>
          </cell>
          <cell r="AS202" t="str">
            <v>P</v>
          </cell>
        </row>
        <row r="203">
          <cell r="D203">
            <v>701765212191</v>
          </cell>
          <cell r="E203" t="str">
            <v>Rohit Kumar</v>
          </cell>
          <cell r="F203" t="str">
            <v>Tackar Welder</v>
          </cell>
          <cell r="G203" t="str">
            <v>LINDE NETHA.BLUSE H2</v>
          </cell>
          <cell r="H203">
            <v>10009</v>
          </cell>
          <cell r="U203" t="str">
            <v>P</v>
          </cell>
          <cell r="W203" t="str">
            <v>P</v>
          </cell>
          <cell r="Y203" t="str">
            <v>P</v>
          </cell>
          <cell r="AA203" t="str">
            <v>P</v>
          </cell>
          <cell r="AC203" t="str">
            <v>P</v>
          </cell>
          <cell r="AE203" t="str">
            <v>P</v>
          </cell>
          <cell r="AG203" t="str">
            <v>P</v>
          </cell>
          <cell r="AI203" t="str">
            <v>P</v>
          </cell>
          <cell r="AK203" t="str">
            <v>O</v>
          </cell>
          <cell r="AM203" t="str">
            <v>P</v>
          </cell>
          <cell r="AO203" t="str">
            <v>P</v>
          </cell>
          <cell r="AQ203" t="str">
            <v>P</v>
          </cell>
          <cell r="AR203">
            <v>11</v>
          </cell>
          <cell r="AS203" t="str">
            <v>P</v>
          </cell>
        </row>
        <row r="204">
          <cell r="D204">
            <v>395296893806</v>
          </cell>
          <cell r="E204" t="str">
            <v>Akash Raj</v>
          </cell>
          <cell r="F204" t="str">
            <v>Tackar Welder</v>
          </cell>
          <cell r="G204" t="str">
            <v>LINDE NETHA.BLUSE H2</v>
          </cell>
          <cell r="H204">
            <v>10009</v>
          </cell>
          <cell r="U204" t="str">
            <v>P</v>
          </cell>
          <cell r="W204" t="str">
            <v>P</v>
          </cell>
          <cell r="X204">
            <v>8</v>
          </cell>
          <cell r="Y204" t="str">
            <v>P</v>
          </cell>
          <cell r="Z204">
            <v>11</v>
          </cell>
          <cell r="AA204" t="str">
            <v>P</v>
          </cell>
          <cell r="AC204" t="str">
            <v>P</v>
          </cell>
          <cell r="AE204" t="str">
            <v>P</v>
          </cell>
          <cell r="AG204" t="str">
            <v>P</v>
          </cell>
          <cell r="AI204" t="str">
            <v>P</v>
          </cell>
          <cell r="AK204" t="str">
            <v>O</v>
          </cell>
          <cell r="AM204" t="str">
            <v>P</v>
          </cell>
          <cell r="AO204" t="str">
            <v>P</v>
          </cell>
          <cell r="AP204">
            <v>11</v>
          </cell>
          <cell r="AQ204" t="str">
            <v>P</v>
          </cell>
          <cell r="AR204">
            <v>11</v>
          </cell>
          <cell r="AS204" t="str">
            <v>P</v>
          </cell>
          <cell r="AT204">
            <v>11</v>
          </cell>
        </row>
        <row r="205">
          <cell r="D205">
            <v>799972396695</v>
          </cell>
          <cell r="E205" t="str">
            <v>Ramji Gond</v>
          </cell>
          <cell r="F205" t="str">
            <v>Rigger</v>
          </cell>
          <cell r="G205" t="str">
            <v>LINDE NETHA.BLUSE H2</v>
          </cell>
          <cell r="H205">
            <v>10009</v>
          </cell>
          <cell r="Y205" t="str">
            <v>P</v>
          </cell>
          <cell r="AA205" t="str">
            <v>A</v>
          </cell>
          <cell r="AC205" t="str">
            <v>P</v>
          </cell>
          <cell r="AE205" t="str">
            <v>P</v>
          </cell>
          <cell r="AG205" t="str">
            <v>P</v>
          </cell>
          <cell r="AI205" t="str">
            <v>P</v>
          </cell>
          <cell r="AK205" t="str">
            <v>O</v>
          </cell>
          <cell r="AM205" t="str">
            <v>P</v>
          </cell>
          <cell r="AO205" t="str">
            <v>A</v>
          </cell>
          <cell r="AQ205" t="str">
            <v>HD</v>
          </cell>
          <cell r="AS205" t="str">
            <v>A</v>
          </cell>
        </row>
        <row r="206">
          <cell r="D206">
            <v>624109590338</v>
          </cell>
          <cell r="E206" t="str">
            <v>Ranjeet Kumar Das</v>
          </cell>
          <cell r="F206" t="str">
            <v>Structure Fitter</v>
          </cell>
          <cell r="G206" t="str">
            <v>EPCM  NAVIN</v>
          </cell>
          <cell r="H206">
            <v>10003</v>
          </cell>
          <cell r="Y206" t="str">
            <v>P</v>
          </cell>
          <cell r="AA206" t="str">
            <v>A</v>
          </cell>
          <cell r="AC206" t="str">
            <v>A</v>
          </cell>
          <cell r="AE206" t="str">
            <v>A</v>
          </cell>
          <cell r="AG206" t="str">
            <v>A</v>
          </cell>
          <cell r="AI206" t="str">
            <v>A</v>
          </cell>
          <cell r="AK206" t="str">
            <v>O</v>
          </cell>
          <cell r="AM206" t="str">
            <v>A</v>
          </cell>
          <cell r="AO206" t="str">
            <v>A</v>
          </cell>
          <cell r="AQ206" t="str">
            <v>A</v>
          </cell>
          <cell r="AS206" t="str">
            <v>A</v>
          </cell>
        </row>
        <row r="207">
          <cell r="D207">
            <v>746465133320</v>
          </cell>
          <cell r="E207" t="str">
            <v>Raju Kumar</v>
          </cell>
          <cell r="F207" t="str">
            <v>Helper</v>
          </cell>
          <cell r="G207" t="str">
            <v>PI MPP -12 H PLANT</v>
          </cell>
          <cell r="H207">
            <v>10002</v>
          </cell>
          <cell r="AA207" t="str">
            <v>P</v>
          </cell>
          <cell r="AC207" t="str">
            <v>P</v>
          </cell>
          <cell r="AE207" t="str">
            <v>P</v>
          </cell>
          <cell r="AG207" t="str">
            <v>P</v>
          </cell>
          <cell r="AI207" t="str">
            <v>P</v>
          </cell>
          <cell r="AK207" t="str">
            <v>O</v>
          </cell>
          <cell r="AM207" t="str">
            <v>P</v>
          </cell>
          <cell r="AO207" t="str">
            <v>P</v>
          </cell>
          <cell r="AQ207" t="str">
            <v>P</v>
          </cell>
          <cell r="AS207" t="str">
            <v>P</v>
          </cell>
        </row>
        <row r="208">
          <cell r="D208">
            <v>987085790096</v>
          </cell>
          <cell r="E208" t="str">
            <v>Deepu Kumar</v>
          </cell>
          <cell r="F208" t="str">
            <v>Grinder</v>
          </cell>
          <cell r="G208" t="str">
            <v>EPCM  NAVIN</v>
          </cell>
          <cell r="H208">
            <v>10003</v>
          </cell>
          <cell r="AA208" t="str">
            <v>P</v>
          </cell>
          <cell r="AC208" t="str">
            <v>P</v>
          </cell>
          <cell r="AE208" t="str">
            <v>P</v>
          </cell>
          <cell r="AG208" t="str">
            <v>A</v>
          </cell>
          <cell r="AI208" t="str">
            <v>P</v>
          </cell>
          <cell r="AK208" t="str">
            <v>O</v>
          </cell>
          <cell r="AM208" t="str">
            <v>P</v>
          </cell>
          <cell r="AN208">
            <v>11</v>
          </cell>
          <cell r="AO208" t="str">
            <v>P</v>
          </cell>
          <cell r="AQ208" t="str">
            <v>P</v>
          </cell>
          <cell r="AS208" t="str">
            <v>A</v>
          </cell>
        </row>
        <row r="209">
          <cell r="D209">
            <v>872737410435</v>
          </cell>
          <cell r="E209" t="str">
            <v>Imran Ansari</v>
          </cell>
          <cell r="F209" t="str">
            <v>Helper</v>
          </cell>
          <cell r="G209" t="str">
            <v>EPCM  NAVIN</v>
          </cell>
          <cell r="H209">
            <v>10003</v>
          </cell>
          <cell r="AA209" t="str">
            <v>P</v>
          </cell>
          <cell r="AC209" t="str">
            <v>P</v>
          </cell>
          <cell r="AE209" t="str">
            <v>P</v>
          </cell>
          <cell r="AG209" t="str">
            <v>P</v>
          </cell>
          <cell r="AI209" t="str">
            <v>P</v>
          </cell>
          <cell r="AK209" t="str">
            <v>O</v>
          </cell>
          <cell r="AM209" t="str">
            <v>P</v>
          </cell>
          <cell r="AO209" t="str">
            <v>P</v>
          </cell>
          <cell r="AQ209" t="str">
            <v>P</v>
          </cell>
          <cell r="AS209" t="str">
            <v>P</v>
          </cell>
        </row>
        <row r="210">
          <cell r="D210">
            <v>485119884375</v>
          </cell>
          <cell r="E210" t="str">
            <v>Mehadi Hasan</v>
          </cell>
          <cell r="F210" t="str">
            <v>Tackar Welder</v>
          </cell>
          <cell r="G210" t="str">
            <v>PI MPP -12 H PLANT</v>
          </cell>
          <cell r="H210">
            <v>10002</v>
          </cell>
          <cell r="AC210" t="str">
            <v>P</v>
          </cell>
          <cell r="AE210" t="str">
            <v>P</v>
          </cell>
          <cell r="AG210" t="str">
            <v>P</v>
          </cell>
          <cell r="AI210" t="str">
            <v>P</v>
          </cell>
          <cell r="AK210" t="str">
            <v>O</v>
          </cell>
          <cell r="AM210" t="str">
            <v>P</v>
          </cell>
          <cell r="AO210" t="str">
            <v>P</v>
          </cell>
          <cell r="AQ210" t="str">
            <v>P</v>
          </cell>
          <cell r="AS210" t="str">
            <v>P</v>
          </cell>
        </row>
        <row r="211">
          <cell r="D211">
            <v>753407021744</v>
          </cell>
          <cell r="E211" t="str">
            <v>Najeer Ansari</v>
          </cell>
          <cell r="F211" t="str">
            <v>Grinder</v>
          </cell>
          <cell r="G211" t="str">
            <v>PI MPP -12 H PLANT</v>
          </cell>
          <cell r="H211">
            <v>10002</v>
          </cell>
          <cell r="AC211" t="str">
            <v>o</v>
          </cell>
          <cell r="AE211" t="str">
            <v>P</v>
          </cell>
          <cell r="AG211" t="str">
            <v>P</v>
          </cell>
          <cell r="AI211" t="str">
            <v>A</v>
          </cell>
          <cell r="AK211" t="str">
            <v>O</v>
          </cell>
          <cell r="AM211" t="str">
            <v>P</v>
          </cell>
          <cell r="AO211" t="str">
            <v>P</v>
          </cell>
          <cell r="AQ211" t="str">
            <v>P</v>
          </cell>
          <cell r="AS211" t="str">
            <v>P</v>
          </cell>
        </row>
        <row r="212">
          <cell r="D212">
            <v>443531412319</v>
          </cell>
          <cell r="E212" t="str">
            <v>Jayram</v>
          </cell>
          <cell r="F212" t="str">
            <v>Grinder</v>
          </cell>
          <cell r="G212" t="str">
            <v>EPCM  NAVIN</v>
          </cell>
          <cell r="H212">
            <v>10003</v>
          </cell>
          <cell r="AC212" t="str">
            <v>o</v>
          </cell>
          <cell r="AE212" t="str">
            <v>P</v>
          </cell>
          <cell r="AG212" t="str">
            <v>P</v>
          </cell>
          <cell r="AI212" t="str">
            <v>P</v>
          </cell>
          <cell r="AK212" t="str">
            <v>O</v>
          </cell>
          <cell r="AM212" t="str">
            <v>P</v>
          </cell>
          <cell r="AN212">
            <v>11</v>
          </cell>
          <cell r="AO212" t="str">
            <v>P</v>
          </cell>
          <cell r="AQ212" t="str">
            <v>P</v>
          </cell>
          <cell r="AS212" t="str">
            <v>P</v>
          </cell>
          <cell r="AT212">
            <v>11</v>
          </cell>
        </row>
        <row r="213">
          <cell r="D213">
            <v>216784650395</v>
          </cell>
          <cell r="E213" t="str">
            <v>Bahadur Singh</v>
          </cell>
          <cell r="F213" t="str">
            <v>Hydra Operator</v>
          </cell>
          <cell r="G213" t="str">
            <v>TATA LINE KILN</v>
          </cell>
          <cell r="H213">
            <v>10008</v>
          </cell>
          <cell r="AC213" t="str">
            <v>o</v>
          </cell>
          <cell r="AE213" t="str">
            <v>P</v>
          </cell>
          <cell r="AG213" t="str">
            <v>P</v>
          </cell>
          <cell r="AI213" t="str">
            <v>P</v>
          </cell>
          <cell r="AK213" t="str">
            <v>O</v>
          </cell>
          <cell r="AM213" t="str">
            <v>P</v>
          </cell>
          <cell r="AN213">
            <v>11</v>
          </cell>
          <cell r="AO213" t="str">
            <v>P</v>
          </cell>
          <cell r="AQ213" t="str">
            <v>P</v>
          </cell>
          <cell r="AS213" t="str">
            <v>P</v>
          </cell>
        </row>
        <row r="214">
          <cell r="D214">
            <v>310970476966</v>
          </cell>
          <cell r="E214" t="str">
            <v>Biresh Kumar</v>
          </cell>
          <cell r="F214" t="str">
            <v>Helper</v>
          </cell>
          <cell r="G214" t="str">
            <v>TATA LINE KILN</v>
          </cell>
          <cell r="H214">
            <v>10008</v>
          </cell>
          <cell r="AC214" t="str">
            <v>o</v>
          </cell>
          <cell r="AI214" t="str">
            <v>P</v>
          </cell>
          <cell r="AK214" t="str">
            <v>O</v>
          </cell>
          <cell r="AM214" t="str">
            <v>P</v>
          </cell>
          <cell r="AO214" t="str">
            <v>P</v>
          </cell>
          <cell r="AQ214" t="str">
            <v>P</v>
          </cell>
          <cell r="AS214" t="str">
            <v>A</v>
          </cell>
        </row>
        <row r="215">
          <cell r="D215">
            <v>862421196586</v>
          </cell>
          <cell r="E215" t="str">
            <v>Nand Kishor Sahani</v>
          </cell>
          <cell r="F215" t="str">
            <v>Argon Welder</v>
          </cell>
          <cell r="G215" t="str">
            <v>LINDE NETHA.BLUSE H2</v>
          </cell>
          <cell r="H215">
            <v>10009</v>
          </cell>
          <cell r="AC215" t="str">
            <v>o</v>
          </cell>
          <cell r="AI215" t="str">
            <v>O</v>
          </cell>
          <cell r="AM215" t="str">
            <v>P</v>
          </cell>
          <cell r="AO215" t="str">
            <v>P</v>
          </cell>
          <cell r="AQ215" t="str">
            <v>P</v>
          </cell>
          <cell r="AS215" t="str">
            <v>P</v>
          </cell>
        </row>
        <row r="216">
          <cell r="D216">
            <v>346586165756</v>
          </cell>
          <cell r="E216" t="str">
            <v>Shrwan Kumar Sharma</v>
          </cell>
          <cell r="F216" t="str">
            <v>CO2 Welder</v>
          </cell>
          <cell r="G216" t="str">
            <v>TATA LINE KILN</v>
          </cell>
          <cell r="H216">
            <v>10008</v>
          </cell>
          <cell r="AC216" t="str">
            <v>o</v>
          </cell>
          <cell r="AI216" t="str">
            <v>O</v>
          </cell>
          <cell r="AM216" t="str">
            <v>o</v>
          </cell>
          <cell r="AO216" t="str">
            <v>P</v>
          </cell>
          <cell r="AQ216" t="str">
            <v>P</v>
          </cell>
          <cell r="AS216" t="str">
            <v>P</v>
          </cell>
        </row>
        <row r="217">
          <cell r="D217">
            <v>654666800710</v>
          </cell>
          <cell r="E217" t="str">
            <v>Vishambhar Sharma</v>
          </cell>
          <cell r="F217" t="str">
            <v>CO2 Welder</v>
          </cell>
          <cell r="G217" t="str">
            <v>TATA LINE KILN</v>
          </cell>
          <cell r="H217">
            <v>10008</v>
          </cell>
          <cell r="AC217" t="str">
            <v>o</v>
          </cell>
          <cell r="AI217" t="str">
            <v>O</v>
          </cell>
          <cell r="AM217" t="str">
            <v>o</v>
          </cell>
          <cell r="AO217" t="str">
            <v>P</v>
          </cell>
          <cell r="AQ217" t="str">
            <v>P</v>
          </cell>
          <cell r="AS217" t="str">
            <v>P</v>
          </cell>
        </row>
        <row r="218">
          <cell r="D218">
            <v>918381147237</v>
          </cell>
          <cell r="E218" t="str">
            <v>Harun Hawari</v>
          </cell>
          <cell r="F218" t="str">
            <v>Rigger</v>
          </cell>
          <cell r="G218" t="str">
            <v>EPCM  NAVIN</v>
          </cell>
          <cell r="H218">
            <v>10003</v>
          </cell>
          <cell r="AC218" t="str">
            <v>o</v>
          </cell>
          <cell r="AI218" t="str">
            <v>O</v>
          </cell>
          <cell r="AM218" t="str">
            <v>o</v>
          </cell>
          <cell r="AQ218" t="str">
            <v>P</v>
          </cell>
          <cell r="AS218" t="str">
            <v>P</v>
          </cell>
        </row>
        <row r="219">
          <cell r="D219">
            <v>538355442046</v>
          </cell>
          <cell r="E219" t="str">
            <v>Safadar Hawari</v>
          </cell>
          <cell r="F219" t="str">
            <v>Tacker Welder</v>
          </cell>
          <cell r="G219" t="str">
            <v>EPCM  NAVIN</v>
          </cell>
          <cell r="H219">
            <v>10003</v>
          </cell>
          <cell r="AC219" t="str">
            <v>o</v>
          </cell>
          <cell r="AI219" t="str">
            <v>O</v>
          </cell>
          <cell r="AM219" t="str">
            <v>o</v>
          </cell>
          <cell r="AQ219" t="str">
            <v>P</v>
          </cell>
          <cell r="AS219" t="str">
            <v>P</v>
          </cell>
        </row>
        <row r="220">
          <cell r="D220">
            <v>547028154265</v>
          </cell>
          <cell r="E220" t="str">
            <v>Astak Ansari</v>
          </cell>
          <cell r="F220" t="str">
            <v>Helper</v>
          </cell>
          <cell r="G220" t="str">
            <v>EPCM  NAVIN</v>
          </cell>
          <cell r="H220">
            <v>10003</v>
          </cell>
          <cell r="AC220" t="str">
            <v>o</v>
          </cell>
          <cell r="AI220" t="str">
            <v>O</v>
          </cell>
          <cell r="AM220" t="str">
            <v>o</v>
          </cell>
          <cell r="AQ220" t="str">
            <v>P</v>
          </cell>
          <cell r="AS220" t="str">
            <v>A</v>
          </cell>
        </row>
        <row r="221">
          <cell r="D221">
            <v>319054320326</v>
          </cell>
          <cell r="E221" t="str">
            <v>Shivbelas Bind</v>
          </cell>
          <cell r="F221" t="str">
            <v>Gas Cutter</v>
          </cell>
          <cell r="G221" t="str">
            <v>EPCM  NAVIN</v>
          </cell>
          <cell r="H221">
            <v>10003</v>
          </cell>
          <cell r="AC221" t="str">
            <v>o</v>
          </cell>
          <cell r="AI221" t="str">
            <v>O</v>
          </cell>
          <cell r="AM221" t="str">
            <v>o</v>
          </cell>
          <cell r="AQ221">
            <v>0</v>
          </cell>
          <cell r="AS221" t="str">
            <v>P</v>
          </cell>
        </row>
        <row r="222">
          <cell r="D222">
            <v>889427032109</v>
          </cell>
          <cell r="E222" t="str">
            <v>RAJESH CHAUDHARY</v>
          </cell>
          <cell r="F222" t="str">
            <v>Grinder</v>
          </cell>
          <cell r="G222" t="str">
            <v>PI MPP -12 H PLANT</v>
          </cell>
          <cell r="H222">
            <v>10002</v>
          </cell>
          <cell r="AC222" t="str">
            <v>o</v>
          </cell>
          <cell r="AI222" t="str">
            <v>O</v>
          </cell>
          <cell r="AM222" t="str">
            <v>o</v>
          </cell>
          <cell r="AQ222">
            <v>0</v>
          </cell>
          <cell r="AS222" t="str">
            <v>P</v>
          </cell>
        </row>
        <row r="223">
          <cell r="D223">
            <v>391448861541</v>
          </cell>
          <cell r="E223" t="str">
            <v>Shivprakash Kumar</v>
          </cell>
          <cell r="F223" t="str">
            <v>CO2 Welder</v>
          </cell>
          <cell r="G223" t="str">
            <v>EPCM  NAVIN</v>
          </cell>
          <cell r="H223">
            <v>10003</v>
          </cell>
          <cell r="AC223" t="str">
            <v>o</v>
          </cell>
          <cell r="AI223" t="str">
            <v>O</v>
          </cell>
          <cell r="AM223" t="str">
            <v>o</v>
          </cell>
          <cell r="AQ223">
            <v>0</v>
          </cell>
          <cell r="AS223" t="str">
            <v>P</v>
          </cell>
        </row>
        <row r="224">
          <cell r="D224">
            <v>997683470450</v>
          </cell>
          <cell r="E224" t="str">
            <v>Laxman Sahu</v>
          </cell>
          <cell r="F224" t="str">
            <v>Structure Fitter</v>
          </cell>
          <cell r="G224" t="str">
            <v>EPCM  NAVIN</v>
          </cell>
          <cell r="H224">
            <v>10003</v>
          </cell>
          <cell r="AC224" t="str">
            <v>o</v>
          </cell>
          <cell r="AI224" t="str">
            <v>O</v>
          </cell>
          <cell r="AM224" t="str">
            <v>o</v>
          </cell>
          <cell r="AQ224">
            <v>0</v>
          </cell>
          <cell r="AS224" t="str">
            <v>P</v>
          </cell>
        </row>
        <row r="225">
          <cell r="D225">
            <v>793767765403</v>
          </cell>
          <cell r="E225" t="str">
            <v>Omprakas Kumar</v>
          </cell>
          <cell r="F225" t="str">
            <v>Tacker Welder</v>
          </cell>
          <cell r="G225" t="str">
            <v>TATA LINE KILN</v>
          </cell>
          <cell r="H225">
            <v>10008</v>
          </cell>
          <cell r="AC225" t="str">
            <v>o</v>
          </cell>
          <cell r="AI225" t="str">
            <v>O</v>
          </cell>
          <cell r="AM225" t="str">
            <v>o</v>
          </cell>
          <cell r="AQ225">
            <v>0</v>
          </cell>
          <cell r="AS225" t="str">
            <v>o</v>
          </cell>
        </row>
        <row r="226">
          <cell r="D226">
            <v>505198655321</v>
          </cell>
          <cell r="E226" t="str">
            <v>Jayanta Dutta</v>
          </cell>
          <cell r="F226" t="str">
            <v>Rigger</v>
          </cell>
          <cell r="G226" t="str">
            <v>TATA LINE KILN</v>
          </cell>
          <cell r="H226">
            <v>10008</v>
          </cell>
          <cell r="AC226" t="str">
            <v>o</v>
          </cell>
          <cell r="AI226" t="str">
            <v>O</v>
          </cell>
          <cell r="AM226" t="str">
            <v>o</v>
          </cell>
          <cell r="AQ226">
            <v>0</v>
          </cell>
          <cell r="AS226" t="str">
            <v>o</v>
          </cell>
        </row>
        <row r="227">
          <cell r="D227">
            <v>439502897075</v>
          </cell>
          <cell r="E227" t="str">
            <v>Lakh Preet</v>
          </cell>
          <cell r="F227" t="str">
            <v>Rigger</v>
          </cell>
          <cell r="G227" t="str">
            <v>PI MPP -12 H PLANT</v>
          </cell>
          <cell r="H227">
            <v>10002</v>
          </cell>
          <cell r="AC227" t="str">
            <v>o</v>
          </cell>
          <cell r="AI227" t="str">
            <v>O</v>
          </cell>
          <cell r="AM227" t="str">
            <v>o</v>
          </cell>
          <cell r="AQ227">
            <v>0</v>
          </cell>
          <cell r="AS227" t="str">
            <v>o</v>
          </cell>
        </row>
        <row r="228">
          <cell r="D228">
            <v>542219240672</v>
          </cell>
          <cell r="E228" t="str">
            <v>Manjot Singh</v>
          </cell>
          <cell r="F228" t="str">
            <v>Rigger</v>
          </cell>
          <cell r="G228" t="str">
            <v>PI MPP -12 H PLANT</v>
          </cell>
          <cell r="H228">
            <v>10002</v>
          </cell>
          <cell r="AC228" t="str">
            <v>o</v>
          </cell>
          <cell r="AI228" t="str">
            <v>O</v>
          </cell>
          <cell r="AM228" t="str">
            <v>o</v>
          </cell>
          <cell r="AQ228">
            <v>0</v>
          </cell>
          <cell r="AS228" t="str">
            <v>o</v>
          </cell>
        </row>
        <row r="229">
          <cell r="D229">
            <v>600028163494</v>
          </cell>
          <cell r="E229" t="str">
            <v>Ravi Kumar</v>
          </cell>
          <cell r="F229" t="str">
            <v>Helper</v>
          </cell>
          <cell r="G229" t="str">
            <v>PI MPP -12 H PLANT</v>
          </cell>
          <cell r="H229">
            <v>10002</v>
          </cell>
          <cell r="AC229" t="str">
            <v>o</v>
          </cell>
          <cell r="AI229" t="str">
            <v>O</v>
          </cell>
          <cell r="AM229" t="str">
            <v>o</v>
          </cell>
          <cell r="AQ229">
            <v>0</v>
          </cell>
          <cell r="AS229" t="str">
            <v>o</v>
          </cell>
        </row>
        <row r="230">
          <cell r="D230">
            <v>346176681821</v>
          </cell>
          <cell r="E230" t="str">
            <v>Pankaj Kumar Singh</v>
          </cell>
          <cell r="F230" t="str">
            <v>Grinder</v>
          </cell>
          <cell r="G230" t="str">
            <v>EPCM  NAVIN</v>
          </cell>
          <cell r="H230">
            <v>10003</v>
          </cell>
          <cell r="AC230" t="str">
            <v>o</v>
          </cell>
          <cell r="AI230" t="str">
            <v>O</v>
          </cell>
          <cell r="AM230" t="str">
            <v>o</v>
          </cell>
          <cell r="AQ230">
            <v>0</v>
          </cell>
          <cell r="AS230" t="str">
            <v>o</v>
          </cell>
        </row>
        <row r="231">
          <cell r="D231">
            <v>503148119614</v>
          </cell>
          <cell r="E231" t="str">
            <v>Dhiraj Kumar</v>
          </cell>
          <cell r="F231" t="str">
            <v>Grinder</v>
          </cell>
          <cell r="G231" t="str">
            <v>EPCM  NAVIN</v>
          </cell>
          <cell r="H231">
            <v>10003</v>
          </cell>
          <cell r="AC231" t="str">
            <v>o</v>
          </cell>
          <cell r="AI231" t="str">
            <v>O</v>
          </cell>
          <cell r="AM231" t="str">
            <v>o</v>
          </cell>
          <cell r="AQ231">
            <v>0</v>
          </cell>
          <cell r="AS231" t="str">
            <v>o</v>
          </cell>
        </row>
        <row r="232">
          <cell r="D232">
            <v>853349514655</v>
          </cell>
          <cell r="E232" t="str">
            <v>Ajit Kumar</v>
          </cell>
          <cell r="F232" t="str">
            <v>Tacker Welder</v>
          </cell>
          <cell r="G232" t="str">
            <v>EPCM  NAVIN</v>
          </cell>
          <cell r="H232">
            <v>10003</v>
          </cell>
          <cell r="AC232" t="str">
            <v>o</v>
          </cell>
          <cell r="AI232" t="str">
            <v>O</v>
          </cell>
          <cell r="AM232" t="str">
            <v>o</v>
          </cell>
          <cell r="AQ232">
            <v>0</v>
          </cell>
          <cell r="AS232" t="str">
            <v>o</v>
          </cell>
        </row>
        <row r="233">
          <cell r="D233">
            <v>690517798272</v>
          </cell>
          <cell r="E233" t="str">
            <v>Baljeet Singh</v>
          </cell>
          <cell r="F233" t="str">
            <v>Rigger</v>
          </cell>
          <cell r="G233" t="str">
            <v>LINDE NETHA.BLUSE H2</v>
          </cell>
          <cell r="H233">
            <v>10009</v>
          </cell>
          <cell r="AC233" t="str">
            <v>o</v>
          </cell>
          <cell r="AI233" t="str">
            <v>O</v>
          </cell>
          <cell r="AM233" t="str">
            <v>o</v>
          </cell>
          <cell r="AQ233">
            <v>0</v>
          </cell>
          <cell r="AS233" t="str">
            <v>o</v>
          </cell>
        </row>
        <row r="234">
          <cell r="D234">
            <v>583748734513</v>
          </cell>
          <cell r="E234" t="str">
            <v>Amarjit Ram</v>
          </cell>
          <cell r="F234" t="str">
            <v>Grinder</v>
          </cell>
          <cell r="G234" t="str">
            <v>TATA LINE KILN</v>
          </cell>
          <cell r="H234">
            <v>10008</v>
          </cell>
          <cell r="AC234" t="str">
            <v>o</v>
          </cell>
          <cell r="AI234" t="str">
            <v>O</v>
          </cell>
          <cell r="AM234" t="str">
            <v>o</v>
          </cell>
          <cell r="AQ234">
            <v>0</v>
          </cell>
          <cell r="AS234" t="str">
            <v>o</v>
          </cell>
        </row>
        <row r="235">
          <cell r="D235">
            <v>616944489210</v>
          </cell>
          <cell r="E235" t="str">
            <v>Chandrmani Prasad</v>
          </cell>
          <cell r="F235" t="str">
            <v>Rigger</v>
          </cell>
          <cell r="G235" t="str">
            <v>EPCM  NAVIN</v>
          </cell>
          <cell r="H235">
            <v>10003</v>
          </cell>
          <cell r="AC235" t="str">
            <v>o</v>
          </cell>
          <cell r="AI235" t="str">
            <v>O</v>
          </cell>
          <cell r="AM235" t="str">
            <v>o</v>
          </cell>
          <cell r="AQ235">
            <v>0</v>
          </cell>
          <cell r="AS235" t="str">
            <v>o</v>
          </cell>
        </row>
        <row r="236">
          <cell r="D236">
            <v>754167408270</v>
          </cell>
          <cell r="E236" t="str">
            <v>Sandeep Pandit</v>
          </cell>
          <cell r="F236" t="str">
            <v>Hydra Operator</v>
          </cell>
          <cell r="G236" t="str">
            <v>EPCM  NAVIN</v>
          </cell>
          <cell r="H236">
            <v>10003</v>
          </cell>
          <cell r="AC236" t="str">
            <v>o</v>
          </cell>
          <cell r="AI236" t="str">
            <v>O</v>
          </cell>
          <cell r="AM236" t="str">
            <v>o</v>
          </cell>
          <cell r="AQ236">
            <v>0</v>
          </cell>
          <cell r="AS236" t="str">
            <v>o</v>
          </cell>
        </row>
        <row r="237">
          <cell r="D237">
            <v>780941440575</v>
          </cell>
          <cell r="E237" t="str">
            <v>Solanki Ukiben Jagdishbhai</v>
          </cell>
          <cell r="F237" t="str">
            <v>House Keeper</v>
          </cell>
          <cell r="G237" t="str">
            <v>EPCM  NAVIN</v>
          </cell>
          <cell r="H237">
            <v>10003</v>
          </cell>
          <cell r="AC237" t="str">
            <v>o</v>
          </cell>
          <cell r="AI237" t="str">
            <v>O</v>
          </cell>
          <cell r="AM237" t="str">
            <v>o</v>
          </cell>
          <cell r="AQ237">
            <v>0</v>
          </cell>
          <cell r="AS237" t="str">
            <v>o</v>
          </cell>
        </row>
        <row r="238">
          <cell r="D238">
            <v>957643938302</v>
          </cell>
          <cell r="E238" t="str">
            <v>Sushila Devi</v>
          </cell>
          <cell r="F238" t="str">
            <v>House Keeper</v>
          </cell>
          <cell r="G238" t="str">
            <v>LINDE NETHA.BLUSE H2</v>
          </cell>
          <cell r="H238">
            <v>10009</v>
          </cell>
          <cell r="AC238" t="str">
            <v>o</v>
          </cell>
          <cell r="AI238" t="str">
            <v>O</v>
          </cell>
          <cell r="AM238" t="str">
            <v>o</v>
          </cell>
          <cell r="AQ238">
            <v>0</v>
          </cell>
          <cell r="AS238" t="str">
            <v>o</v>
          </cell>
        </row>
        <row r="239">
          <cell r="D239">
            <v>307517005011</v>
          </cell>
          <cell r="E239" t="str">
            <v>Dinesh Kumar</v>
          </cell>
          <cell r="F239" t="str">
            <v>Tacker Welder</v>
          </cell>
          <cell r="G239" t="str">
            <v>TATA LINE KILN</v>
          </cell>
          <cell r="H239">
            <v>10008</v>
          </cell>
          <cell r="AC239" t="str">
            <v>o</v>
          </cell>
          <cell r="AI239" t="str">
            <v>O</v>
          </cell>
          <cell r="AM239" t="str">
            <v>o</v>
          </cell>
          <cell r="AQ239">
            <v>0</v>
          </cell>
          <cell r="AS239" t="str">
            <v>o</v>
          </cell>
        </row>
        <row r="240">
          <cell r="D240">
            <v>874367192181</v>
          </cell>
          <cell r="E240" t="str">
            <v>RAKESH CHAUHAN</v>
          </cell>
          <cell r="F240" t="str">
            <v>Grinder</v>
          </cell>
          <cell r="G240" t="str">
            <v>TATA LINE KILN</v>
          </cell>
          <cell r="H240">
            <v>10008</v>
          </cell>
          <cell r="AC240" t="str">
            <v>o</v>
          </cell>
          <cell r="AI240" t="str">
            <v>O</v>
          </cell>
          <cell r="AM240" t="str">
            <v>o</v>
          </cell>
          <cell r="AQ240">
            <v>0</v>
          </cell>
          <cell r="AS240" t="str">
            <v>o</v>
          </cell>
        </row>
        <row r="241">
          <cell r="D241">
            <v>927551165393</v>
          </cell>
          <cell r="E241" t="str">
            <v>Sanjay Kumar Rajbhar</v>
          </cell>
          <cell r="F241" t="str">
            <v>Driver</v>
          </cell>
          <cell r="G241" t="str">
            <v>TATA LINE KILN</v>
          </cell>
          <cell r="H241">
            <v>10008</v>
          </cell>
          <cell r="AC241" t="str">
            <v>o</v>
          </cell>
          <cell r="AI241" t="str">
            <v>O</v>
          </cell>
          <cell r="AM241" t="str">
            <v>o</v>
          </cell>
          <cell r="AQ241">
            <v>0</v>
          </cell>
          <cell r="AS241" t="str">
            <v>o</v>
          </cell>
        </row>
        <row r="242">
          <cell r="D242">
            <v>224331475568</v>
          </cell>
          <cell r="E242" t="str">
            <v>Viseshwar Chaudhari</v>
          </cell>
          <cell r="F242" t="str">
            <v>Grinder</v>
          </cell>
          <cell r="G242" t="str">
            <v>EPCM  NAVIN</v>
          </cell>
          <cell r="H242">
            <v>10003</v>
          </cell>
          <cell r="I242" t="str">
            <v>P</v>
          </cell>
          <cell r="K242" t="str">
            <v>P</v>
          </cell>
          <cell r="M242" t="str">
            <v>P</v>
          </cell>
          <cell r="O242" t="str">
            <v>P</v>
          </cell>
          <cell r="Q242" t="str">
            <v>P</v>
          </cell>
          <cell r="S242" t="str">
            <v>A</v>
          </cell>
          <cell r="U242" t="str">
            <v>P</v>
          </cell>
          <cell r="W242" t="str">
            <v>P</v>
          </cell>
          <cell r="Y242" t="str">
            <v>P</v>
          </cell>
          <cell r="Z242">
            <v>11</v>
          </cell>
          <cell r="AA242" t="str">
            <v>P</v>
          </cell>
          <cell r="AC242" t="str">
            <v>P</v>
          </cell>
          <cell r="AD242">
            <v>11</v>
          </cell>
          <cell r="AE242" t="str">
            <v>P</v>
          </cell>
          <cell r="AG242" t="str">
            <v>P</v>
          </cell>
          <cell r="AI242" t="str">
            <v>P</v>
          </cell>
          <cell r="AK242" t="str">
            <v>O</v>
          </cell>
          <cell r="AM242" t="str">
            <v>P</v>
          </cell>
          <cell r="AN242">
            <v>11</v>
          </cell>
          <cell r="AO242" t="str">
            <v>P</v>
          </cell>
          <cell r="AQ242" t="str">
            <v>P</v>
          </cell>
          <cell r="AS242" t="str">
            <v>P</v>
          </cell>
        </row>
        <row r="243">
          <cell r="I243">
            <v>122</v>
          </cell>
          <cell r="K243">
            <v>165</v>
          </cell>
          <cell r="M243">
            <v>172</v>
          </cell>
          <cell r="O243">
            <v>176</v>
          </cell>
          <cell r="Q243">
            <v>182</v>
          </cell>
          <cell r="S243">
            <v>180</v>
          </cell>
          <cell r="U243">
            <v>183</v>
          </cell>
          <cell r="W243">
            <v>142</v>
          </cell>
          <cell r="Y243">
            <v>173</v>
          </cell>
          <cell r="AA243">
            <v>164</v>
          </cell>
          <cell r="AC243">
            <v>175</v>
          </cell>
          <cell r="AE243">
            <v>177</v>
          </cell>
          <cell r="AG243">
            <v>177</v>
          </cell>
          <cell r="AI243">
            <v>185</v>
          </cell>
          <cell r="AK243">
            <v>7</v>
          </cell>
          <cell r="AM243">
            <v>175</v>
          </cell>
          <cell r="AO243">
            <v>181</v>
          </cell>
          <cell r="AQ243">
            <v>181</v>
          </cell>
          <cell r="AS243">
            <v>186</v>
          </cell>
        </row>
        <row r="245">
          <cell r="G245" t="str">
            <v>PI SRP</v>
          </cell>
          <cell r="H245">
            <v>10001</v>
          </cell>
          <cell r="I245" t="str">
            <v>D2E345</v>
          </cell>
        </row>
        <row r="246">
          <cell r="G246" t="str">
            <v>PI MPP -12 H PLANT</v>
          </cell>
          <cell r="H246">
            <v>10002</v>
          </cell>
          <cell r="I246" t="str">
            <v>D2E397398</v>
          </cell>
          <cell r="K246">
            <v>76</v>
          </cell>
        </row>
        <row r="247">
          <cell r="G247" t="str">
            <v>EPCM  NAVIN</v>
          </cell>
          <cell r="H247">
            <v>10003</v>
          </cell>
          <cell r="I247" t="str">
            <v>D2E345</v>
          </cell>
          <cell r="K247">
            <v>61</v>
          </cell>
        </row>
        <row r="248">
          <cell r="G248" t="str">
            <v>VISHAL ENTERPRISE</v>
          </cell>
          <cell r="H248">
            <v>10004</v>
          </cell>
        </row>
        <row r="249">
          <cell r="G249" t="str">
            <v>VEPL</v>
          </cell>
          <cell r="H249">
            <v>10005</v>
          </cell>
        </row>
        <row r="250">
          <cell r="G250" t="str">
            <v>LINDE PANIPAT HGU</v>
          </cell>
          <cell r="H250">
            <v>10006</v>
          </cell>
          <cell r="I250" t="str">
            <v>D2E345</v>
          </cell>
          <cell r="K250">
            <v>21</v>
          </cell>
        </row>
        <row r="251">
          <cell r="G251" t="str">
            <v>LA PORT HYCO</v>
          </cell>
          <cell r="H251">
            <v>10007</v>
          </cell>
        </row>
        <row r="252">
          <cell r="G252" t="str">
            <v>TATA LINE KILN</v>
          </cell>
          <cell r="H252">
            <v>10008</v>
          </cell>
          <cell r="I252" t="str">
            <v>D2E397398</v>
          </cell>
          <cell r="K252">
            <v>17</v>
          </cell>
        </row>
        <row r="253">
          <cell r="G253" t="str">
            <v>LINDE NETHA.BLUSE H2</v>
          </cell>
          <cell r="H253">
            <v>10009</v>
          </cell>
          <cell r="I253" t="str">
            <v>D2E397398</v>
          </cell>
          <cell r="K253">
            <v>55</v>
          </cell>
        </row>
        <row r="254">
          <cell r="G254" t="str">
            <v xml:space="preserve">MEA II </v>
          </cell>
          <cell r="H254">
            <v>10010</v>
          </cell>
        </row>
        <row r="260">
          <cell r="G260" t="str">
            <v>PI MPP -12 H PLANT</v>
          </cell>
          <cell r="H260">
            <v>10002</v>
          </cell>
          <cell r="I260" t="str">
            <v>D2E397398</v>
          </cell>
          <cell r="K260">
            <v>76</v>
          </cell>
        </row>
        <row r="261">
          <cell r="G261" t="str">
            <v>EPCM  NAVIN</v>
          </cell>
          <cell r="H261">
            <v>10003</v>
          </cell>
          <cell r="I261" t="str">
            <v>D2E345</v>
          </cell>
          <cell r="K261">
            <v>61</v>
          </cell>
        </row>
        <row r="262">
          <cell r="G262" t="str">
            <v>LINDE PANIPAT HGU</v>
          </cell>
          <cell r="H262">
            <v>10006</v>
          </cell>
          <cell r="I262" t="str">
            <v>D2E345</v>
          </cell>
          <cell r="K262">
            <v>21</v>
          </cell>
        </row>
        <row r="263">
          <cell r="G263" t="str">
            <v>TATA LINE KILN</v>
          </cell>
          <cell r="H263">
            <v>10008</v>
          </cell>
          <cell r="I263" t="str">
            <v>D2E397398</v>
          </cell>
          <cell r="K263">
            <v>17</v>
          </cell>
        </row>
        <row r="264">
          <cell r="G264" t="str">
            <v>LINDE NETHA.BLUSE H2</v>
          </cell>
          <cell r="H264">
            <v>10009</v>
          </cell>
          <cell r="I264" t="str">
            <v>D2E397398</v>
          </cell>
          <cell r="K264">
            <v>55</v>
          </cell>
        </row>
        <row r="265">
          <cell r="K265">
            <v>230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23"/>
  <sheetViews>
    <sheetView tabSelected="1" workbookViewId="0">
      <selection activeCell="J6" sqref="J6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218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  <c r="H2" s="2">
        <v>934650495375</v>
      </c>
      <c r="I2" t="s">
        <v>21</v>
      </c>
      <c r="J2" t="s">
        <v>21</v>
      </c>
      <c r="K2" t="s">
        <v>21</v>
      </c>
      <c r="L2" t="str">
        <f>VLOOKUP(H:H,'[1]VEPL-DEC-24'!$D:$AS,42,0)</f>
        <v>P</v>
      </c>
      <c r="M2">
        <f>VLOOKUP(H:H,'[1]VEPL-DEC-24'!$D:$AT,43,0)</f>
        <v>0</v>
      </c>
      <c r="N2" t="s">
        <v>21</v>
      </c>
      <c r="P2">
        <f>VLOOKUP(H:H,'[1]VEPL-DEC-24'!$D:$H,5,0)</f>
        <v>10009</v>
      </c>
    </row>
    <row r="3" spans="1:16" hidden="1" x14ac:dyDescent="0.3">
      <c r="A3">
        <v>2</v>
      </c>
      <c r="B3" t="s">
        <v>16</v>
      </c>
      <c r="C3" t="s">
        <v>22</v>
      </c>
      <c r="D3" t="s">
        <v>23</v>
      </c>
      <c r="E3" t="s">
        <v>24</v>
      </c>
      <c r="F3" t="s">
        <v>25</v>
      </c>
      <c r="G3" t="s">
        <v>20</v>
      </c>
      <c r="H3" s="2">
        <v>943031777704</v>
      </c>
      <c r="I3" t="s">
        <v>21</v>
      </c>
      <c r="J3" t="s">
        <v>21</v>
      </c>
      <c r="K3" t="s">
        <v>21</v>
      </c>
      <c r="L3" t="str">
        <f>VLOOKUP(H:H,'[1]VEPL-DEC-24'!$D:$AS,42,0)</f>
        <v>A</v>
      </c>
      <c r="M3">
        <f>VLOOKUP(H:H,'[1]VEPL-DEC-24'!$D:$AT,43,0)</f>
        <v>0</v>
      </c>
      <c r="N3" t="s">
        <v>21</v>
      </c>
      <c r="P3">
        <f>VLOOKUP(H:H,'[1]VEPL-DEC-24'!$D:$H,5,0)</f>
        <v>10009</v>
      </c>
    </row>
    <row r="4" spans="1:16" x14ac:dyDescent="0.3">
      <c r="A4">
        <v>3</v>
      </c>
      <c r="B4" t="s">
        <v>16</v>
      </c>
      <c r="C4" t="s">
        <v>26</v>
      </c>
      <c r="D4" t="s">
        <v>27</v>
      </c>
      <c r="E4" t="s">
        <v>28</v>
      </c>
      <c r="F4" t="s">
        <v>29</v>
      </c>
      <c r="G4" t="s">
        <v>20</v>
      </c>
      <c r="H4" s="2">
        <v>383547400592</v>
      </c>
      <c r="I4" t="s">
        <v>21</v>
      </c>
      <c r="J4" t="s">
        <v>21</v>
      </c>
      <c r="K4" t="s">
        <v>21</v>
      </c>
      <c r="L4" t="str">
        <f>VLOOKUP(H:H,'[1]VEPL-DEC-24'!$D:$AS,42,0)</f>
        <v>P</v>
      </c>
      <c r="M4">
        <f>VLOOKUP(H:H,'[1]VEPL-DEC-24'!$D:$AT,43,0)</f>
        <v>0</v>
      </c>
      <c r="N4" t="s">
        <v>21</v>
      </c>
      <c r="P4">
        <f>VLOOKUP(H:H,'[1]VEPL-DEC-24'!$D:$H,5,0)</f>
        <v>10003</v>
      </c>
    </row>
    <row r="5" spans="1:16" x14ac:dyDescent="0.3">
      <c r="A5">
        <v>4</v>
      </c>
      <c r="B5" t="s">
        <v>16</v>
      </c>
      <c r="C5" t="s">
        <v>30</v>
      </c>
      <c r="D5" t="s">
        <v>31</v>
      </c>
      <c r="E5" t="s">
        <v>32</v>
      </c>
      <c r="F5" t="s">
        <v>33</v>
      </c>
      <c r="G5" t="s">
        <v>20</v>
      </c>
      <c r="H5" s="2">
        <v>675380871787</v>
      </c>
      <c r="I5" t="s">
        <v>21</v>
      </c>
      <c r="J5" t="s">
        <v>21</v>
      </c>
      <c r="K5" t="s">
        <v>21</v>
      </c>
      <c r="L5" t="str">
        <f>VLOOKUP(H:H,'[1]VEPL-DEC-24'!$D:$AS,42,0)</f>
        <v>P</v>
      </c>
      <c r="M5">
        <f>VLOOKUP(H:H,'[1]VEPL-DEC-24'!$D:$AT,43,0)</f>
        <v>0</v>
      </c>
      <c r="N5" t="s">
        <v>21</v>
      </c>
      <c r="P5">
        <f>VLOOKUP(H:H,'[1]VEPL-DEC-24'!$D:$H,5,0)</f>
        <v>10002</v>
      </c>
    </row>
    <row r="6" spans="1:16" x14ac:dyDescent="0.3">
      <c r="A6">
        <v>5</v>
      </c>
      <c r="B6" t="s">
        <v>16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2">
        <v>760120011029</v>
      </c>
      <c r="I6" t="s">
        <v>21</v>
      </c>
      <c r="J6" t="s">
        <v>21</v>
      </c>
      <c r="K6" t="s">
        <v>21</v>
      </c>
      <c r="L6" t="str">
        <f>VLOOKUP(H:H,'[1]VEPL-DEC-24'!$D:$AS,42,0)</f>
        <v>P</v>
      </c>
      <c r="M6">
        <f>VLOOKUP(H:H,'[1]VEPL-DEC-24'!$D:$AT,43,0)</f>
        <v>11</v>
      </c>
      <c r="N6" t="s">
        <v>21</v>
      </c>
      <c r="P6">
        <f>VLOOKUP(H:H,'[1]VEPL-DEC-24'!$D:$H,5,0)</f>
        <v>10003</v>
      </c>
    </row>
    <row r="7" spans="1:16" x14ac:dyDescent="0.3">
      <c r="A7">
        <v>6</v>
      </c>
      <c r="B7" t="s">
        <v>16</v>
      </c>
      <c r="C7" t="s">
        <v>39</v>
      </c>
      <c r="D7" t="s">
        <v>40</v>
      </c>
      <c r="E7" t="s">
        <v>41</v>
      </c>
      <c r="F7" t="s">
        <v>42</v>
      </c>
      <c r="G7" t="s">
        <v>38</v>
      </c>
      <c r="H7" s="2">
        <v>446380690823</v>
      </c>
      <c r="I7" t="s">
        <v>21</v>
      </c>
      <c r="J7" t="s">
        <v>21</v>
      </c>
      <c r="K7" t="s">
        <v>21</v>
      </c>
      <c r="L7" t="str">
        <f>VLOOKUP(H:H,'[1]VEPL-DEC-24'!$D:$AS,42,0)</f>
        <v>P</v>
      </c>
      <c r="M7">
        <f>VLOOKUP(H:H,'[1]VEPL-DEC-24'!$D:$AT,43,0)</f>
        <v>0</v>
      </c>
      <c r="N7" t="s">
        <v>21</v>
      </c>
      <c r="P7">
        <f>VLOOKUP(H:H,'[1]VEPL-DEC-24'!$D:$H,5,0)</f>
        <v>10003</v>
      </c>
    </row>
    <row r="8" spans="1:16" x14ac:dyDescent="0.3">
      <c r="A8">
        <v>7</v>
      </c>
      <c r="B8" t="s">
        <v>16</v>
      </c>
      <c r="C8" t="s">
        <v>43</v>
      </c>
      <c r="D8" t="s">
        <v>44</v>
      </c>
      <c r="E8" t="s">
        <v>43</v>
      </c>
      <c r="F8" t="s">
        <v>25</v>
      </c>
      <c r="G8" t="s">
        <v>20</v>
      </c>
      <c r="H8" s="2">
        <v>821131028229</v>
      </c>
      <c r="I8" t="s">
        <v>21</v>
      </c>
      <c r="J8" t="s">
        <v>21</v>
      </c>
      <c r="K8" t="s">
        <v>21</v>
      </c>
      <c r="L8" t="str">
        <f>VLOOKUP(H:H,'[1]VEPL-DEC-24'!$D:$AS,42,0)</f>
        <v>P</v>
      </c>
      <c r="M8">
        <f>VLOOKUP(H:H,'[1]VEPL-DEC-24'!$D:$AT,43,0)</f>
        <v>0</v>
      </c>
      <c r="N8" t="s">
        <v>21</v>
      </c>
      <c r="P8">
        <f>VLOOKUP(H:H,'[1]VEPL-DEC-24'!$D:$H,5,0)</f>
        <v>10003</v>
      </c>
    </row>
    <row r="9" spans="1:16" x14ac:dyDescent="0.3">
      <c r="A9">
        <v>8</v>
      </c>
      <c r="B9" t="s">
        <v>16</v>
      </c>
      <c r="C9" t="s">
        <v>45</v>
      </c>
      <c r="D9" t="s">
        <v>46</v>
      </c>
      <c r="E9" t="s">
        <v>47</v>
      </c>
      <c r="F9" t="s">
        <v>48</v>
      </c>
      <c r="G9" t="s">
        <v>38</v>
      </c>
      <c r="H9" s="2">
        <v>273373481454</v>
      </c>
      <c r="I9" t="s">
        <v>21</v>
      </c>
      <c r="J9" t="s">
        <v>21</v>
      </c>
      <c r="K9" t="s">
        <v>21</v>
      </c>
      <c r="L9" t="str">
        <f>VLOOKUP(H:H,'[1]VEPL-DEC-24'!$D:$AS,42,0)</f>
        <v>P</v>
      </c>
      <c r="M9">
        <f>VLOOKUP(H:H,'[1]VEPL-DEC-24'!$D:$AT,43,0)</f>
        <v>0</v>
      </c>
      <c r="N9" t="s">
        <v>21</v>
      </c>
      <c r="P9">
        <f>VLOOKUP(H:H,'[1]VEPL-DEC-24'!$D:$H,5,0)</f>
        <v>10003</v>
      </c>
    </row>
    <row r="10" spans="1:16" x14ac:dyDescent="0.3">
      <c r="A10">
        <v>9</v>
      </c>
      <c r="B10" t="s">
        <v>16</v>
      </c>
      <c r="C10" t="s">
        <v>49</v>
      </c>
      <c r="D10" t="s">
        <v>50</v>
      </c>
      <c r="E10" t="s">
        <v>51</v>
      </c>
      <c r="F10" t="s">
        <v>52</v>
      </c>
      <c r="G10" t="s">
        <v>38</v>
      </c>
      <c r="H10" s="2">
        <v>250592598458</v>
      </c>
      <c r="I10" t="s">
        <v>21</v>
      </c>
      <c r="J10" t="s">
        <v>21</v>
      </c>
      <c r="K10" t="s">
        <v>21</v>
      </c>
      <c r="L10" t="str">
        <f>VLOOKUP(H:H,'[1]VEPL-DEC-24'!$D:$AS,42,0)</f>
        <v>P</v>
      </c>
      <c r="M10">
        <f>VLOOKUP(H:H,'[1]VEPL-DEC-24'!$D:$AT,43,0)</f>
        <v>0</v>
      </c>
      <c r="N10" t="s">
        <v>21</v>
      </c>
      <c r="P10">
        <f>VLOOKUP(H:H,'[1]VEPL-DEC-24'!$D:$H,5,0)</f>
        <v>10003</v>
      </c>
    </row>
    <row r="11" spans="1:16" x14ac:dyDescent="0.3">
      <c r="A11">
        <v>10</v>
      </c>
      <c r="B11" t="s">
        <v>16</v>
      </c>
      <c r="C11" t="s">
        <v>53</v>
      </c>
      <c r="D11" t="s">
        <v>54</v>
      </c>
      <c r="E11" t="s">
        <v>55</v>
      </c>
      <c r="F11" t="s">
        <v>56</v>
      </c>
      <c r="G11" t="s">
        <v>20</v>
      </c>
      <c r="H11" s="2">
        <v>482807174939</v>
      </c>
      <c r="I11" t="s">
        <v>21</v>
      </c>
      <c r="J11" t="s">
        <v>21</v>
      </c>
      <c r="K11" t="s">
        <v>21</v>
      </c>
      <c r="L11" t="str">
        <f>VLOOKUP(H:H,'[1]VEPL-DEC-24'!$D:$AS,42,0)</f>
        <v>P</v>
      </c>
      <c r="M11">
        <f>VLOOKUP(H:H,'[1]VEPL-DEC-24'!$D:$AT,43,0)</f>
        <v>0</v>
      </c>
      <c r="N11" t="s">
        <v>21</v>
      </c>
      <c r="P11">
        <f>VLOOKUP(H:H,'[1]VEPL-DEC-24'!$D:$H,5,0)</f>
        <v>10002</v>
      </c>
    </row>
    <row r="12" spans="1:16" x14ac:dyDescent="0.3">
      <c r="A12">
        <v>11</v>
      </c>
      <c r="B12" t="s">
        <v>16</v>
      </c>
      <c r="C12" t="s">
        <v>57</v>
      </c>
      <c r="D12" t="s">
        <v>58</v>
      </c>
      <c r="E12" t="s">
        <v>59</v>
      </c>
      <c r="F12" t="s">
        <v>60</v>
      </c>
      <c r="G12" t="s">
        <v>38</v>
      </c>
      <c r="H12" s="2">
        <v>376419560672</v>
      </c>
      <c r="I12" t="s">
        <v>21</v>
      </c>
      <c r="J12" t="s">
        <v>21</v>
      </c>
      <c r="K12" t="s">
        <v>21</v>
      </c>
      <c r="L12" t="str">
        <f>VLOOKUP(H:H,'[1]VEPL-DEC-24'!$D:$AS,42,0)</f>
        <v>P</v>
      </c>
      <c r="M12">
        <f>VLOOKUP(H:H,'[1]VEPL-DEC-24'!$D:$AT,43,0)</f>
        <v>0</v>
      </c>
      <c r="N12" t="s">
        <v>21</v>
      </c>
      <c r="P12">
        <f>VLOOKUP(H:H,'[1]VEPL-DEC-24'!$D:$H,5,0)</f>
        <v>10009</v>
      </c>
    </row>
    <row r="13" spans="1:16" x14ac:dyDescent="0.3">
      <c r="A13">
        <v>12</v>
      </c>
      <c r="B13" t="s">
        <v>16</v>
      </c>
      <c r="C13" t="s">
        <v>61</v>
      </c>
      <c r="D13" t="s">
        <v>62</v>
      </c>
      <c r="E13" t="s">
        <v>63</v>
      </c>
      <c r="F13" t="s">
        <v>64</v>
      </c>
      <c r="G13" t="s">
        <v>20</v>
      </c>
      <c r="H13" s="2">
        <v>514628135608</v>
      </c>
      <c r="I13" t="s">
        <v>21</v>
      </c>
      <c r="J13" t="s">
        <v>21</v>
      </c>
      <c r="K13" t="s">
        <v>21</v>
      </c>
      <c r="L13" t="str">
        <f>VLOOKUP(H:H,'[1]VEPL-DEC-24'!$D:$AS,42,0)</f>
        <v>P</v>
      </c>
      <c r="M13">
        <f>VLOOKUP(H:H,'[1]VEPL-DEC-24'!$D:$AT,43,0)</f>
        <v>0</v>
      </c>
      <c r="N13" t="s">
        <v>21</v>
      </c>
      <c r="P13">
        <f>VLOOKUP(H:H,'[1]VEPL-DEC-24'!$D:$H,5,0)</f>
        <v>10009</v>
      </c>
    </row>
    <row r="14" spans="1:16" x14ac:dyDescent="0.3">
      <c r="A14">
        <v>13</v>
      </c>
      <c r="B14" t="s">
        <v>16</v>
      </c>
      <c r="C14" t="s">
        <v>65</v>
      </c>
      <c r="D14" t="s">
        <v>66</v>
      </c>
      <c r="E14" t="s">
        <v>67</v>
      </c>
      <c r="F14" t="s">
        <v>25</v>
      </c>
      <c r="G14" t="s">
        <v>20</v>
      </c>
      <c r="H14" s="2">
        <v>252878558631</v>
      </c>
      <c r="I14" t="s">
        <v>21</v>
      </c>
      <c r="J14" t="s">
        <v>21</v>
      </c>
      <c r="K14" t="s">
        <v>21</v>
      </c>
      <c r="L14" t="str">
        <f>VLOOKUP(H:H,'[1]VEPL-DEC-24'!$D:$AS,42,0)</f>
        <v>P</v>
      </c>
      <c r="M14">
        <f>VLOOKUP(H:H,'[1]VEPL-DEC-24'!$D:$AT,43,0)</f>
        <v>0</v>
      </c>
      <c r="N14" t="s">
        <v>21</v>
      </c>
      <c r="P14">
        <f>VLOOKUP(H:H,'[1]VEPL-DEC-24'!$D:$H,5,0)</f>
        <v>10006</v>
      </c>
    </row>
    <row r="15" spans="1:16" x14ac:dyDescent="0.3">
      <c r="A15">
        <v>14</v>
      </c>
      <c r="B15" t="s">
        <v>16</v>
      </c>
      <c r="C15" t="s">
        <v>68</v>
      </c>
      <c r="D15" t="s">
        <v>69</v>
      </c>
      <c r="E15" t="s">
        <v>70</v>
      </c>
      <c r="F15" t="s">
        <v>71</v>
      </c>
      <c r="G15" t="s">
        <v>38</v>
      </c>
      <c r="H15" s="2">
        <v>467351272771</v>
      </c>
      <c r="I15" t="s">
        <v>21</v>
      </c>
      <c r="J15" t="s">
        <v>21</v>
      </c>
      <c r="K15" t="s">
        <v>21</v>
      </c>
      <c r="L15" t="str">
        <f>VLOOKUP(H:H,'[1]VEPL-DEC-24'!$D:$AS,42,0)</f>
        <v>P</v>
      </c>
      <c r="M15">
        <f>VLOOKUP(H:H,'[1]VEPL-DEC-24'!$D:$AT,43,0)</f>
        <v>11</v>
      </c>
      <c r="N15" t="s">
        <v>21</v>
      </c>
      <c r="P15">
        <f>VLOOKUP(H:H,'[1]VEPL-DEC-24'!$D:$H,5,0)</f>
        <v>10006</v>
      </c>
    </row>
    <row r="16" spans="1:16" hidden="1" x14ac:dyDescent="0.3">
      <c r="A16">
        <v>15</v>
      </c>
      <c r="B16" t="s">
        <v>16</v>
      </c>
      <c r="C16" t="s">
        <v>72</v>
      </c>
      <c r="D16" t="s">
        <v>73</v>
      </c>
      <c r="E16" t="s">
        <v>74</v>
      </c>
      <c r="F16" t="s">
        <v>75</v>
      </c>
      <c r="G16" t="s">
        <v>20</v>
      </c>
      <c r="H16" s="2">
        <v>375213291260</v>
      </c>
      <c r="I16" t="s">
        <v>21</v>
      </c>
      <c r="J16" t="s">
        <v>21</v>
      </c>
      <c r="K16" t="s">
        <v>21</v>
      </c>
      <c r="L16" t="str">
        <f>VLOOKUP(H:H,'[1]VEPL-DEC-24'!$D:$AS,42,0)</f>
        <v>A</v>
      </c>
      <c r="M16">
        <f>VLOOKUP(H:H,'[1]VEPL-DEC-24'!$D:$AT,43,0)</f>
        <v>0</v>
      </c>
      <c r="N16" t="s">
        <v>21</v>
      </c>
      <c r="P16">
        <f>VLOOKUP(H:H,'[1]VEPL-DEC-24'!$D:$H,5,0)</f>
        <v>10002</v>
      </c>
    </row>
    <row r="17" spans="1:16" x14ac:dyDescent="0.3">
      <c r="A17">
        <v>16</v>
      </c>
      <c r="B17" t="s">
        <v>16</v>
      </c>
      <c r="C17" t="s">
        <v>76</v>
      </c>
      <c r="D17" t="s">
        <v>77</v>
      </c>
      <c r="E17" t="s">
        <v>78</v>
      </c>
      <c r="F17" t="s">
        <v>79</v>
      </c>
      <c r="G17" t="s">
        <v>38</v>
      </c>
      <c r="H17" s="2">
        <v>862421196586</v>
      </c>
      <c r="I17" t="s">
        <v>21</v>
      </c>
      <c r="J17" t="s">
        <v>21</v>
      </c>
      <c r="K17" t="s">
        <v>21</v>
      </c>
      <c r="L17" t="str">
        <f>VLOOKUP(H:H,'[1]VEPL-DEC-24'!$D:$AS,42,0)</f>
        <v>P</v>
      </c>
      <c r="M17">
        <f>VLOOKUP(H:H,'[1]VEPL-DEC-24'!$D:$AT,43,0)</f>
        <v>0</v>
      </c>
      <c r="N17" t="s">
        <v>21</v>
      </c>
      <c r="P17">
        <f>VLOOKUP(H:H,'[1]VEPL-DEC-24'!$D:$H,5,0)</f>
        <v>10009</v>
      </c>
    </row>
    <row r="18" spans="1:16" hidden="1" x14ac:dyDescent="0.3">
      <c r="A18">
        <v>17</v>
      </c>
      <c r="B18" t="s">
        <v>16</v>
      </c>
      <c r="C18" t="s">
        <v>80</v>
      </c>
      <c r="D18" t="s">
        <v>81</v>
      </c>
      <c r="E18" t="s">
        <v>82</v>
      </c>
      <c r="F18" t="s">
        <v>83</v>
      </c>
      <c r="G18" t="s">
        <v>38</v>
      </c>
      <c r="H18" s="2">
        <v>796271304804</v>
      </c>
      <c r="I18" t="s">
        <v>21</v>
      </c>
      <c r="J18" t="s">
        <v>21</v>
      </c>
      <c r="K18" t="s">
        <v>21</v>
      </c>
      <c r="L18" t="e">
        <f>VLOOKUP(H:H,'[1]VEPL-DEC-24'!$D:$AS,42,0)</f>
        <v>#N/A</v>
      </c>
      <c r="M18" t="e">
        <f>VLOOKUP(H:H,'[1]VEPL-DEC-24'!$D:$AT,43,0)</f>
        <v>#N/A</v>
      </c>
      <c r="N18" t="s">
        <v>21</v>
      </c>
      <c r="P18" t="e">
        <f>VLOOKUP(H:H,'[1]VEPL-DEC-24'!$D:$H,5,0)</f>
        <v>#N/A</v>
      </c>
    </row>
    <row r="19" spans="1:16" x14ac:dyDescent="0.3">
      <c r="A19">
        <v>18</v>
      </c>
      <c r="B19" t="s">
        <v>16</v>
      </c>
      <c r="C19" t="s">
        <v>84</v>
      </c>
      <c r="D19" t="s">
        <v>85</v>
      </c>
      <c r="E19" t="s">
        <v>72</v>
      </c>
      <c r="F19" t="s">
        <v>29</v>
      </c>
      <c r="G19" t="s">
        <v>20</v>
      </c>
      <c r="H19" s="2">
        <v>211342708077</v>
      </c>
      <c r="I19" t="s">
        <v>21</v>
      </c>
      <c r="J19" t="s">
        <v>21</v>
      </c>
      <c r="K19" t="s">
        <v>21</v>
      </c>
      <c r="L19" t="str">
        <f>VLOOKUP(H:H,'[1]VEPL-DEC-24'!$D:$AS,42,0)</f>
        <v>P</v>
      </c>
      <c r="M19">
        <f>VLOOKUP(H:H,'[1]VEPL-DEC-24'!$D:$AT,43,0)</f>
        <v>0</v>
      </c>
      <c r="N19" t="s">
        <v>21</v>
      </c>
      <c r="P19">
        <f>VLOOKUP(H:H,'[1]VEPL-DEC-24'!$D:$H,5,0)</f>
        <v>10009</v>
      </c>
    </row>
    <row r="20" spans="1:16" x14ac:dyDescent="0.3">
      <c r="A20">
        <v>19</v>
      </c>
      <c r="B20" t="s">
        <v>16</v>
      </c>
      <c r="C20" t="s">
        <v>86</v>
      </c>
      <c r="D20" t="s">
        <v>87</v>
      </c>
      <c r="E20" t="s">
        <v>88</v>
      </c>
      <c r="F20" t="s">
        <v>89</v>
      </c>
      <c r="G20" t="s">
        <v>38</v>
      </c>
      <c r="H20" s="2">
        <v>496337082468</v>
      </c>
      <c r="I20" t="s">
        <v>21</v>
      </c>
      <c r="J20" t="s">
        <v>21</v>
      </c>
      <c r="K20" t="s">
        <v>21</v>
      </c>
      <c r="L20" t="str">
        <f>VLOOKUP(H:H,'[1]VEPL-DEC-24'!$D:$AS,42,0)</f>
        <v>P</v>
      </c>
      <c r="M20">
        <f>VLOOKUP(H:H,'[1]VEPL-DEC-24'!$D:$AT,43,0)</f>
        <v>11</v>
      </c>
      <c r="N20" t="s">
        <v>21</v>
      </c>
      <c r="P20">
        <f>VLOOKUP(H:H,'[1]VEPL-DEC-24'!$D:$H,5,0)</f>
        <v>10009</v>
      </c>
    </row>
    <row r="21" spans="1:16" x14ac:dyDescent="0.3">
      <c r="A21">
        <v>20</v>
      </c>
      <c r="B21" t="s">
        <v>16</v>
      </c>
      <c r="C21" t="s">
        <v>90</v>
      </c>
      <c r="D21" t="s">
        <v>91</v>
      </c>
      <c r="E21" t="s">
        <v>92</v>
      </c>
      <c r="F21" t="s">
        <v>93</v>
      </c>
      <c r="G21" t="s">
        <v>38</v>
      </c>
      <c r="H21" s="2">
        <v>392384982055</v>
      </c>
      <c r="I21" t="s">
        <v>21</v>
      </c>
      <c r="J21" t="s">
        <v>21</v>
      </c>
      <c r="K21" t="s">
        <v>21</v>
      </c>
      <c r="L21" t="str">
        <f>VLOOKUP(H:H,'[1]VEPL-DEC-24'!$D:$AS,42,0)</f>
        <v>P</v>
      </c>
      <c r="M21">
        <f>VLOOKUP(H:H,'[1]VEPL-DEC-24'!$D:$AT,43,0)</f>
        <v>0</v>
      </c>
      <c r="N21" t="s">
        <v>21</v>
      </c>
      <c r="P21">
        <f>VLOOKUP(H:H,'[1]VEPL-DEC-24'!$D:$H,5,0)</f>
        <v>10002</v>
      </c>
    </row>
    <row r="22" spans="1:16" x14ac:dyDescent="0.3">
      <c r="A22">
        <v>21</v>
      </c>
      <c r="B22" t="s">
        <v>16</v>
      </c>
      <c r="C22" t="s">
        <v>94</v>
      </c>
      <c r="D22" t="s">
        <v>95</v>
      </c>
      <c r="E22" t="s">
        <v>96</v>
      </c>
      <c r="F22" t="s">
        <v>64</v>
      </c>
      <c r="G22" t="s">
        <v>20</v>
      </c>
      <c r="H22" s="2">
        <v>253143978131</v>
      </c>
      <c r="I22" t="s">
        <v>21</v>
      </c>
      <c r="J22" t="s">
        <v>21</v>
      </c>
      <c r="K22" t="s">
        <v>21</v>
      </c>
      <c r="L22" t="str">
        <f>VLOOKUP(H:H,'[1]VEPL-DEC-24'!$D:$AS,42,0)</f>
        <v>P</v>
      </c>
      <c r="M22">
        <f>VLOOKUP(H:H,'[1]VEPL-DEC-24'!$D:$AT,43,0)</f>
        <v>0</v>
      </c>
      <c r="N22" t="s">
        <v>21</v>
      </c>
      <c r="P22">
        <f>VLOOKUP(H:H,'[1]VEPL-DEC-24'!$D:$H,5,0)</f>
        <v>10002</v>
      </c>
    </row>
    <row r="23" spans="1:16" x14ac:dyDescent="0.3">
      <c r="A23">
        <v>22</v>
      </c>
      <c r="B23" t="s">
        <v>16</v>
      </c>
      <c r="C23" t="s">
        <v>97</v>
      </c>
      <c r="D23" t="s">
        <v>98</v>
      </c>
      <c r="E23" t="s">
        <v>99</v>
      </c>
      <c r="F23" t="s">
        <v>42</v>
      </c>
      <c r="G23" t="s">
        <v>38</v>
      </c>
      <c r="H23" s="2">
        <v>712136447383</v>
      </c>
      <c r="I23" t="s">
        <v>21</v>
      </c>
      <c r="J23" t="s">
        <v>21</v>
      </c>
      <c r="K23" t="s">
        <v>21</v>
      </c>
      <c r="L23" t="str">
        <f>VLOOKUP(H:H,'[1]VEPL-DEC-24'!$D:$AS,42,0)</f>
        <v>P</v>
      </c>
      <c r="M23">
        <f>VLOOKUP(H:H,'[1]VEPL-DEC-24'!$D:$AT,43,0)</f>
        <v>0</v>
      </c>
      <c r="N23" t="s">
        <v>21</v>
      </c>
      <c r="P23">
        <f>VLOOKUP(H:H,'[1]VEPL-DEC-24'!$D:$H,5,0)</f>
        <v>10003</v>
      </c>
    </row>
    <row r="24" spans="1:16" x14ac:dyDescent="0.3">
      <c r="A24">
        <v>23</v>
      </c>
      <c r="B24" t="s">
        <v>16</v>
      </c>
      <c r="C24" t="s">
        <v>100</v>
      </c>
      <c r="D24" t="s">
        <v>101</v>
      </c>
      <c r="E24" t="s">
        <v>102</v>
      </c>
      <c r="F24" t="s">
        <v>71</v>
      </c>
      <c r="G24" t="s">
        <v>38</v>
      </c>
      <c r="H24" s="2">
        <v>370640873881</v>
      </c>
      <c r="I24" t="s">
        <v>21</v>
      </c>
      <c r="J24" t="s">
        <v>21</v>
      </c>
      <c r="K24" t="s">
        <v>21</v>
      </c>
      <c r="L24" t="str">
        <f>VLOOKUP(H:H,'[1]VEPL-DEC-24'!$D:$AS,42,0)</f>
        <v>P</v>
      </c>
      <c r="M24">
        <f>VLOOKUP(H:H,'[1]VEPL-DEC-24'!$D:$AT,43,0)</f>
        <v>11</v>
      </c>
      <c r="N24" t="s">
        <v>21</v>
      </c>
      <c r="P24">
        <f>VLOOKUP(H:H,'[1]VEPL-DEC-24'!$D:$H,5,0)</f>
        <v>10002</v>
      </c>
    </row>
    <row r="25" spans="1:16" hidden="1" x14ac:dyDescent="0.3">
      <c r="A25">
        <v>24</v>
      </c>
      <c r="B25" t="s">
        <v>16</v>
      </c>
      <c r="C25" t="s">
        <v>103</v>
      </c>
      <c r="D25" t="s">
        <v>104</v>
      </c>
      <c r="E25" t="s">
        <v>105</v>
      </c>
      <c r="F25" t="s">
        <v>71</v>
      </c>
      <c r="G25" t="s">
        <v>38</v>
      </c>
      <c r="H25" s="2">
        <v>264366199502</v>
      </c>
      <c r="I25" t="s">
        <v>21</v>
      </c>
      <c r="J25" t="s">
        <v>21</v>
      </c>
      <c r="K25" t="s">
        <v>21</v>
      </c>
      <c r="L25" t="e">
        <f>VLOOKUP(H:H,'[1]VEPL-DEC-24'!$D:$AS,42,0)</f>
        <v>#N/A</v>
      </c>
      <c r="M25" t="e">
        <f>VLOOKUP(H:H,'[1]VEPL-DEC-24'!$D:$AT,43,0)</f>
        <v>#N/A</v>
      </c>
      <c r="N25" t="s">
        <v>21</v>
      </c>
      <c r="P25" t="e">
        <f>VLOOKUP(H:H,'[1]VEPL-DEC-24'!$D:$H,5,0)</f>
        <v>#N/A</v>
      </c>
    </row>
    <row r="26" spans="1:16" x14ac:dyDescent="0.3">
      <c r="A26">
        <v>25</v>
      </c>
      <c r="B26" t="s">
        <v>16</v>
      </c>
      <c r="C26" t="s">
        <v>106</v>
      </c>
      <c r="D26" t="s">
        <v>107</v>
      </c>
      <c r="E26" t="s">
        <v>108</v>
      </c>
      <c r="F26" t="s">
        <v>37</v>
      </c>
      <c r="G26" t="s">
        <v>38</v>
      </c>
      <c r="H26" s="2">
        <v>918381147237</v>
      </c>
      <c r="I26" t="s">
        <v>21</v>
      </c>
      <c r="J26" t="s">
        <v>21</v>
      </c>
      <c r="K26" t="s">
        <v>21</v>
      </c>
      <c r="L26" t="str">
        <f>VLOOKUP(H:H,'[1]VEPL-DEC-24'!$D:$AS,42,0)</f>
        <v>P</v>
      </c>
      <c r="M26">
        <f>VLOOKUP(H:H,'[1]VEPL-DEC-24'!$D:$AT,43,0)</f>
        <v>0</v>
      </c>
      <c r="N26" t="s">
        <v>21</v>
      </c>
      <c r="P26">
        <f>VLOOKUP(H:H,'[1]VEPL-DEC-24'!$D:$H,5,0)</f>
        <v>10003</v>
      </c>
    </row>
    <row r="27" spans="1:16" hidden="1" x14ac:dyDescent="0.3">
      <c r="A27">
        <v>26</v>
      </c>
      <c r="B27" t="s">
        <v>16</v>
      </c>
      <c r="C27" t="s">
        <v>109</v>
      </c>
      <c r="D27" t="s">
        <v>110</v>
      </c>
      <c r="E27" t="s">
        <v>111</v>
      </c>
      <c r="F27" t="s">
        <v>71</v>
      </c>
      <c r="G27" t="s">
        <v>38</v>
      </c>
      <c r="H27" s="2">
        <v>874367192181</v>
      </c>
      <c r="I27" t="s">
        <v>21</v>
      </c>
      <c r="J27" t="s">
        <v>21</v>
      </c>
      <c r="K27" t="s">
        <v>21</v>
      </c>
      <c r="L27" t="str">
        <f>VLOOKUP(H:H,'[1]VEPL-DEC-24'!$D:$AS,42,0)</f>
        <v>o</v>
      </c>
      <c r="M27">
        <f>VLOOKUP(H:H,'[1]VEPL-DEC-24'!$D:$AT,43,0)</f>
        <v>0</v>
      </c>
      <c r="N27" t="s">
        <v>21</v>
      </c>
      <c r="P27">
        <f>VLOOKUP(H:H,'[1]VEPL-DEC-24'!$D:$H,5,0)</f>
        <v>10008</v>
      </c>
    </row>
    <row r="28" spans="1:16" hidden="1" x14ac:dyDescent="0.3">
      <c r="A28">
        <v>27</v>
      </c>
      <c r="B28" t="s">
        <v>16</v>
      </c>
      <c r="C28" t="s">
        <v>112</v>
      </c>
      <c r="D28" t="s">
        <v>113</v>
      </c>
      <c r="E28" t="s">
        <v>114</v>
      </c>
      <c r="F28" t="s">
        <v>83</v>
      </c>
      <c r="G28" t="s">
        <v>38</v>
      </c>
      <c r="H28" s="2">
        <v>812370470458</v>
      </c>
      <c r="I28" t="s">
        <v>21</v>
      </c>
      <c r="J28" t="s">
        <v>21</v>
      </c>
      <c r="K28" t="s">
        <v>21</v>
      </c>
      <c r="L28" t="e">
        <f>VLOOKUP(H:H,'[1]VEPL-DEC-24'!$D:$AS,42,0)</f>
        <v>#N/A</v>
      </c>
      <c r="M28" t="e">
        <f>VLOOKUP(H:H,'[1]VEPL-DEC-24'!$D:$AT,43,0)</f>
        <v>#N/A</v>
      </c>
      <c r="N28" t="s">
        <v>21</v>
      </c>
      <c r="P28" t="e">
        <f>VLOOKUP(H:H,'[1]VEPL-DEC-24'!$D:$H,5,0)</f>
        <v>#N/A</v>
      </c>
    </row>
    <row r="29" spans="1:16" hidden="1" x14ac:dyDescent="0.3">
      <c r="A29">
        <v>28</v>
      </c>
      <c r="B29" t="s">
        <v>16</v>
      </c>
      <c r="C29" t="s">
        <v>115</v>
      </c>
      <c r="D29" t="s">
        <v>116</v>
      </c>
      <c r="E29" t="s">
        <v>117</v>
      </c>
      <c r="F29" t="s">
        <v>83</v>
      </c>
      <c r="G29" t="s">
        <v>38</v>
      </c>
      <c r="H29" s="2">
        <v>545646252763</v>
      </c>
      <c r="I29" t="s">
        <v>21</v>
      </c>
      <c r="J29" t="s">
        <v>21</v>
      </c>
      <c r="K29" t="s">
        <v>21</v>
      </c>
      <c r="L29" t="e">
        <f>VLOOKUP(H:H,'[1]VEPL-DEC-24'!$D:$AS,42,0)</f>
        <v>#N/A</v>
      </c>
      <c r="M29" t="e">
        <f>VLOOKUP(H:H,'[1]VEPL-DEC-24'!$D:$AT,43,0)</f>
        <v>#N/A</v>
      </c>
      <c r="N29" t="s">
        <v>21</v>
      </c>
      <c r="P29" t="e">
        <f>VLOOKUP(H:H,'[1]VEPL-DEC-24'!$D:$H,5,0)</f>
        <v>#N/A</v>
      </c>
    </row>
    <row r="30" spans="1:16" hidden="1" x14ac:dyDescent="0.3">
      <c r="A30">
        <v>29</v>
      </c>
      <c r="B30" t="s">
        <v>16</v>
      </c>
      <c r="C30" t="s">
        <v>118</v>
      </c>
      <c r="D30" t="s">
        <v>119</v>
      </c>
      <c r="E30" t="s">
        <v>120</v>
      </c>
      <c r="F30" t="s">
        <v>93</v>
      </c>
      <c r="G30" t="s">
        <v>38</v>
      </c>
      <c r="H30" s="2">
        <v>739160942230</v>
      </c>
      <c r="I30" t="s">
        <v>21</v>
      </c>
      <c r="J30" t="s">
        <v>21</v>
      </c>
      <c r="K30" t="s">
        <v>21</v>
      </c>
      <c r="L30" t="e">
        <f>VLOOKUP(H:H,'[1]VEPL-DEC-24'!$D:$AS,42,0)</f>
        <v>#N/A</v>
      </c>
      <c r="M30" t="e">
        <f>VLOOKUP(H:H,'[1]VEPL-DEC-24'!$D:$AT,43,0)</f>
        <v>#N/A</v>
      </c>
      <c r="N30" t="s">
        <v>21</v>
      </c>
      <c r="P30" t="e">
        <f>VLOOKUP(H:H,'[1]VEPL-DEC-24'!$D:$H,5,0)</f>
        <v>#N/A</v>
      </c>
    </row>
    <row r="31" spans="1:16" hidden="1" x14ac:dyDescent="0.3">
      <c r="A31">
        <v>30</v>
      </c>
      <c r="B31" t="s">
        <v>16</v>
      </c>
      <c r="C31" t="s">
        <v>121</v>
      </c>
      <c r="D31" t="s">
        <v>122</v>
      </c>
      <c r="E31" t="s">
        <v>123</v>
      </c>
      <c r="F31" t="s">
        <v>37</v>
      </c>
      <c r="G31" t="s">
        <v>38</v>
      </c>
      <c r="H31" s="2">
        <v>777479436395</v>
      </c>
      <c r="I31" t="s">
        <v>21</v>
      </c>
      <c r="J31" t="s">
        <v>21</v>
      </c>
      <c r="K31" t="s">
        <v>21</v>
      </c>
      <c r="L31" t="e">
        <f>VLOOKUP(H:H,'[1]VEPL-DEC-24'!$D:$AS,42,0)</f>
        <v>#N/A</v>
      </c>
      <c r="M31" t="e">
        <f>VLOOKUP(H:H,'[1]VEPL-DEC-24'!$D:$AT,43,0)</f>
        <v>#N/A</v>
      </c>
      <c r="N31" t="s">
        <v>21</v>
      </c>
      <c r="P31" t="e">
        <f>VLOOKUP(H:H,'[1]VEPL-DEC-24'!$D:$H,5,0)</f>
        <v>#N/A</v>
      </c>
    </row>
    <row r="32" spans="1:16" x14ac:dyDescent="0.3">
      <c r="A32">
        <v>31</v>
      </c>
      <c r="B32" t="s">
        <v>16</v>
      </c>
      <c r="C32" t="s">
        <v>124</v>
      </c>
      <c r="D32" t="s">
        <v>125</v>
      </c>
      <c r="E32" t="s">
        <v>126</v>
      </c>
      <c r="F32" t="s">
        <v>127</v>
      </c>
      <c r="G32" t="s">
        <v>38</v>
      </c>
      <c r="H32" s="2">
        <v>879222377701</v>
      </c>
      <c r="I32" t="s">
        <v>21</v>
      </c>
      <c r="J32" t="s">
        <v>21</v>
      </c>
      <c r="K32" t="s">
        <v>21</v>
      </c>
      <c r="L32" t="str">
        <f>VLOOKUP(H:H,'[1]VEPL-DEC-24'!$D:$AS,42,0)</f>
        <v>P</v>
      </c>
      <c r="M32">
        <f>VLOOKUP(H:H,'[1]VEPL-DEC-24'!$D:$AT,43,0)</f>
        <v>0</v>
      </c>
      <c r="N32" t="s">
        <v>21</v>
      </c>
      <c r="P32">
        <f>VLOOKUP(H:H,'[1]VEPL-DEC-24'!$D:$H,5,0)</f>
        <v>10006</v>
      </c>
    </row>
    <row r="33" spans="1:16" x14ac:dyDescent="0.3">
      <c r="A33">
        <v>32</v>
      </c>
      <c r="B33" t="s">
        <v>16</v>
      </c>
      <c r="C33" t="s">
        <v>128</v>
      </c>
      <c r="D33" t="s">
        <v>129</v>
      </c>
      <c r="E33" t="s">
        <v>130</v>
      </c>
      <c r="F33" t="s">
        <v>64</v>
      </c>
      <c r="G33" t="s">
        <v>20</v>
      </c>
      <c r="H33" s="2">
        <v>603127674951</v>
      </c>
      <c r="I33" t="s">
        <v>21</v>
      </c>
      <c r="J33" t="s">
        <v>21</v>
      </c>
      <c r="K33" t="s">
        <v>21</v>
      </c>
      <c r="L33" t="str">
        <f>VLOOKUP(H:H,'[1]VEPL-DEC-24'!$D:$AS,42,0)</f>
        <v>P</v>
      </c>
      <c r="M33">
        <f>VLOOKUP(H:H,'[1]VEPL-DEC-24'!$D:$AT,43,0)</f>
        <v>0</v>
      </c>
      <c r="N33" t="s">
        <v>21</v>
      </c>
      <c r="P33">
        <f>VLOOKUP(H:H,'[1]VEPL-DEC-24'!$D:$H,5,0)</f>
        <v>10009</v>
      </c>
    </row>
    <row r="34" spans="1:16" x14ac:dyDescent="0.3">
      <c r="A34">
        <v>33</v>
      </c>
      <c r="B34" t="s">
        <v>16</v>
      </c>
      <c r="C34" t="s">
        <v>131</v>
      </c>
      <c r="D34" t="s">
        <v>132</v>
      </c>
      <c r="E34" t="s">
        <v>133</v>
      </c>
      <c r="F34" t="s">
        <v>56</v>
      </c>
      <c r="G34" t="s">
        <v>20</v>
      </c>
      <c r="H34" s="2">
        <v>663955584797</v>
      </c>
      <c r="I34" t="s">
        <v>21</v>
      </c>
      <c r="J34" t="s">
        <v>21</v>
      </c>
      <c r="K34" t="s">
        <v>21</v>
      </c>
      <c r="L34" t="str">
        <f>VLOOKUP(H:H,'[1]VEPL-DEC-24'!$D:$AS,42,0)</f>
        <v>P</v>
      </c>
      <c r="M34">
        <f>VLOOKUP(H:H,'[1]VEPL-DEC-24'!$D:$AT,43,0)</f>
        <v>0</v>
      </c>
      <c r="N34" t="s">
        <v>21</v>
      </c>
      <c r="P34">
        <f>VLOOKUP(H:H,'[1]VEPL-DEC-24'!$D:$H,5,0)</f>
        <v>10003</v>
      </c>
    </row>
    <row r="35" spans="1:16" x14ac:dyDescent="0.3">
      <c r="A35">
        <v>34</v>
      </c>
      <c r="B35" t="s">
        <v>16</v>
      </c>
      <c r="C35" t="s">
        <v>134</v>
      </c>
      <c r="D35" t="s">
        <v>135</v>
      </c>
      <c r="E35" t="s">
        <v>136</v>
      </c>
      <c r="F35" t="s">
        <v>137</v>
      </c>
      <c r="G35" t="s">
        <v>38</v>
      </c>
      <c r="H35" s="2">
        <v>815610013900</v>
      </c>
      <c r="I35" t="s">
        <v>21</v>
      </c>
      <c r="J35" t="s">
        <v>21</v>
      </c>
      <c r="K35" t="s">
        <v>21</v>
      </c>
      <c r="L35" t="str">
        <f>VLOOKUP(H:H,'[1]VEPL-DEC-24'!$D:$AS,42,0)</f>
        <v>P</v>
      </c>
      <c r="M35">
        <f>VLOOKUP(H:H,'[1]VEPL-DEC-24'!$D:$AT,43,0)</f>
        <v>3</v>
      </c>
      <c r="N35" t="s">
        <v>21</v>
      </c>
      <c r="P35">
        <f>VLOOKUP(H:H,'[1]VEPL-DEC-24'!$D:$H,5,0)</f>
        <v>10006</v>
      </c>
    </row>
    <row r="36" spans="1:16" hidden="1" x14ac:dyDescent="0.3">
      <c r="A36">
        <v>35</v>
      </c>
      <c r="B36" t="s">
        <v>16</v>
      </c>
      <c r="C36" t="s">
        <v>36</v>
      </c>
      <c r="D36" t="s">
        <v>138</v>
      </c>
      <c r="E36" t="s">
        <v>139</v>
      </c>
      <c r="F36" t="s">
        <v>60</v>
      </c>
      <c r="G36" t="s">
        <v>38</v>
      </c>
      <c r="H36" s="2">
        <v>512400312105</v>
      </c>
      <c r="I36" t="s">
        <v>21</v>
      </c>
      <c r="J36" t="s">
        <v>21</v>
      </c>
      <c r="K36" t="s">
        <v>21</v>
      </c>
      <c r="L36" t="e">
        <f>VLOOKUP(H:H,'[1]VEPL-DEC-24'!$D:$AS,42,0)</f>
        <v>#N/A</v>
      </c>
      <c r="M36" t="e">
        <f>VLOOKUP(H:H,'[1]VEPL-DEC-24'!$D:$AT,43,0)</f>
        <v>#N/A</v>
      </c>
      <c r="N36" t="s">
        <v>21</v>
      </c>
      <c r="P36" t="e">
        <f>VLOOKUP(H:H,'[1]VEPL-DEC-24'!$D:$H,5,0)</f>
        <v>#N/A</v>
      </c>
    </row>
    <row r="37" spans="1:16" x14ac:dyDescent="0.3">
      <c r="A37">
        <v>36</v>
      </c>
      <c r="B37" t="s">
        <v>16</v>
      </c>
      <c r="C37" t="s">
        <v>140</v>
      </c>
      <c r="D37" t="s">
        <v>141</v>
      </c>
      <c r="E37" t="s">
        <v>142</v>
      </c>
      <c r="F37" t="s">
        <v>37</v>
      </c>
      <c r="G37" t="s">
        <v>38</v>
      </c>
      <c r="H37" s="2">
        <v>883576310573</v>
      </c>
      <c r="I37" t="s">
        <v>21</v>
      </c>
      <c r="J37" t="s">
        <v>21</v>
      </c>
      <c r="K37" t="s">
        <v>21</v>
      </c>
      <c r="L37" t="str">
        <f>VLOOKUP(H:H,'[1]VEPL-DEC-24'!$D:$AS,42,0)</f>
        <v>P</v>
      </c>
      <c r="M37">
        <f>VLOOKUP(H:H,'[1]VEPL-DEC-24'!$D:$AT,43,0)</f>
        <v>0</v>
      </c>
      <c r="N37" t="s">
        <v>21</v>
      </c>
      <c r="P37">
        <f>VLOOKUP(H:H,'[1]VEPL-DEC-24'!$D:$H,5,0)</f>
        <v>10002</v>
      </c>
    </row>
    <row r="38" spans="1:16" x14ac:dyDescent="0.3">
      <c r="A38">
        <v>37</v>
      </c>
      <c r="B38" t="s">
        <v>16</v>
      </c>
      <c r="C38" t="s">
        <v>143</v>
      </c>
      <c r="D38" t="s">
        <v>144</v>
      </c>
      <c r="E38" t="s">
        <v>145</v>
      </c>
      <c r="F38" t="s">
        <v>64</v>
      </c>
      <c r="G38" t="s">
        <v>20</v>
      </c>
      <c r="H38" s="2">
        <v>577578197006</v>
      </c>
      <c r="I38" t="s">
        <v>21</v>
      </c>
      <c r="J38" t="s">
        <v>21</v>
      </c>
      <c r="K38" t="s">
        <v>21</v>
      </c>
      <c r="L38" t="str">
        <f>VLOOKUP(H:H,'[1]VEPL-DEC-24'!$D:$AS,42,0)</f>
        <v>P</v>
      </c>
      <c r="M38">
        <f>VLOOKUP(H:H,'[1]VEPL-DEC-24'!$D:$AT,43,0)</f>
        <v>0</v>
      </c>
      <c r="N38" t="s">
        <v>21</v>
      </c>
      <c r="P38">
        <f>VLOOKUP(H:H,'[1]VEPL-DEC-24'!$D:$H,5,0)</f>
        <v>10009</v>
      </c>
    </row>
    <row r="39" spans="1:16" hidden="1" x14ac:dyDescent="0.3">
      <c r="A39">
        <v>38</v>
      </c>
      <c r="B39" t="s">
        <v>16</v>
      </c>
      <c r="C39" t="s">
        <v>146</v>
      </c>
      <c r="D39" t="s">
        <v>147</v>
      </c>
      <c r="E39" t="s">
        <v>148</v>
      </c>
      <c r="F39" t="s">
        <v>60</v>
      </c>
      <c r="G39" t="s">
        <v>38</v>
      </c>
      <c r="H39" s="2">
        <v>925609135637</v>
      </c>
      <c r="I39" t="s">
        <v>21</v>
      </c>
      <c r="J39" t="s">
        <v>21</v>
      </c>
      <c r="K39" t="s">
        <v>21</v>
      </c>
      <c r="L39" t="str">
        <f>VLOOKUP(H:H,'[1]VEPL-DEC-24'!$D:$AS,42,0)</f>
        <v>o</v>
      </c>
      <c r="M39">
        <f>VLOOKUP(H:H,'[1]VEPL-DEC-24'!$D:$AT,43,0)</f>
        <v>0</v>
      </c>
      <c r="N39" t="s">
        <v>21</v>
      </c>
      <c r="P39">
        <f>VLOOKUP(H:H,'[1]VEPL-DEC-24'!$D:$H,5,0)</f>
        <v>10002</v>
      </c>
    </row>
    <row r="40" spans="1:16" x14ac:dyDescent="0.3">
      <c r="A40">
        <v>39</v>
      </c>
      <c r="B40" t="s">
        <v>16</v>
      </c>
      <c r="C40" t="s">
        <v>149</v>
      </c>
      <c r="D40" t="s">
        <v>150</v>
      </c>
      <c r="E40" t="s">
        <v>151</v>
      </c>
      <c r="F40" t="s">
        <v>152</v>
      </c>
      <c r="G40" t="s">
        <v>38</v>
      </c>
      <c r="H40" s="2">
        <v>787430109863</v>
      </c>
      <c r="I40" t="s">
        <v>21</v>
      </c>
      <c r="J40" t="s">
        <v>21</v>
      </c>
      <c r="K40" t="s">
        <v>21</v>
      </c>
      <c r="L40" t="str">
        <f>VLOOKUP(H:H,'[1]VEPL-DEC-24'!$D:$AS,42,0)</f>
        <v>P</v>
      </c>
      <c r="M40">
        <f>VLOOKUP(H:H,'[1]VEPL-DEC-24'!$D:$AT,43,0)</f>
        <v>0</v>
      </c>
      <c r="N40" t="s">
        <v>21</v>
      </c>
      <c r="P40">
        <f>VLOOKUP(H:H,'[1]VEPL-DEC-24'!$D:$H,5,0)</f>
        <v>10002</v>
      </c>
    </row>
    <row r="41" spans="1:16" hidden="1" x14ac:dyDescent="0.3">
      <c r="A41">
        <v>40</v>
      </c>
      <c r="B41" t="s">
        <v>16</v>
      </c>
      <c r="C41" t="s">
        <v>153</v>
      </c>
      <c r="D41" t="s">
        <v>154</v>
      </c>
      <c r="E41" t="s">
        <v>155</v>
      </c>
      <c r="F41" t="s">
        <v>156</v>
      </c>
      <c r="G41" t="s">
        <v>38</v>
      </c>
      <c r="H41" s="2">
        <v>982165052944</v>
      </c>
      <c r="I41" t="s">
        <v>21</v>
      </c>
      <c r="J41" t="s">
        <v>21</v>
      </c>
      <c r="K41" t="s">
        <v>21</v>
      </c>
      <c r="L41" t="e">
        <f>VLOOKUP(H:H,'[1]VEPL-DEC-24'!$D:$AS,42,0)</f>
        <v>#N/A</v>
      </c>
      <c r="M41" t="e">
        <f>VLOOKUP(H:H,'[1]VEPL-DEC-24'!$D:$AT,43,0)</f>
        <v>#N/A</v>
      </c>
      <c r="N41" t="s">
        <v>21</v>
      </c>
      <c r="P41" t="e">
        <f>VLOOKUP(H:H,'[1]VEPL-DEC-24'!$D:$H,5,0)</f>
        <v>#N/A</v>
      </c>
    </row>
    <row r="42" spans="1:16" hidden="1" x14ac:dyDescent="0.3">
      <c r="A42">
        <v>41</v>
      </c>
      <c r="B42" t="s">
        <v>16</v>
      </c>
      <c r="C42" t="s">
        <v>157</v>
      </c>
      <c r="D42" t="s">
        <v>158</v>
      </c>
      <c r="E42" t="s">
        <v>159</v>
      </c>
      <c r="F42" t="s">
        <v>71</v>
      </c>
      <c r="G42" t="s">
        <v>38</v>
      </c>
      <c r="H42" s="2">
        <v>940858029091</v>
      </c>
      <c r="I42" t="s">
        <v>21</v>
      </c>
      <c r="J42" t="s">
        <v>21</v>
      </c>
      <c r="K42" t="s">
        <v>21</v>
      </c>
      <c r="L42" t="e">
        <f>VLOOKUP(H:H,'[1]VEPL-DEC-24'!$D:$AS,42,0)</f>
        <v>#N/A</v>
      </c>
      <c r="M42" t="e">
        <f>VLOOKUP(H:H,'[1]VEPL-DEC-24'!$D:$AT,43,0)</f>
        <v>#N/A</v>
      </c>
      <c r="N42" t="s">
        <v>21</v>
      </c>
      <c r="P42" t="e">
        <f>VLOOKUP(H:H,'[1]VEPL-DEC-24'!$D:$H,5,0)</f>
        <v>#N/A</v>
      </c>
    </row>
    <row r="43" spans="1:16" hidden="1" x14ac:dyDescent="0.3">
      <c r="A43">
        <v>42</v>
      </c>
      <c r="B43" t="s">
        <v>16</v>
      </c>
      <c r="C43" t="s">
        <v>160</v>
      </c>
      <c r="D43" t="s">
        <v>161</v>
      </c>
      <c r="E43" t="s">
        <v>162</v>
      </c>
      <c r="F43" t="s">
        <v>60</v>
      </c>
      <c r="G43" t="s">
        <v>38</v>
      </c>
      <c r="H43" s="2">
        <v>206302268103</v>
      </c>
      <c r="I43" t="s">
        <v>21</v>
      </c>
      <c r="J43" t="s">
        <v>21</v>
      </c>
      <c r="K43" t="s">
        <v>21</v>
      </c>
      <c r="L43" t="e">
        <f>VLOOKUP(H:H,'[1]VEPL-DEC-24'!$D:$AS,42,0)</f>
        <v>#N/A</v>
      </c>
      <c r="M43" t="e">
        <f>VLOOKUP(H:H,'[1]VEPL-DEC-24'!$D:$AT,43,0)</f>
        <v>#N/A</v>
      </c>
      <c r="N43" t="s">
        <v>21</v>
      </c>
      <c r="P43" t="e">
        <f>VLOOKUP(H:H,'[1]VEPL-DEC-24'!$D:$H,5,0)</f>
        <v>#N/A</v>
      </c>
    </row>
    <row r="44" spans="1:16" x14ac:dyDescent="0.3">
      <c r="A44">
        <v>43</v>
      </c>
      <c r="B44" t="s">
        <v>16</v>
      </c>
      <c r="C44" t="s">
        <v>163</v>
      </c>
      <c r="D44" t="s">
        <v>164</v>
      </c>
      <c r="E44" t="s">
        <v>165</v>
      </c>
      <c r="F44" t="s">
        <v>37</v>
      </c>
      <c r="G44" t="s">
        <v>38</v>
      </c>
      <c r="H44" s="2">
        <v>279306340076</v>
      </c>
      <c r="I44" t="s">
        <v>21</v>
      </c>
      <c r="J44" t="s">
        <v>21</v>
      </c>
      <c r="K44" t="s">
        <v>21</v>
      </c>
      <c r="L44" t="str">
        <f>VLOOKUP(H:H,'[1]VEPL-DEC-24'!$D:$AS,42,0)</f>
        <v>P</v>
      </c>
      <c r="M44">
        <f>VLOOKUP(H:H,'[1]VEPL-DEC-24'!$D:$AT,43,0)</f>
        <v>0</v>
      </c>
      <c r="N44" t="s">
        <v>21</v>
      </c>
      <c r="P44">
        <f>VLOOKUP(H:H,'[1]VEPL-DEC-24'!$D:$H,5,0)</f>
        <v>10002</v>
      </c>
    </row>
    <row r="45" spans="1:16" x14ac:dyDescent="0.3">
      <c r="A45">
        <v>44</v>
      </c>
      <c r="B45" t="s">
        <v>16</v>
      </c>
      <c r="C45" t="s">
        <v>166</v>
      </c>
      <c r="D45" t="s">
        <v>167</v>
      </c>
      <c r="E45" t="s">
        <v>168</v>
      </c>
      <c r="F45" t="s">
        <v>37</v>
      </c>
      <c r="G45" t="s">
        <v>38</v>
      </c>
      <c r="H45" s="2">
        <v>937496959565</v>
      </c>
      <c r="I45" t="s">
        <v>21</v>
      </c>
      <c r="J45" t="s">
        <v>21</v>
      </c>
      <c r="K45" t="s">
        <v>21</v>
      </c>
      <c r="L45" t="str">
        <f>VLOOKUP(H:H,'[1]VEPL-DEC-24'!$D:$AS,42,0)</f>
        <v>P</v>
      </c>
      <c r="M45">
        <f>VLOOKUP(H:H,'[1]VEPL-DEC-24'!$D:$AT,43,0)</f>
        <v>11</v>
      </c>
      <c r="N45" t="s">
        <v>21</v>
      </c>
      <c r="P45">
        <f>VLOOKUP(H:H,'[1]VEPL-DEC-24'!$D:$H,5,0)</f>
        <v>10003</v>
      </c>
    </row>
    <row r="46" spans="1:16" hidden="1" x14ac:dyDescent="0.3">
      <c r="A46">
        <v>45</v>
      </c>
      <c r="B46" t="s">
        <v>16</v>
      </c>
      <c r="C46" t="s">
        <v>169</v>
      </c>
      <c r="D46" t="s">
        <v>170</v>
      </c>
      <c r="E46" t="s">
        <v>171</v>
      </c>
      <c r="F46" t="s">
        <v>37</v>
      </c>
      <c r="G46" t="s">
        <v>38</v>
      </c>
      <c r="H46" s="2">
        <v>774897487986</v>
      </c>
      <c r="I46" t="s">
        <v>21</v>
      </c>
      <c r="J46" t="s">
        <v>21</v>
      </c>
      <c r="K46" t="s">
        <v>21</v>
      </c>
      <c r="L46" t="str">
        <f>VLOOKUP(H:H,'[1]VEPL-DEC-24'!$D:$AS,42,0)</f>
        <v>o</v>
      </c>
      <c r="M46">
        <f>VLOOKUP(H:H,'[1]VEPL-DEC-24'!$D:$AT,43,0)</f>
        <v>0</v>
      </c>
      <c r="N46" t="s">
        <v>21</v>
      </c>
      <c r="P46">
        <f>VLOOKUP(H:H,'[1]VEPL-DEC-24'!$D:$H,5,0)</f>
        <v>10006</v>
      </c>
    </row>
    <row r="47" spans="1:16" hidden="1" x14ac:dyDescent="0.3">
      <c r="A47">
        <v>46</v>
      </c>
      <c r="B47" t="s">
        <v>16</v>
      </c>
      <c r="C47" t="s">
        <v>172</v>
      </c>
      <c r="D47" t="s">
        <v>173</v>
      </c>
      <c r="E47" t="s">
        <v>174</v>
      </c>
      <c r="F47" t="s">
        <v>71</v>
      </c>
      <c r="G47" t="s">
        <v>38</v>
      </c>
      <c r="H47" s="2">
        <v>689082965995</v>
      </c>
      <c r="I47" t="s">
        <v>21</v>
      </c>
      <c r="J47" t="s">
        <v>21</v>
      </c>
      <c r="K47" t="s">
        <v>21</v>
      </c>
      <c r="L47" t="e">
        <f>VLOOKUP(H:H,'[1]VEPL-DEC-24'!$D:$AS,42,0)</f>
        <v>#N/A</v>
      </c>
      <c r="M47" t="e">
        <f>VLOOKUP(H:H,'[1]VEPL-DEC-24'!$D:$AT,43,0)</f>
        <v>#N/A</v>
      </c>
      <c r="N47" t="s">
        <v>21</v>
      </c>
      <c r="P47" t="e">
        <f>VLOOKUP(H:H,'[1]VEPL-DEC-24'!$D:$H,5,0)</f>
        <v>#N/A</v>
      </c>
    </row>
    <row r="48" spans="1:16" x14ac:dyDescent="0.3">
      <c r="A48">
        <v>47</v>
      </c>
      <c r="B48" t="s">
        <v>16</v>
      </c>
      <c r="C48" t="s">
        <v>175</v>
      </c>
      <c r="D48" t="s">
        <v>176</v>
      </c>
      <c r="E48" t="s">
        <v>177</v>
      </c>
      <c r="F48" t="s">
        <v>178</v>
      </c>
      <c r="G48" t="s">
        <v>38</v>
      </c>
      <c r="H48" s="2">
        <v>403247803462</v>
      </c>
      <c r="I48" t="s">
        <v>21</v>
      </c>
      <c r="J48" t="s">
        <v>21</v>
      </c>
      <c r="K48" t="s">
        <v>21</v>
      </c>
      <c r="L48" t="str">
        <f>VLOOKUP(H:H,'[1]VEPL-DEC-24'!$D:$AS,42,0)</f>
        <v>P</v>
      </c>
      <c r="M48">
        <f>VLOOKUP(H:H,'[1]VEPL-DEC-24'!$D:$AT,43,0)</f>
        <v>0</v>
      </c>
      <c r="N48" t="s">
        <v>21</v>
      </c>
      <c r="P48">
        <f>VLOOKUP(H:H,'[1]VEPL-DEC-24'!$D:$H,5,0)</f>
        <v>10006</v>
      </c>
    </row>
    <row r="49" spans="1:16" x14ac:dyDescent="0.3">
      <c r="A49">
        <v>48</v>
      </c>
      <c r="B49" t="s">
        <v>16</v>
      </c>
      <c r="C49" t="s">
        <v>179</v>
      </c>
      <c r="D49" t="s">
        <v>180</v>
      </c>
      <c r="E49" t="s">
        <v>181</v>
      </c>
      <c r="F49" t="s">
        <v>83</v>
      </c>
      <c r="G49" t="s">
        <v>38</v>
      </c>
      <c r="H49" s="2">
        <v>779956704754</v>
      </c>
      <c r="I49" t="s">
        <v>21</v>
      </c>
      <c r="J49" t="s">
        <v>21</v>
      </c>
      <c r="K49" t="s">
        <v>21</v>
      </c>
      <c r="L49" t="str">
        <f>VLOOKUP(H:H,'[1]VEPL-DEC-24'!$D:$AS,42,0)</f>
        <v>P</v>
      </c>
      <c r="M49">
        <f>VLOOKUP(H:H,'[1]VEPL-DEC-24'!$D:$AT,43,0)</f>
        <v>0</v>
      </c>
      <c r="N49" t="s">
        <v>21</v>
      </c>
      <c r="P49">
        <f>VLOOKUP(H:H,'[1]VEPL-DEC-24'!$D:$H,5,0)</f>
        <v>10002</v>
      </c>
    </row>
    <row r="50" spans="1:16" x14ac:dyDescent="0.3">
      <c r="A50">
        <v>49</v>
      </c>
      <c r="B50" t="s">
        <v>16</v>
      </c>
      <c r="C50" t="s">
        <v>182</v>
      </c>
      <c r="D50" t="s">
        <v>183</v>
      </c>
      <c r="E50" t="s">
        <v>184</v>
      </c>
      <c r="F50" t="s">
        <v>37</v>
      </c>
      <c r="G50" t="s">
        <v>38</v>
      </c>
      <c r="H50" s="2">
        <v>281124340817</v>
      </c>
      <c r="I50" t="s">
        <v>21</v>
      </c>
      <c r="J50" t="s">
        <v>21</v>
      </c>
      <c r="K50" t="s">
        <v>21</v>
      </c>
      <c r="L50" t="str">
        <f>VLOOKUP(H:H,'[1]VEPL-DEC-24'!$D:$AS,42,0)</f>
        <v>P</v>
      </c>
      <c r="M50">
        <f>VLOOKUP(H:H,'[1]VEPL-DEC-24'!$D:$AT,43,0)</f>
        <v>0</v>
      </c>
      <c r="N50" t="s">
        <v>21</v>
      </c>
      <c r="P50">
        <f>VLOOKUP(H:H,'[1]VEPL-DEC-24'!$D:$H,5,0)</f>
        <v>10009</v>
      </c>
    </row>
    <row r="51" spans="1:16" hidden="1" x14ac:dyDescent="0.3">
      <c r="A51">
        <v>50</v>
      </c>
      <c r="B51" t="s">
        <v>16</v>
      </c>
      <c r="C51" t="s">
        <v>185</v>
      </c>
      <c r="D51" t="s">
        <v>186</v>
      </c>
      <c r="E51" t="s">
        <v>187</v>
      </c>
      <c r="F51" t="s">
        <v>37</v>
      </c>
      <c r="G51" t="s">
        <v>38</v>
      </c>
      <c r="H51" s="2">
        <v>448388468003</v>
      </c>
      <c r="I51" t="s">
        <v>21</v>
      </c>
      <c r="J51" t="s">
        <v>21</v>
      </c>
      <c r="K51" t="s">
        <v>21</v>
      </c>
      <c r="L51" t="e">
        <f>VLOOKUP(H:H,'[1]VEPL-DEC-24'!$D:$AS,42,0)</f>
        <v>#N/A</v>
      </c>
      <c r="M51" t="e">
        <f>VLOOKUP(H:H,'[1]VEPL-DEC-24'!$D:$AT,43,0)</f>
        <v>#N/A</v>
      </c>
      <c r="N51" t="s">
        <v>21</v>
      </c>
      <c r="P51" t="e">
        <f>VLOOKUP(H:H,'[1]VEPL-DEC-24'!$D:$H,5,0)</f>
        <v>#N/A</v>
      </c>
    </row>
    <row r="52" spans="1:16" x14ac:dyDescent="0.3">
      <c r="A52">
        <v>51</v>
      </c>
      <c r="B52" t="s">
        <v>16</v>
      </c>
      <c r="C52" t="s">
        <v>188</v>
      </c>
      <c r="D52" t="s">
        <v>189</v>
      </c>
      <c r="E52" t="s">
        <v>190</v>
      </c>
      <c r="F52" t="s">
        <v>93</v>
      </c>
      <c r="G52" t="s">
        <v>38</v>
      </c>
      <c r="H52" s="2">
        <v>761582403323</v>
      </c>
      <c r="I52" t="s">
        <v>21</v>
      </c>
      <c r="J52" t="s">
        <v>21</v>
      </c>
      <c r="K52" t="s">
        <v>21</v>
      </c>
      <c r="L52" t="str">
        <f>VLOOKUP(H:H,'[1]VEPL-DEC-24'!$D:$AS,42,0)</f>
        <v>P</v>
      </c>
      <c r="M52">
        <f>VLOOKUP(H:H,'[1]VEPL-DEC-24'!$D:$AT,43,0)</f>
        <v>11</v>
      </c>
      <c r="N52" t="s">
        <v>21</v>
      </c>
      <c r="P52">
        <f>VLOOKUP(H:H,'[1]VEPL-DEC-24'!$D:$H,5,0)</f>
        <v>10009</v>
      </c>
    </row>
    <row r="53" spans="1:16" hidden="1" x14ac:dyDescent="0.3">
      <c r="A53">
        <v>52</v>
      </c>
      <c r="B53" t="s">
        <v>16</v>
      </c>
      <c r="C53" t="s">
        <v>191</v>
      </c>
      <c r="D53" t="s">
        <v>192</v>
      </c>
      <c r="E53" t="s">
        <v>193</v>
      </c>
      <c r="F53" t="s">
        <v>37</v>
      </c>
      <c r="G53" t="s">
        <v>38</v>
      </c>
      <c r="H53" s="2">
        <v>613188178510</v>
      </c>
      <c r="I53" t="s">
        <v>21</v>
      </c>
      <c r="J53" t="s">
        <v>21</v>
      </c>
      <c r="K53" t="s">
        <v>21</v>
      </c>
      <c r="L53" t="e">
        <f>VLOOKUP(H:H,'[1]VEPL-DEC-24'!$D:$AS,42,0)</f>
        <v>#N/A</v>
      </c>
      <c r="M53" t="e">
        <f>VLOOKUP(H:H,'[1]VEPL-DEC-24'!$D:$AT,43,0)</f>
        <v>#N/A</v>
      </c>
      <c r="N53" t="s">
        <v>21</v>
      </c>
      <c r="P53" t="e">
        <f>VLOOKUP(H:H,'[1]VEPL-DEC-24'!$D:$H,5,0)</f>
        <v>#N/A</v>
      </c>
    </row>
    <row r="54" spans="1:16" x14ac:dyDescent="0.3">
      <c r="A54">
        <v>53</v>
      </c>
      <c r="B54" t="s">
        <v>16</v>
      </c>
      <c r="C54" t="s">
        <v>194</v>
      </c>
      <c r="D54" t="s">
        <v>195</v>
      </c>
      <c r="E54" t="s">
        <v>196</v>
      </c>
      <c r="F54" t="s">
        <v>127</v>
      </c>
      <c r="G54" t="s">
        <v>38</v>
      </c>
      <c r="H54" s="2">
        <v>295757459475</v>
      </c>
      <c r="I54" t="s">
        <v>21</v>
      </c>
      <c r="J54" t="s">
        <v>21</v>
      </c>
      <c r="K54" t="s">
        <v>21</v>
      </c>
      <c r="L54" t="str">
        <f>VLOOKUP(H:H,'[1]VEPL-DEC-24'!$D:$AS,42,0)</f>
        <v>P</v>
      </c>
      <c r="M54">
        <f>VLOOKUP(H:H,'[1]VEPL-DEC-24'!$D:$AT,43,0)</f>
        <v>11</v>
      </c>
      <c r="N54" t="s">
        <v>21</v>
      </c>
      <c r="P54">
        <f>VLOOKUP(H:H,'[1]VEPL-DEC-24'!$D:$H,5,0)</f>
        <v>10009</v>
      </c>
    </row>
    <row r="55" spans="1:16" x14ac:dyDescent="0.3">
      <c r="A55">
        <v>54</v>
      </c>
      <c r="B55" t="s">
        <v>16</v>
      </c>
      <c r="C55" t="s">
        <v>197</v>
      </c>
      <c r="D55" t="s">
        <v>198</v>
      </c>
      <c r="E55" t="s">
        <v>199</v>
      </c>
      <c r="F55" t="s">
        <v>127</v>
      </c>
      <c r="G55" t="s">
        <v>38</v>
      </c>
      <c r="H55" s="2">
        <v>646922097498</v>
      </c>
      <c r="I55" t="s">
        <v>21</v>
      </c>
      <c r="J55" t="s">
        <v>21</v>
      </c>
      <c r="K55" t="s">
        <v>21</v>
      </c>
      <c r="L55" t="str">
        <f>VLOOKUP(H:H,'[1]VEPL-DEC-24'!$D:$AS,42,0)</f>
        <v>P</v>
      </c>
      <c r="M55">
        <f>VLOOKUP(H:H,'[1]VEPL-DEC-24'!$D:$AT,43,0)</f>
        <v>0</v>
      </c>
      <c r="N55" t="s">
        <v>21</v>
      </c>
      <c r="P55">
        <f>VLOOKUP(H:H,'[1]VEPL-DEC-24'!$D:$H,5,0)</f>
        <v>10003</v>
      </c>
    </row>
    <row r="56" spans="1:16" hidden="1" x14ac:dyDescent="0.3">
      <c r="A56">
        <v>55</v>
      </c>
      <c r="B56" t="s">
        <v>16</v>
      </c>
      <c r="C56" t="s">
        <v>200</v>
      </c>
      <c r="D56" t="s">
        <v>201</v>
      </c>
      <c r="E56" t="s">
        <v>202</v>
      </c>
      <c r="F56" t="s">
        <v>71</v>
      </c>
      <c r="G56" t="s">
        <v>38</v>
      </c>
      <c r="H56" s="2">
        <v>852627334598</v>
      </c>
      <c r="I56" t="s">
        <v>21</v>
      </c>
      <c r="J56" t="s">
        <v>21</v>
      </c>
      <c r="K56" t="s">
        <v>21</v>
      </c>
      <c r="L56" t="e">
        <f>VLOOKUP(H:H,'[1]VEPL-DEC-24'!$D:$AS,42,0)</f>
        <v>#N/A</v>
      </c>
      <c r="M56" t="e">
        <f>VLOOKUP(H:H,'[1]VEPL-DEC-24'!$D:$AT,43,0)</f>
        <v>#N/A</v>
      </c>
      <c r="N56" t="s">
        <v>21</v>
      </c>
      <c r="P56" t="e">
        <f>VLOOKUP(H:H,'[1]VEPL-DEC-24'!$D:$H,5,0)</f>
        <v>#N/A</v>
      </c>
    </row>
    <row r="57" spans="1:16" hidden="1" x14ac:dyDescent="0.3">
      <c r="A57">
        <v>56</v>
      </c>
      <c r="B57" t="s">
        <v>16</v>
      </c>
      <c r="C57" t="s">
        <v>203</v>
      </c>
      <c r="D57" t="s">
        <v>204</v>
      </c>
      <c r="E57" t="s">
        <v>205</v>
      </c>
      <c r="F57" t="s">
        <v>71</v>
      </c>
      <c r="G57" t="s">
        <v>38</v>
      </c>
      <c r="H57" s="2">
        <v>416299278541</v>
      </c>
      <c r="I57" t="s">
        <v>21</v>
      </c>
      <c r="J57" t="s">
        <v>21</v>
      </c>
      <c r="K57" t="s">
        <v>21</v>
      </c>
      <c r="L57" t="e">
        <f>VLOOKUP(H:H,'[1]VEPL-DEC-24'!$D:$AS,42,0)</f>
        <v>#N/A</v>
      </c>
      <c r="M57" t="e">
        <f>VLOOKUP(H:H,'[1]VEPL-DEC-24'!$D:$AT,43,0)</f>
        <v>#N/A</v>
      </c>
      <c r="N57" t="s">
        <v>21</v>
      </c>
      <c r="P57" t="e">
        <f>VLOOKUP(H:H,'[1]VEPL-DEC-24'!$D:$H,5,0)</f>
        <v>#N/A</v>
      </c>
    </row>
    <row r="58" spans="1:16" hidden="1" x14ac:dyDescent="0.3">
      <c r="A58">
        <v>57</v>
      </c>
      <c r="B58" t="s">
        <v>16</v>
      </c>
      <c r="C58" t="s">
        <v>206</v>
      </c>
      <c r="D58" t="s">
        <v>207</v>
      </c>
      <c r="E58" t="s">
        <v>208</v>
      </c>
      <c r="F58" t="s">
        <v>71</v>
      </c>
      <c r="G58" t="s">
        <v>38</v>
      </c>
      <c r="H58" s="2">
        <v>225838697917</v>
      </c>
      <c r="I58" t="s">
        <v>21</v>
      </c>
      <c r="J58" t="s">
        <v>21</v>
      </c>
      <c r="K58" t="s">
        <v>21</v>
      </c>
      <c r="L58" t="e">
        <f>VLOOKUP(H:H,'[1]VEPL-DEC-24'!$D:$AS,42,0)</f>
        <v>#N/A</v>
      </c>
      <c r="M58" t="e">
        <f>VLOOKUP(H:H,'[1]VEPL-DEC-24'!$D:$AT,43,0)</f>
        <v>#N/A</v>
      </c>
      <c r="N58" t="s">
        <v>21</v>
      </c>
      <c r="P58" t="e">
        <f>VLOOKUP(H:H,'[1]VEPL-DEC-24'!$D:$H,5,0)</f>
        <v>#N/A</v>
      </c>
    </row>
    <row r="59" spans="1:16" x14ac:dyDescent="0.3">
      <c r="A59">
        <v>58</v>
      </c>
      <c r="B59" t="s">
        <v>16</v>
      </c>
      <c r="C59" t="s">
        <v>139</v>
      </c>
      <c r="D59" t="s">
        <v>209</v>
      </c>
      <c r="E59" t="s">
        <v>210</v>
      </c>
      <c r="F59" t="s">
        <v>93</v>
      </c>
      <c r="G59" t="s">
        <v>38</v>
      </c>
      <c r="H59" s="2">
        <v>539738595299</v>
      </c>
      <c r="I59" t="s">
        <v>21</v>
      </c>
      <c r="J59" t="s">
        <v>21</v>
      </c>
      <c r="K59" t="s">
        <v>21</v>
      </c>
      <c r="L59" t="str">
        <f>VLOOKUP(H:H,'[1]VEPL-DEC-24'!$D:$AS,42,0)</f>
        <v>P</v>
      </c>
      <c r="M59">
        <f>VLOOKUP(H:H,'[1]VEPL-DEC-24'!$D:$AT,43,0)</f>
        <v>0</v>
      </c>
      <c r="N59" t="s">
        <v>21</v>
      </c>
      <c r="P59">
        <f>VLOOKUP(H:H,'[1]VEPL-DEC-24'!$D:$H,5,0)</f>
        <v>10009</v>
      </c>
    </row>
    <row r="60" spans="1:16" x14ac:dyDescent="0.3">
      <c r="A60">
        <v>59</v>
      </c>
      <c r="B60" t="s">
        <v>16</v>
      </c>
      <c r="C60" t="s">
        <v>211</v>
      </c>
      <c r="D60" t="s">
        <v>212</v>
      </c>
      <c r="E60" t="s">
        <v>213</v>
      </c>
      <c r="F60" t="s">
        <v>25</v>
      </c>
      <c r="G60" t="s">
        <v>20</v>
      </c>
      <c r="H60" s="2">
        <v>902318979561</v>
      </c>
      <c r="I60" t="s">
        <v>21</v>
      </c>
      <c r="J60" t="s">
        <v>21</v>
      </c>
      <c r="K60" t="s">
        <v>21</v>
      </c>
      <c r="L60" t="str">
        <f>VLOOKUP(H:H,'[1]VEPL-DEC-24'!$D:$AS,42,0)</f>
        <v>P</v>
      </c>
      <c r="M60">
        <f>VLOOKUP(H:H,'[1]VEPL-DEC-24'!$D:$AT,43,0)</f>
        <v>0</v>
      </c>
      <c r="N60" t="s">
        <v>21</v>
      </c>
      <c r="P60">
        <f>VLOOKUP(H:H,'[1]VEPL-DEC-24'!$D:$H,5,0)</f>
        <v>10002</v>
      </c>
    </row>
    <row r="61" spans="1:16" x14ac:dyDescent="0.3">
      <c r="A61">
        <v>60</v>
      </c>
      <c r="B61" t="s">
        <v>16</v>
      </c>
      <c r="C61" t="s">
        <v>214</v>
      </c>
      <c r="D61" t="s">
        <v>215</v>
      </c>
      <c r="E61" t="s">
        <v>30</v>
      </c>
      <c r="F61" t="s">
        <v>216</v>
      </c>
      <c r="G61" t="s">
        <v>20</v>
      </c>
      <c r="H61" s="2">
        <v>965320008114</v>
      </c>
      <c r="I61" t="s">
        <v>21</v>
      </c>
      <c r="J61" t="s">
        <v>21</v>
      </c>
      <c r="K61" t="s">
        <v>21</v>
      </c>
      <c r="L61" t="str">
        <f>VLOOKUP(H:H,'[1]VEPL-DEC-24'!$D:$AS,42,0)</f>
        <v>P</v>
      </c>
      <c r="M61">
        <f>VLOOKUP(H:H,'[1]VEPL-DEC-24'!$D:$AT,43,0)</f>
        <v>0</v>
      </c>
      <c r="N61" t="s">
        <v>21</v>
      </c>
      <c r="P61">
        <f>VLOOKUP(H:H,'[1]VEPL-DEC-24'!$D:$H,5,0)</f>
        <v>10009</v>
      </c>
    </row>
    <row r="62" spans="1:16" x14ac:dyDescent="0.3">
      <c r="A62">
        <v>61</v>
      </c>
      <c r="B62" t="s">
        <v>16</v>
      </c>
      <c r="C62" t="s">
        <v>217</v>
      </c>
      <c r="D62" t="s">
        <v>218</v>
      </c>
      <c r="E62" t="s">
        <v>219</v>
      </c>
      <c r="F62" t="s">
        <v>56</v>
      </c>
      <c r="G62" t="s">
        <v>20</v>
      </c>
      <c r="H62" s="2">
        <v>995967508194</v>
      </c>
      <c r="I62" t="s">
        <v>21</v>
      </c>
      <c r="J62" t="s">
        <v>21</v>
      </c>
      <c r="K62" t="s">
        <v>21</v>
      </c>
      <c r="L62" t="str">
        <f>VLOOKUP(H:H,'[1]VEPL-DEC-24'!$D:$AS,42,0)</f>
        <v>P</v>
      </c>
      <c r="M62">
        <f>VLOOKUP(H:H,'[1]VEPL-DEC-24'!$D:$AT,43,0)</f>
        <v>0</v>
      </c>
      <c r="N62" t="s">
        <v>21</v>
      </c>
      <c r="P62">
        <f>VLOOKUP(H:H,'[1]VEPL-DEC-24'!$D:$H,5,0)</f>
        <v>10002</v>
      </c>
    </row>
    <row r="63" spans="1:16" x14ac:dyDescent="0.3">
      <c r="A63">
        <v>62</v>
      </c>
      <c r="B63" t="s">
        <v>16</v>
      </c>
      <c r="C63" t="s">
        <v>220</v>
      </c>
      <c r="D63" t="s">
        <v>221</v>
      </c>
      <c r="E63" t="s">
        <v>222</v>
      </c>
      <c r="F63" t="s">
        <v>56</v>
      </c>
      <c r="G63" t="s">
        <v>20</v>
      </c>
      <c r="H63" s="2">
        <v>639103711247</v>
      </c>
      <c r="I63" t="s">
        <v>21</v>
      </c>
      <c r="J63" t="s">
        <v>21</v>
      </c>
      <c r="K63" t="s">
        <v>21</v>
      </c>
      <c r="L63" t="str">
        <f>VLOOKUP(H:H,'[1]VEPL-DEC-24'!$D:$AS,42,0)</f>
        <v>P</v>
      </c>
      <c r="M63">
        <f>VLOOKUP(H:H,'[1]VEPL-DEC-24'!$D:$AT,43,0)</f>
        <v>0</v>
      </c>
      <c r="N63" t="s">
        <v>21</v>
      </c>
      <c r="P63">
        <f>VLOOKUP(H:H,'[1]VEPL-DEC-24'!$D:$H,5,0)</f>
        <v>10009</v>
      </c>
    </row>
    <row r="64" spans="1:16" x14ac:dyDescent="0.3">
      <c r="A64">
        <v>63</v>
      </c>
      <c r="B64" t="s">
        <v>16</v>
      </c>
      <c r="C64" t="s">
        <v>223</v>
      </c>
      <c r="D64" t="s">
        <v>224</v>
      </c>
      <c r="E64" t="s">
        <v>225</v>
      </c>
      <c r="F64" t="s">
        <v>56</v>
      </c>
      <c r="G64" t="s">
        <v>20</v>
      </c>
      <c r="H64" s="2">
        <v>863963221271</v>
      </c>
      <c r="I64" t="s">
        <v>21</v>
      </c>
      <c r="J64" t="s">
        <v>21</v>
      </c>
      <c r="K64" t="s">
        <v>21</v>
      </c>
      <c r="L64" t="str">
        <f>VLOOKUP(H:H,'[1]VEPL-DEC-24'!$D:$AS,42,0)</f>
        <v>P</v>
      </c>
      <c r="M64">
        <f>VLOOKUP(H:H,'[1]VEPL-DEC-24'!$D:$AT,43,0)</f>
        <v>0</v>
      </c>
      <c r="N64" t="s">
        <v>21</v>
      </c>
      <c r="P64">
        <f>VLOOKUP(H:H,'[1]VEPL-DEC-24'!$D:$H,5,0)</f>
        <v>10003</v>
      </c>
    </row>
    <row r="65" spans="1:16" hidden="1" x14ac:dyDescent="0.3">
      <c r="A65">
        <v>64</v>
      </c>
      <c r="B65" t="s">
        <v>16</v>
      </c>
      <c r="C65" t="s">
        <v>226</v>
      </c>
      <c r="D65" t="s">
        <v>227</v>
      </c>
      <c r="E65" t="s">
        <v>228</v>
      </c>
      <c r="F65" t="s">
        <v>56</v>
      </c>
      <c r="G65" t="s">
        <v>20</v>
      </c>
      <c r="H65" s="2">
        <v>555165455144</v>
      </c>
      <c r="I65" t="s">
        <v>21</v>
      </c>
      <c r="J65" t="s">
        <v>21</v>
      </c>
      <c r="K65" t="s">
        <v>21</v>
      </c>
      <c r="L65" t="str">
        <f>VLOOKUP(H:H,'[1]VEPL-DEC-24'!$D:$AS,42,0)</f>
        <v>A</v>
      </c>
      <c r="M65">
        <f>VLOOKUP(H:H,'[1]VEPL-DEC-24'!$D:$AT,43,0)</f>
        <v>0</v>
      </c>
      <c r="N65" t="s">
        <v>21</v>
      </c>
      <c r="P65">
        <f>VLOOKUP(H:H,'[1]VEPL-DEC-24'!$D:$H,5,0)</f>
        <v>10003</v>
      </c>
    </row>
    <row r="66" spans="1:16" x14ac:dyDescent="0.3">
      <c r="A66">
        <v>65</v>
      </c>
      <c r="B66" t="s">
        <v>16</v>
      </c>
      <c r="C66" t="s">
        <v>229</v>
      </c>
      <c r="D66" t="s">
        <v>230</v>
      </c>
      <c r="E66" t="s">
        <v>231</v>
      </c>
      <c r="F66" t="s">
        <v>93</v>
      </c>
      <c r="G66" t="s">
        <v>38</v>
      </c>
      <c r="H66" s="2">
        <v>673960287768</v>
      </c>
      <c r="I66" t="s">
        <v>21</v>
      </c>
      <c r="J66" t="s">
        <v>21</v>
      </c>
      <c r="K66" t="s">
        <v>21</v>
      </c>
      <c r="L66" t="str">
        <f>VLOOKUP(H:H,'[1]VEPL-DEC-24'!$D:$AS,42,0)</f>
        <v>P</v>
      </c>
      <c r="M66">
        <f>VLOOKUP(H:H,'[1]VEPL-DEC-24'!$D:$AT,43,0)</f>
        <v>0</v>
      </c>
      <c r="N66" t="s">
        <v>21</v>
      </c>
      <c r="P66">
        <f>VLOOKUP(H:H,'[1]VEPL-DEC-24'!$D:$H,5,0)</f>
        <v>10002</v>
      </c>
    </row>
    <row r="67" spans="1:16" x14ac:dyDescent="0.3">
      <c r="A67">
        <v>66</v>
      </c>
      <c r="B67" t="s">
        <v>16</v>
      </c>
      <c r="C67" t="s">
        <v>232</v>
      </c>
      <c r="D67" t="s">
        <v>233</v>
      </c>
      <c r="E67" t="s">
        <v>234</v>
      </c>
      <c r="F67" t="s">
        <v>37</v>
      </c>
      <c r="G67" t="s">
        <v>38</v>
      </c>
      <c r="H67" s="2">
        <v>612923620822</v>
      </c>
      <c r="I67" t="s">
        <v>21</v>
      </c>
      <c r="J67" t="s">
        <v>21</v>
      </c>
      <c r="K67" t="s">
        <v>21</v>
      </c>
      <c r="L67" t="str">
        <f>VLOOKUP(H:H,'[1]VEPL-DEC-24'!$D:$AS,42,0)</f>
        <v>P</v>
      </c>
      <c r="M67">
        <f>VLOOKUP(H:H,'[1]VEPL-DEC-24'!$D:$AT,43,0)</f>
        <v>11</v>
      </c>
      <c r="N67" t="s">
        <v>21</v>
      </c>
      <c r="P67">
        <f>VLOOKUP(H:H,'[1]VEPL-DEC-24'!$D:$H,5,0)</f>
        <v>10003</v>
      </c>
    </row>
    <row r="68" spans="1:16" hidden="1" x14ac:dyDescent="0.3">
      <c r="A68">
        <v>67</v>
      </c>
      <c r="B68" t="s">
        <v>16</v>
      </c>
      <c r="C68" t="s">
        <v>235</v>
      </c>
      <c r="D68" t="s">
        <v>236</v>
      </c>
      <c r="E68" t="s">
        <v>237</v>
      </c>
      <c r="F68" t="s">
        <v>64</v>
      </c>
      <c r="G68" t="s">
        <v>20</v>
      </c>
      <c r="H68" s="2">
        <v>793722972426</v>
      </c>
      <c r="I68" t="s">
        <v>21</v>
      </c>
      <c r="J68" t="s">
        <v>21</v>
      </c>
      <c r="K68" t="s">
        <v>21</v>
      </c>
      <c r="L68" t="str">
        <f>VLOOKUP(H:H,'[1]VEPL-DEC-24'!$D:$AS,42,0)</f>
        <v>A</v>
      </c>
      <c r="M68">
        <f>VLOOKUP(H:H,'[1]VEPL-DEC-24'!$D:$AT,43,0)</f>
        <v>0</v>
      </c>
      <c r="N68" t="s">
        <v>21</v>
      </c>
      <c r="P68">
        <f>VLOOKUP(H:H,'[1]VEPL-DEC-24'!$D:$H,5,0)</f>
        <v>10003</v>
      </c>
    </row>
    <row r="69" spans="1:16" x14ac:dyDescent="0.3">
      <c r="A69">
        <v>68</v>
      </c>
      <c r="B69" t="s">
        <v>16</v>
      </c>
      <c r="C69" t="s">
        <v>238</v>
      </c>
      <c r="D69" t="s">
        <v>239</v>
      </c>
      <c r="E69" t="s">
        <v>240</v>
      </c>
      <c r="F69" t="s">
        <v>56</v>
      </c>
      <c r="G69" t="s">
        <v>20</v>
      </c>
      <c r="H69" s="2">
        <v>574086757078</v>
      </c>
      <c r="I69" t="s">
        <v>21</v>
      </c>
      <c r="J69" t="s">
        <v>21</v>
      </c>
      <c r="K69" t="s">
        <v>21</v>
      </c>
      <c r="L69" t="str">
        <f>VLOOKUP(H:H,'[1]VEPL-DEC-24'!$D:$AS,42,0)</f>
        <v>P</v>
      </c>
      <c r="M69" t="str">
        <f>VLOOKUP(H:H,'[1]VEPL-DEC-24'!$D:$AT,43,0)</f>
        <v>FN</v>
      </c>
      <c r="N69" t="s">
        <v>21</v>
      </c>
      <c r="P69">
        <f>VLOOKUP(H:H,'[1]VEPL-DEC-24'!$D:$H,5,0)</f>
        <v>10003</v>
      </c>
    </row>
    <row r="70" spans="1:16" x14ac:dyDescent="0.3">
      <c r="A70">
        <v>69</v>
      </c>
      <c r="B70" t="s">
        <v>16</v>
      </c>
      <c r="C70" t="s">
        <v>241</v>
      </c>
      <c r="D70" t="s">
        <v>242</v>
      </c>
      <c r="E70" t="s">
        <v>243</v>
      </c>
      <c r="F70" t="s">
        <v>29</v>
      </c>
      <c r="G70" t="s">
        <v>20</v>
      </c>
      <c r="H70" s="2">
        <v>924197184416</v>
      </c>
      <c r="I70" t="s">
        <v>21</v>
      </c>
      <c r="J70" t="s">
        <v>21</v>
      </c>
      <c r="K70" t="s">
        <v>21</v>
      </c>
      <c r="L70" t="str">
        <f>VLOOKUP(H:H,'[1]VEPL-DEC-24'!$D:$AS,42,0)</f>
        <v>P</v>
      </c>
      <c r="M70">
        <f>VLOOKUP(H:H,'[1]VEPL-DEC-24'!$D:$AT,43,0)</f>
        <v>0</v>
      </c>
      <c r="N70" t="s">
        <v>21</v>
      </c>
      <c r="P70">
        <f>VLOOKUP(H:H,'[1]VEPL-DEC-24'!$D:$H,5,0)</f>
        <v>10003</v>
      </c>
    </row>
    <row r="71" spans="1:16" x14ac:dyDescent="0.3">
      <c r="A71">
        <v>70</v>
      </c>
      <c r="B71" t="s">
        <v>16</v>
      </c>
      <c r="C71" t="s">
        <v>244</v>
      </c>
      <c r="D71" t="s">
        <v>245</v>
      </c>
      <c r="E71" t="s">
        <v>246</v>
      </c>
      <c r="F71" t="s">
        <v>60</v>
      </c>
      <c r="G71" t="s">
        <v>38</v>
      </c>
      <c r="H71" s="2">
        <v>485119884375</v>
      </c>
      <c r="I71" t="s">
        <v>21</v>
      </c>
      <c r="J71" t="s">
        <v>21</v>
      </c>
      <c r="K71" t="s">
        <v>21</v>
      </c>
      <c r="L71" t="str">
        <f>VLOOKUP(H:H,'[1]VEPL-DEC-24'!$D:$AS,42,0)</f>
        <v>P</v>
      </c>
      <c r="M71">
        <f>VLOOKUP(H:H,'[1]VEPL-DEC-24'!$D:$AT,43,0)</f>
        <v>0</v>
      </c>
      <c r="N71" t="s">
        <v>21</v>
      </c>
      <c r="P71">
        <f>VLOOKUP(H:H,'[1]VEPL-DEC-24'!$D:$H,5,0)</f>
        <v>10002</v>
      </c>
    </row>
    <row r="72" spans="1:16" x14ac:dyDescent="0.3">
      <c r="A72">
        <v>71</v>
      </c>
      <c r="B72" t="s">
        <v>16</v>
      </c>
      <c r="C72" t="s">
        <v>247</v>
      </c>
      <c r="D72" t="s">
        <v>248</v>
      </c>
      <c r="E72" t="s">
        <v>22</v>
      </c>
      <c r="F72" t="s">
        <v>25</v>
      </c>
      <c r="G72" t="s">
        <v>20</v>
      </c>
      <c r="H72" s="2">
        <v>742738597780</v>
      </c>
      <c r="I72" t="s">
        <v>21</v>
      </c>
      <c r="J72" t="s">
        <v>21</v>
      </c>
      <c r="K72" t="s">
        <v>21</v>
      </c>
      <c r="L72" t="str">
        <f>VLOOKUP(H:H,'[1]VEPL-DEC-24'!$D:$AS,42,0)</f>
        <v>P</v>
      </c>
      <c r="M72">
        <f>VLOOKUP(H:H,'[1]VEPL-DEC-24'!$D:$AT,43,0)</f>
        <v>0</v>
      </c>
      <c r="N72" t="s">
        <v>21</v>
      </c>
      <c r="P72">
        <f>VLOOKUP(H:H,'[1]VEPL-DEC-24'!$D:$H,5,0)</f>
        <v>10003</v>
      </c>
    </row>
    <row r="73" spans="1:16" hidden="1" x14ac:dyDescent="0.3">
      <c r="A73">
        <v>72</v>
      </c>
      <c r="B73" t="s">
        <v>16</v>
      </c>
      <c r="C73" t="s">
        <v>249</v>
      </c>
      <c r="D73" t="s">
        <v>250</v>
      </c>
      <c r="E73" t="s">
        <v>251</v>
      </c>
      <c r="F73" t="s">
        <v>37</v>
      </c>
      <c r="G73" t="s">
        <v>38</v>
      </c>
      <c r="H73" s="2">
        <v>888427054224</v>
      </c>
      <c r="I73" t="s">
        <v>21</v>
      </c>
      <c r="J73" t="s">
        <v>21</v>
      </c>
      <c r="K73" t="s">
        <v>21</v>
      </c>
      <c r="L73" t="str">
        <f>VLOOKUP(H:H,'[1]VEPL-DEC-24'!$D:$AS,42,0)</f>
        <v>A</v>
      </c>
      <c r="M73">
        <f>VLOOKUP(H:H,'[1]VEPL-DEC-24'!$D:$AT,43,0)</f>
        <v>0</v>
      </c>
      <c r="N73" t="s">
        <v>21</v>
      </c>
      <c r="P73">
        <f>VLOOKUP(H:H,'[1]VEPL-DEC-24'!$D:$H,5,0)</f>
        <v>10002</v>
      </c>
    </row>
    <row r="74" spans="1:16" x14ac:dyDescent="0.3">
      <c r="A74">
        <v>73</v>
      </c>
      <c r="B74" t="s">
        <v>16</v>
      </c>
      <c r="C74" t="s">
        <v>252</v>
      </c>
      <c r="D74" t="s">
        <v>253</v>
      </c>
      <c r="E74" t="s">
        <v>254</v>
      </c>
      <c r="F74" t="s">
        <v>37</v>
      </c>
      <c r="G74" t="s">
        <v>38</v>
      </c>
      <c r="H74" s="2">
        <v>557723361642</v>
      </c>
      <c r="I74" t="s">
        <v>21</v>
      </c>
      <c r="J74" t="s">
        <v>21</v>
      </c>
      <c r="K74" t="s">
        <v>21</v>
      </c>
      <c r="L74" t="str">
        <f>VLOOKUP(H:H,'[1]VEPL-DEC-24'!$D:$AS,42,0)</f>
        <v>P</v>
      </c>
      <c r="M74">
        <f>VLOOKUP(H:H,'[1]VEPL-DEC-24'!$D:$AT,43,0)</f>
        <v>0</v>
      </c>
      <c r="N74" t="s">
        <v>21</v>
      </c>
      <c r="P74">
        <f>VLOOKUP(H:H,'[1]VEPL-DEC-24'!$D:$H,5,0)</f>
        <v>10002</v>
      </c>
    </row>
    <row r="75" spans="1:16" x14ac:dyDescent="0.3">
      <c r="A75">
        <v>74</v>
      </c>
      <c r="B75" t="s">
        <v>16</v>
      </c>
      <c r="C75" t="s">
        <v>255</v>
      </c>
      <c r="D75" t="s">
        <v>256</v>
      </c>
      <c r="E75" t="s">
        <v>257</v>
      </c>
      <c r="F75" t="s">
        <v>258</v>
      </c>
      <c r="G75" t="s">
        <v>38</v>
      </c>
      <c r="H75" s="2">
        <v>600736893310</v>
      </c>
      <c r="I75" t="s">
        <v>21</v>
      </c>
      <c r="J75" t="s">
        <v>21</v>
      </c>
      <c r="K75" t="s">
        <v>21</v>
      </c>
      <c r="L75" t="str">
        <f>VLOOKUP(H:H,'[1]VEPL-DEC-24'!$D:$AS,42,0)</f>
        <v>P</v>
      </c>
      <c r="M75">
        <f>VLOOKUP(H:H,'[1]VEPL-DEC-24'!$D:$AT,43,0)</f>
        <v>0</v>
      </c>
      <c r="N75" t="s">
        <v>21</v>
      </c>
      <c r="P75">
        <f>VLOOKUP(H:H,'[1]VEPL-DEC-24'!$D:$H,5,0)</f>
        <v>10006</v>
      </c>
    </row>
    <row r="76" spans="1:16" hidden="1" x14ac:dyDescent="0.3">
      <c r="A76">
        <v>75</v>
      </c>
      <c r="B76" t="s">
        <v>16</v>
      </c>
      <c r="C76" t="s">
        <v>259</v>
      </c>
      <c r="D76" t="s">
        <v>260</v>
      </c>
      <c r="E76" t="s">
        <v>261</v>
      </c>
      <c r="F76" t="s">
        <v>127</v>
      </c>
      <c r="G76" t="s">
        <v>38</v>
      </c>
      <c r="H76" s="2">
        <v>331147677276</v>
      </c>
      <c r="I76" t="s">
        <v>21</v>
      </c>
      <c r="J76" t="s">
        <v>21</v>
      </c>
      <c r="K76" t="s">
        <v>21</v>
      </c>
      <c r="L76" t="e">
        <f>VLOOKUP(H:H,'[1]VEPL-DEC-24'!$D:$AS,42,0)</f>
        <v>#N/A</v>
      </c>
      <c r="M76" t="e">
        <f>VLOOKUP(H:H,'[1]VEPL-DEC-24'!$D:$AT,43,0)</f>
        <v>#N/A</v>
      </c>
      <c r="N76" t="s">
        <v>21</v>
      </c>
      <c r="P76" t="e">
        <f>VLOOKUP(H:H,'[1]VEPL-DEC-24'!$D:$H,5,0)</f>
        <v>#N/A</v>
      </c>
    </row>
    <row r="77" spans="1:16" hidden="1" x14ac:dyDescent="0.3">
      <c r="A77">
        <v>76</v>
      </c>
      <c r="B77" t="s">
        <v>16</v>
      </c>
      <c r="C77" t="s">
        <v>262</v>
      </c>
      <c r="D77" t="s">
        <v>263</v>
      </c>
      <c r="E77" t="s">
        <v>264</v>
      </c>
      <c r="F77" t="s">
        <v>83</v>
      </c>
      <c r="G77" t="s">
        <v>38</v>
      </c>
      <c r="H77" s="2">
        <v>373942488706</v>
      </c>
      <c r="I77" t="s">
        <v>21</v>
      </c>
      <c r="J77" t="s">
        <v>21</v>
      </c>
      <c r="K77" t="s">
        <v>21</v>
      </c>
      <c r="L77" t="e">
        <f>VLOOKUP(H:H,'[1]VEPL-DEC-24'!$D:$AS,42,0)</f>
        <v>#N/A</v>
      </c>
      <c r="M77" t="e">
        <f>VLOOKUP(H:H,'[1]VEPL-DEC-24'!$D:$AT,43,0)</f>
        <v>#N/A</v>
      </c>
      <c r="N77" t="s">
        <v>21</v>
      </c>
      <c r="P77" t="e">
        <f>VLOOKUP(H:H,'[1]VEPL-DEC-24'!$D:$H,5,0)</f>
        <v>#N/A</v>
      </c>
    </row>
    <row r="78" spans="1:16" x14ac:dyDescent="0.3">
      <c r="A78">
        <v>77</v>
      </c>
      <c r="B78" t="s">
        <v>16</v>
      </c>
      <c r="C78" t="s">
        <v>265</v>
      </c>
      <c r="D78" t="s">
        <v>266</v>
      </c>
      <c r="E78" t="s">
        <v>267</v>
      </c>
      <c r="F78" t="s">
        <v>64</v>
      </c>
      <c r="G78" t="s">
        <v>20</v>
      </c>
      <c r="H78" s="2">
        <v>278180530971</v>
      </c>
      <c r="I78" t="s">
        <v>21</v>
      </c>
      <c r="J78" t="s">
        <v>21</v>
      </c>
      <c r="K78" t="s">
        <v>21</v>
      </c>
      <c r="L78" t="str">
        <f>VLOOKUP(H:H,'[1]VEPL-DEC-24'!$D:$AS,42,0)</f>
        <v>P</v>
      </c>
      <c r="M78">
        <f>VLOOKUP(H:H,'[1]VEPL-DEC-24'!$D:$AT,43,0)</f>
        <v>0</v>
      </c>
      <c r="N78" t="s">
        <v>21</v>
      </c>
      <c r="P78">
        <f>VLOOKUP(H:H,'[1]VEPL-DEC-24'!$D:$H,5,0)</f>
        <v>10003</v>
      </c>
    </row>
    <row r="79" spans="1:16" hidden="1" x14ac:dyDescent="0.3">
      <c r="A79">
        <v>78</v>
      </c>
      <c r="B79" t="s">
        <v>16</v>
      </c>
      <c r="C79" t="s">
        <v>268</v>
      </c>
      <c r="D79" t="s">
        <v>269</v>
      </c>
      <c r="E79" t="s">
        <v>270</v>
      </c>
      <c r="F79" t="s">
        <v>127</v>
      </c>
      <c r="G79" t="s">
        <v>38</v>
      </c>
      <c r="H79" s="2">
        <v>212416433186</v>
      </c>
      <c r="I79" t="s">
        <v>21</v>
      </c>
      <c r="J79" t="s">
        <v>21</v>
      </c>
      <c r="K79" t="s">
        <v>21</v>
      </c>
      <c r="L79" t="e">
        <f>VLOOKUP(H:H,'[1]VEPL-DEC-24'!$D:$AS,42,0)</f>
        <v>#N/A</v>
      </c>
      <c r="M79" t="e">
        <f>VLOOKUP(H:H,'[1]VEPL-DEC-24'!$D:$AT,43,0)</f>
        <v>#N/A</v>
      </c>
      <c r="N79" t="s">
        <v>21</v>
      </c>
      <c r="P79" t="e">
        <f>VLOOKUP(H:H,'[1]VEPL-DEC-24'!$D:$H,5,0)</f>
        <v>#N/A</v>
      </c>
    </row>
    <row r="80" spans="1:16" hidden="1" x14ac:dyDescent="0.3">
      <c r="A80">
        <v>79</v>
      </c>
      <c r="B80" t="s">
        <v>16</v>
      </c>
      <c r="C80" t="s">
        <v>271</v>
      </c>
      <c r="D80" t="s">
        <v>272</v>
      </c>
      <c r="E80" t="s">
        <v>273</v>
      </c>
      <c r="F80" t="s">
        <v>274</v>
      </c>
      <c r="G80" t="s">
        <v>20</v>
      </c>
      <c r="H80" s="2">
        <v>360378687390</v>
      </c>
      <c r="I80" t="s">
        <v>21</v>
      </c>
      <c r="J80" t="s">
        <v>21</v>
      </c>
      <c r="K80" t="s">
        <v>21</v>
      </c>
      <c r="L80" t="e">
        <f>VLOOKUP(H:H,'[1]VEPL-DEC-24'!$D:$AS,42,0)</f>
        <v>#N/A</v>
      </c>
      <c r="M80" t="e">
        <f>VLOOKUP(H:H,'[1]VEPL-DEC-24'!$D:$AT,43,0)</f>
        <v>#N/A</v>
      </c>
      <c r="N80" t="s">
        <v>21</v>
      </c>
      <c r="P80" t="e">
        <f>VLOOKUP(H:H,'[1]VEPL-DEC-24'!$D:$H,5,0)</f>
        <v>#N/A</v>
      </c>
    </row>
    <row r="81" spans="1:16" x14ac:dyDescent="0.3">
      <c r="A81">
        <v>80</v>
      </c>
      <c r="B81" t="s">
        <v>16</v>
      </c>
      <c r="C81" t="s">
        <v>275</v>
      </c>
      <c r="D81" t="s">
        <v>276</v>
      </c>
      <c r="E81" t="s">
        <v>277</v>
      </c>
      <c r="F81" t="s">
        <v>56</v>
      </c>
      <c r="G81" t="s">
        <v>20</v>
      </c>
      <c r="H81" s="2">
        <v>652542431912</v>
      </c>
      <c r="I81" t="s">
        <v>21</v>
      </c>
      <c r="J81" t="s">
        <v>21</v>
      </c>
      <c r="K81" t="s">
        <v>21</v>
      </c>
      <c r="L81" t="str">
        <f>VLOOKUP(H:H,'[1]VEPL-DEC-24'!$D:$AS,42,0)</f>
        <v>P</v>
      </c>
      <c r="M81" t="str">
        <f>VLOOKUP(H:H,'[1]VEPL-DEC-24'!$D:$AT,43,0)</f>
        <v>FN</v>
      </c>
      <c r="N81" t="s">
        <v>21</v>
      </c>
      <c r="P81">
        <f>VLOOKUP(H:H,'[1]VEPL-DEC-24'!$D:$H,5,0)</f>
        <v>10002</v>
      </c>
    </row>
    <row r="82" spans="1:16" hidden="1" x14ac:dyDescent="0.3">
      <c r="A82">
        <v>81</v>
      </c>
      <c r="B82" t="s">
        <v>16</v>
      </c>
      <c r="C82" t="s">
        <v>278</v>
      </c>
      <c r="D82" t="s">
        <v>279</v>
      </c>
      <c r="E82" t="s">
        <v>280</v>
      </c>
      <c r="F82" t="s">
        <v>281</v>
      </c>
      <c r="G82" t="s">
        <v>38</v>
      </c>
      <c r="H82" s="2">
        <v>780401750501</v>
      </c>
      <c r="I82" t="s">
        <v>21</v>
      </c>
      <c r="J82" t="s">
        <v>21</v>
      </c>
      <c r="K82" t="s">
        <v>21</v>
      </c>
      <c r="L82" t="str">
        <f>VLOOKUP(H:H,'[1]VEPL-DEC-24'!$D:$AS,42,0)</f>
        <v>A</v>
      </c>
      <c r="M82">
        <f>VLOOKUP(H:H,'[1]VEPL-DEC-24'!$D:$AT,43,0)</f>
        <v>0</v>
      </c>
      <c r="N82" t="s">
        <v>21</v>
      </c>
      <c r="P82">
        <f>VLOOKUP(H:H,'[1]VEPL-DEC-24'!$D:$H,5,0)</f>
        <v>10006</v>
      </c>
    </row>
    <row r="83" spans="1:16" x14ac:dyDescent="0.3">
      <c r="A83">
        <v>82</v>
      </c>
      <c r="B83" t="s">
        <v>16</v>
      </c>
      <c r="C83" t="s">
        <v>282</v>
      </c>
      <c r="D83" t="s">
        <v>283</v>
      </c>
      <c r="E83" t="s">
        <v>284</v>
      </c>
      <c r="F83" t="s">
        <v>60</v>
      </c>
      <c r="G83" t="s">
        <v>38</v>
      </c>
      <c r="H83" s="2">
        <v>538355442046</v>
      </c>
      <c r="I83" t="s">
        <v>21</v>
      </c>
      <c r="J83" t="s">
        <v>21</v>
      </c>
      <c r="K83" t="s">
        <v>21</v>
      </c>
      <c r="L83" t="str">
        <f>VLOOKUP(H:H,'[1]VEPL-DEC-24'!$D:$AS,42,0)</f>
        <v>P</v>
      </c>
      <c r="M83">
        <f>VLOOKUP(H:H,'[1]VEPL-DEC-24'!$D:$AT,43,0)</f>
        <v>0</v>
      </c>
      <c r="N83" t="s">
        <v>21</v>
      </c>
      <c r="P83">
        <f>VLOOKUP(H:H,'[1]VEPL-DEC-24'!$D:$H,5,0)</f>
        <v>10003</v>
      </c>
    </row>
    <row r="84" spans="1:16" x14ac:dyDescent="0.3">
      <c r="A84">
        <v>83</v>
      </c>
      <c r="B84" t="s">
        <v>16</v>
      </c>
      <c r="C84" t="s">
        <v>285</v>
      </c>
      <c r="D84" t="s">
        <v>286</v>
      </c>
      <c r="E84" t="s">
        <v>287</v>
      </c>
      <c r="F84" t="s">
        <v>93</v>
      </c>
      <c r="G84" t="s">
        <v>38</v>
      </c>
      <c r="H84" s="2">
        <v>789995348857</v>
      </c>
      <c r="I84" t="s">
        <v>21</v>
      </c>
      <c r="J84" t="s">
        <v>21</v>
      </c>
      <c r="K84" t="s">
        <v>21</v>
      </c>
      <c r="L84" t="str">
        <f>VLOOKUP(H:H,'[1]VEPL-DEC-24'!$D:$AS,42,0)</f>
        <v>P</v>
      </c>
      <c r="M84">
        <f>VLOOKUP(H:H,'[1]VEPL-DEC-24'!$D:$AT,43,0)</f>
        <v>0</v>
      </c>
      <c r="N84" t="s">
        <v>21</v>
      </c>
      <c r="P84">
        <f>VLOOKUP(H:H,'[1]VEPL-DEC-24'!$D:$H,5,0)</f>
        <v>10003</v>
      </c>
    </row>
    <row r="85" spans="1:16" x14ac:dyDescent="0.3">
      <c r="A85">
        <v>84</v>
      </c>
      <c r="B85" t="s">
        <v>16</v>
      </c>
      <c r="C85" t="s">
        <v>288</v>
      </c>
      <c r="D85" t="s">
        <v>289</v>
      </c>
      <c r="E85" t="s">
        <v>290</v>
      </c>
      <c r="F85" t="s">
        <v>64</v>
      </c>
      <c r="G85" t="s">
        <v>20</v>
      </c>
      <c r="H85" s="2">
        <v>968163658982</v>
      </c>
      <c r="I85" t="s">
        <v>21</v>
      </c>
      <c r="J85" t="s">
        <v>21</v>
      </c>
      <c r="K85" t="s">
        <v>21</v>
      </c>
      <c r="L85" t="str">
        <f>VLOOKUP(H:H,'[1]VEPL-DEC-24'!$D:$AS,42,0)</f>
        <v>P</v>
      </c>
      <c r="M85">
        <f>VLOOKUP(H:H,'[1]VEPL-DEC-24'!$D:$AT,43,0)</f>
        <v>0</v>
      </c>
      <c r="N85" t="s">
        <v>21</v>
      </c>
      <c r="P85">
        <f>VLOOKUP(H:H,'[1]VEPL-DEC-24'!$D:$H,5,0)</f>
        <v>10002</v>
      </c>
    </row>
    <row r="86" spans="1:16" x14ac:dyDescent="0.3">
      <c r="A86">
        <v>85</v>
      </c>
      <c r="B86" t="s">
        <v>16</v>
      </c>
      <c r="C86" t="s">
        <v>291</v>
      </c>
      <c r="D86" t="s">
        <v>292</v>
      </c>
      <c r="E86" t="s">
        <v>293</v>
      </c>
      <c r="F86" t="s">
        <v>64</v>
      </c>
      <c r="G86" t="s">
        <v>20</v>
      </c>
      <c r="H86" s="2">
        <v>598478402402</v>
      </c>
      <c r="I86" t="s">
        <v>21</v>
      </c>
      <c r="J86" t="s">
        <v>21</v>
      </c>
      <c r="K86" t="s">
        <v>21</v>
      </c>
      <c r="L86" t="str">
        <f>VLOOKUP(H:H,'[1]VEPL-DEC-24'!$D:$AS,42,0)</f>
        <v>P</v>
      </c>
      <c r="M86">
        <f>VLOOKUP(H:H,'[1]VEPL-DEC-24'!$D:$AT,43,0)</f>
        <v>0</v>
      </c>
      <c r="N86" t="s">
        <v>21</v>
      </c>
      <c r="P86">
        <f>VLOOKUP(H:H,'[1]VEPL-DEC-24'!$D:$H,5,0)</f>
        <v>10008</v>
      </c>
    </row>
    <row r="87" spans="1:16" x14ac:dyDescent="0.3">
      <c r="A87">
        <v>86</v>
      </c>
      <c r="B87" t="s">
        <v>16</v>
      </c>
      <c r="C87" t="s">
        <v>294</v>
      </c>
      <c r="D87" t="s">
        <v>295</v>
      </c>
      <c r="E87" t="s">
        <v>296</v>
      </c>
      <c r="F87" t="s">
        <v>93</v>
      </c>
      <c r="G87" t="s">
        <v>38</v>
      </c>
      <c r="H87" s="2">
        <v>341325352433</v>
      </c>
      <c r="I87" t="s">
        <v>21</v>
      </c>
      <c r="J87" t="s">
        <v>21</v>
      </c>
      <c r="K87" t="s">
        <v>21</v>
      </c>
      <c r="L87" t="str">
        <f>VLOOKUP(H:H,'[1]VEPL-DEC-24'!$D:$AS,42,0)</f>
        <v>P</v>
      </c>
      <c r="M87">
        <f>VLOOKUP(H:H,'[1]VEPL-DEC-24'!$D:$AT,43,0)</f>
        <v>0</v>
      </c>
      <c r="N87" t="s">
        <v>21</v>
      </c>
      <c r="P87">
        <f>VLOOKUP(H:H,'[1]VEPL-DEC-24'!$D:$H,5,0)</f>
        <v>10002</v>
      </c>
    </row>
    <row r="88" spans="1:16" x14ac:dyDescent="0.3">
      <c r="A88">
        <v>87</v>
      </c>
      <c r="B88" t="s">
        <v>16</v>
      </c>
      <c r="C88" t="s">
        <v>297</v>
      </c>
      <c r="D88" t="s">
        <v>298</v>
      </c>
      <c r="E88" t="s">
        <v>299</v>
      </c>
      <c r="F88" t="s">
        <v>48</v>
      </c>
      <c r="G88" t="s">
        <v>38</v>
      </c>
      <c r="H88" s="2">
        <v>865235213976</v>
      </c>
      <c r="I88" t="s">
        <v>21</v>
      </c>
      <c r="J88" t="s">
        <v>21</v>
      </c>
      <c r="K88" t="s">
        <v>21</v>
      </c>
      <c r="L88" t="str">
        <f>VLOOKUP(H:H,'[1]VEPL-DEC-24'!$D:$AS,42,0)</f>
        <v>P</v>
      </c>
      <c r="M88">
        <f>VLOOKUP(H:H,'[1]VEPL-DEC-24'!$D:$AT,43,0)</f>
        <v>0</v>
      </c>
      <c r="N88" t="s">
        <v>21</v>
      </c>
      <c r="P88">
        <f>VLOOKUP(H:H,'[1]VEPL-DEC-24'!$D:$H,5,0)</f>
        <v>10006</v>
      </c>
    </row>
    <row r="89" spans="1:16" hidden="1" x14ac:dyDescent="0.3">
      <c r="A89">
        <v>88</v>
      </c>
      <c r="B89" t="s">
        <v>16</v>
      </c>
      <c r="C89" t="s">
        <v>300</v>
      </c>
      <c r="D89" t="s">
        <v>301</v>
      </c>
      <c r="E89" t="s">
        <v>302</v>
      </c>
      <c r="F89" t="s">
        <v>83</v>
      </c>
      <c r="G89" t="s">
        <v>38</v>
      </c>
      <c r="H89" s="2">
        <v>580066611498</v>
      </c>
      <c r="I89" t="s">
        <v>21</v>
      </c>
      <c r="J89" t="s">
        <v>21</v>
      </c>
      <c r="K89" t="s">
        <v>21</v>
      </c>
      <c r="L89" t="e">
        <f>VLOOKUP(H:H,'[1]VEPL-DEC-24'!$D:$AS,42,0)</f>
        <v>#N/A</v>
      </c>
      <c r="M89" t="e">
        <f>VLOOKUP(H:H,'[1]VEPL-DEC-24'!$D:$AT,43,0)</f>
        <v>#N/A</v>
      </c>
      <c r="N89" t="s">
        <v>21</v>
      </c>
      <c r="P89" t="e">
        <f>VLOOKUP(H:H,'[1]VEPL-DEC-24'!$D:$H,5,0)</f>
        <v>#N/A</v>
      </c>
    </row>
    <row r="90" spans="1:16" hidden="1" x14ac:dyDescent="0.3">
      <c r="A90">
        <v>89</v>
      </c>
      <c r="B90" t="s">
        <v>16</v>
      </c>
      <c r="C90" t="s">
        <v>303</v>
      </c>
      <c r="D90" t="s">
        <v>304</v>
      </c>
      <c r="E90" t="s">
        <v>305</v>
      </c>
      <c r="F90" t="s">
        <v>60</v>
      </c>
      <c r="G90" t="s">
        <v>38</v>
      </c>
      <c r="H90" s="2">
        <v>304953862735</v>
      </c>
      <c r="I90" t="s">
        <v>21</v>
      </c>
      <c r="J90" t="s">
        <v>21</v>
      </c>
      <c r="K90" t="s">
        <v>21</v>
      </c>
      <c r="L90" t="e">
        <f>VLOOKUP(H:H,'[1]VEPL-DEC-24'!$D:$AS,42,0)</f>
        <v>#N/A</v>
      </c>
      <c r="M90" t="e">
        <f>VLOOKUP(H:H,'[1]VEPL-DEC-24'!$D:$AT,43,0)</f>
        <v>#N/A</v>
      </c>
      <c r="N90" t="s">
        <v>21</v>
      </c>
      <c r="P90" t="e">
        <f>VLOOKUP(H:H,'[1]VEPL-DEC-24'!$D:$H,5,0)</f>
        <v>#N/A</v>
      </c>
    </row>
    <row r="91" spans="1:16" x14ac:dyDescent="0.3">
      <c r="A91">
        <v>90</v>
      </c>
      <c r="B91" t="s">
        <v>16</v>
      </c>
      <c r="C91" t="s">
        <v>306</v>
      </c>
      <c r="D91" t="s">
        <v>307</v>
      </c>
      <c r="E91" t="s">
        <v>308</v>
      </c>
      <c r="F91" t="s">
        <v>71</v>
      </c>
      <c r="G91" t="s">
        <v>38</v>
      </c>
      <c r="H91" s="2">
        <v>303315006759</v>
      </c>
      <c r="I91" t="s">
        <v>21</v>
      </c>
      <c r="J91" t="s">
        <v>21</v>
      </c>
      <c r="K91" t="s">
        <v>21</v>
      </c>
      <c r="L91" t="str">
        <f>VLOOKUP(H:H,'[1]VEPL-DEC-24'!$D:$AS,42,0)</f>
        <v>P</v>
      </c>
      <c r="M91">
        <f>VLOOKUP(H:H,'[1]VEPL-DEC-24'!$D:$AT,43,0)</f>
        <v>11</v>
      </c>
      <c r="N91" t="s">
        <v>21</v>
      </c>
      <c r="P91">
        <f>VLOOKUP(H:H,'[1]VEPL-DEC-24'!$D:$H,5,0)</f>
        <v>10003</v>
      </c>
    </row>
    <row r="92" spans="1:16" hidden="1" x14ac:dyDescent="0.3">
      <c r="A92">
        <v>91</v>
      </c>
      <c r="B92" t="s">
        <v>16</v>
      </c>
      <c r="C92" t="s">
        <v>309</v>
      </c>
      <c r="D92" t="s">
        <v>310</v>
      </c>
      <c r="E92" t="s">
        <v>311</v>
      </c>
      <c r="F92" t="s">
        <v>93</v>
      </c>
      <c r="G92" t="s">
        <v>38</v>
      </c>
      <c r="H92" s="2">
        <v>743519707392</v>
      </c>
      <c r="I92" t="s">
        <v>21</v>
      </c>
      <c r="J92" t="s">
        <v>21</v>
      </c>
      <c r="K92" t="s">
        <v>21</v>
      </c>
      <c r="L92" t="e">
        <f>VLOOKUP(H:H,'[1]VEPL-DEC-24'!$D:$AS,42,0)</f>
        <v>#N/A</v>
      </c>
      <c r="M92" t="e">
        <f>VLOOKUP(H:H,'[1]VEPL-DEC-24'!$D:$AT,43,0)</f>
        <v>#N/A</v>
      </c>
      <c r="N92" t="s">
        <v>21</v>
      </c>
      <c r="P92" t="e">
        <f>VLOOKUP(H:H,'[1]VEPL-DEC-24'!$D:$H,5,0)</f>
        <v>#N/A</v>
      </c>
    </row>
    <row r="93" spans="1:16" x14ac:dyDescent="0.3">
      <c r="A93">
        <v>92</v>
      </c>
      <c r="B93" t="s">
        <v>16</v>
      </c>
      <c r="C93" t="s">
        <v>312</v>
      </c>
      <c r="D93" t="s">
        <v>313</v>
      </c>
      <c r="E93" t="s">
        <v>314</v>
      </c>
      <c r="F93" t="s">
        <v>127</v>
      </c>
      <c r="G93" t="s">
        <v>38</v>
      </c>
      <c r="H93" s="2">
        <v>708969198712</v>
      </c>
      <c r="I93" t="s">
        <v>21</v>
      </c>
      <c r="J93" t="s">
        <v>21</v>
      </c>
      <c r="K93" t="s">
        <v>21</v>
      </c>
      <c r="L93" t="str">
        <f>VLOOKUP(H:H,'[1]VEPL-DEC-24'!$D:$AS,42,0)</f>
        <v>P</v>
      </c>
      <c r="M93">
        <f>VLOOKUP(H:H,'[1]VEPL-DEC-24'!$D:$AT,43,0)</f>
        <v>0</v>
      </c>
      <c r="N93" t="s">
        <v>21</v>
      </c>
      <c r="P93">
        <f>VLOOKUP(H:H,'[1]VEPL-DEC-24'!$D:$H,5,0)</f>
        <v>10003</v>
      </c>
    </row>
    <row r="94" spans="1:16" x14ac:dyDescent="0.3">
      <c r="A94">
        <v>93</v>
      </c>
      <c r="B94" t="s">
        <v>16</v>
      </c>
      <c r="C94" t="s">
        <v>315</v>
      </c>
      <c r="D94" t="s">
        <v>316</v>
      </c>
      <c r="E94" t="s">
        <v>317</v>
      </c>
      <c r="F94" t="s">
        <v>83</v>
      </c>
      <c r="G94" t="s">
        <v>38</v>
      </c>
      <c r="H94" s="2">
        <v>267757510373</v>
      </c>
      <c r="I94" t="s">
        <v>21</v>
      </c>
      <c r="J94" t="s">
        <v>21</v>
      </c>
      <c r="K94" t="s">
        <v>21</v>
      </c>
      <c r="L94" t="str">
        <f>VLOOKUP(H:H,'[1]VEPL-DEC-24'!$D:$AS,42,0)</f>
        <v>P</v>
      </c>
      <c r="M94">
        <f>VLOOKUP(H:H,'[1]VEPL-DEC-24'!$D:$AT,43,0)</f>
        <v>0</v>
      </c>
      <c r="N94" t="s">
        <v>21</v>
      </c>
      <c r="P94">
        <f>VLOOKUP(H:H,'[1]VEPL-DEC-24'!$D:$H,5,0)</f>
        <v>10009</v>
      </c>
    </row>
    <row r="95" spans="1:16" x14ac:dyDescent="0.3">
      <c r="A95">
        <v>94</v>
      </c>
      <c r="B95" t="s">
        <v>16</v>
      </c>
      <c r="C95" t="s">
        <v>318</v>
      </c>
      <c r="D95" t="s">
        <v>319</v>
      </c>
      <c r="E95" t="s">
        <v>320</v>
      </c>
      <c r="F95" t="s">
        <v>60</v>
      </c>
      <c r="G95" t="s">
        <v>38</v>
      </c>
      <c r="H95" s="2">
        <v>580619669512</v>
      </c>
      <c r="I95" t="s">
        <v>21</v>
      </c>
      <c r="J95" t="s">
        <v>21</v>
      </c>
      <c r="K95" t="s">
        <v>21</v>
      </c>
      <c r="L95" t="str">
        <f>VLOOKUP(H:H,'[1]VEPL-DEC-24'!$D:$AS,42,0)</f>
        <v>P</v>
      </c>
      <c r="M95">
        <f>VLOOKUP(H:H,'[1]VEPL-DEC-24'!$D:$AT,43,0)</f>
        <v>0</v>
      </c>
      <c r="N95" t="s">
        <v>21</v>
      </c>
      <c r="P95">
        <f>VLOOKUP(H:H,'[1]VEPL-DEC-24'!$D:$H,5,0)</f>
        <v>10003</v>
      </c>
    </row>
    <row r="96" spans="1:16" x14ac:dyDescent="0.3">
      <c r="A96">
        <v>95</v>
      </c>
      <c r="B96" t="s">
        <v>16</v>
      </c>
      <c r="C96" t="s">
        <v>321</v>
      </c>
      <c r="D96" t="s">
        <v>322</v>
      </c>
      <c r="E96" t="s">
        <v>323</v>
      </c>
      <c r="F96" t="s">
        <v>64</v>
      </c>
      <c r="G96" t="s">
        <v>20</v>
      </c>
      <c r="H96" s="2">
        <v>274508964136</v>
      </c>
      <c r="I96" t="s">
        <v>21</v>
      </c>
      <c r="J96" t="s">
        <v>21</v>
      </c>
      <c r="K96" t="s">
        <v>21</v>
      </c>
      <c r="L96" t="str">
        <f>VLOOKUP(H:H,'[1]VEPL-DEC-24'!$D:$AS,42,0)</f>
        <v>P</v>
      </c>
      <c r="M96">
        <f>VLOOKUP(H:H,'[1]VEPL-DEC-24'!$D:$AT,43,0)</f>
        <v>0</v>
      </c>
      <c r="N96" t="s">
        <v>21</v>
      </c>
      <c r="P96">
        <f>VLOOKUP(H:H,'[1]VEPL-DEC-24'!$D:$H,5,0)</f>
        <v>10003</v>
      </c>
    </row>
    <row r="97" spans="1:16" x14ac:dyDescent="0.3">
      <c r="A97">
        <v>96</v>
      </c>
      <c r="B97" t="s">
        <v>16</v>
      </c>
      <c r="C97" t="s">
        <v>324</v>
      </c>
      <c r="D97" t="s">
        <v>325</v>
      </c>
      <c r="E97" t="s">
        <v>326</v>
      </c>
      <c r="F97" t="s">
        <v>60</v>
      </c>
      <c r="G97" t="s">
        <v>38</v>
      </c>
      <c r="H97" s="2">
        <v>938248012311</v>
      </c>
      <c r="I97" t="s">
        <v>21</v>
      </c>
      <c r="J97" t="s">
        <v>21</v>
      </c>
      <c r="K97" t="s">
        <v>21</v>
      </c>
      <c r="L97" t="str">
        <f>VLOOKUP(H:H,'[1]VEPL-DEC-24'!$D:$AS,42,0)</f>
        <v>P</v>
      </c>
      <c r="M97">
        <f>VLOOKUP(H:H,'[1]VEPL-DEC-24'!$D:$AT,43,0)</f>
        <v>11</v>
      </c>
      <c r="N97" t="s">
        <v>21</v>
      </c>
      <c r="P97">
        <f>VLOOKUP(H:H,'[1]VEPL-DEC-24'!$D:$H,5,0)</f>
        <v>10002</v>
      </c>
    </row>
    <row r="98" spans="1:16" x14ac:dyDescent="0.3">
      <c r="A98">
        <v>97</v>
      </c>
      <c r="B98" t="s">
        <v>16</v>
      </c>
      <c r="C98" t="s">
        <v>327</v>
      </c>
      <c r="D98" t="s">
        <v>328</v>
      </c>
      <c r="E98" t="s">
        <v>329</v>
      </c>
      <c r="F98" t="s">
        <v>127</v>
      </c>
      <c r="G98" t="s">
        <v>38</v>
      </c>
      <c r="H98" s="2">
        <v>773056261858</v>
      </c>
      <c r="I98" t="s">
        <v>21</v>
      </c>
      <c r="J98" t="s">
        <v>21</v>
      </c>
      <c r="K98" t="s">
        <v>21</v>
      </c>
      <c r="L98" t="str">
        <f>VLOOKUP(H:H,'[1]VEPL-DEC-24'!$D:$AS,42,0)</f>
        <v>P</v>
      </c>
      <c r="M98">
        <f>VLOOKUP(H:H,'[1]VEPL-DEC-24'!$D:$AT,43,0)</f>
        <v>0</v>
      </c>
      <c r="N98" t="s">
        <v>21</v>
      </c>
      <c r="P98">
        <f>VLOOKUP(H:H,'[1]VEPL-DEC-24'!$D:$H,5,0)</f>
        <v>10002</v>
      </c>
    </row>
    <row r="99" spans="1:16" x14ac:dyDescent="0.3">
      <c r="A99">
        <v>98</v>
      </c>
      <c r="B99" t="s">
        <v>16</v>
      </c>
      <c r="C99" t="s">
        <v>330</v>
      </c>
      <c r="D99" t="s">
        <v>331</v>
      </c>
      <c r="E99" t="s">
        <v>332</v>
      </c>
      <c r="F99" t="s">
        <v>83</v>
      </c>
      <c r="G99" t="s">
        <v>38</v>
      </c>
      <c r="H99" s="2">
        <v>701765212191</v>
      </c>
      <c r="I99" t="s">
        <v>21</v>
      </c>
      <c r="J99" t="s">
        <v>21</v>
      </c>
      <c r="K99" t="s">
        <v>21</v>
      </c>
      <c r="L99" t="str">
        <f>VLOOKUP(H:H,'[1]VEPL-DEC-24'!$D:$AS,42,0)</f>
        <v>P</v>
      </c>
      <c r="M99">
        <f>VLOOKUP(H:H,'[1]VEPL-DEC-24'!$D:$AT,43,0)</f>
        <v>0</v>
      </c>
      <c r="N99" t="s">
        <v>21</v>
      </c>
      <c r="P99">
        <f>VLOOKUP(H:H,'[1]VEPL-DEC-24'!$D:$H,5,0)</f>
        <v>10009</v>
      </c>
    </row>
    <row r="100" spans="1:16" hidden="1" x14ac:dyDescent="0.3">
      <c r="A100">
        <v>99</v>
      </c>
      <c r="B100" t="s">
        <v>16</v>
      </c>
      <c r="C100" t="s">
        <v>333</v>
      </c>
      <c r="D100" t="s">
        <v>334</v>
      </c>
      <c r="E100" t="s">
        <v>335</v>
      </c>
      <c r="F100" t="s">
        <v>42</v>
      </c>
      <c r="G100" t="s">
        <v>38</v>
      </c>
      <c r="H100" s="2">
        <v>298160602800</v>
      </c>
      <c r="I100" t="s">
        <v>21</v>
      </c>
      <c r="J100" t="s">
        <v>21</v>
      </c>
      <c r="K100" t="s">
        <v>21</v>
      </c>
      <c r="L100" t="e">
        <f>VLOOKUP(H:H,'[1]VEPL-DEC-24'!$D:$AS,42,0)</f>
        <v>#N/A</v>
      </c>
      <c r="M100" t="e">
        <f>VLOOKUP(H:H,'[1]VEPL-DEC-24'!$D:$AT,43,0)</f>
        <v>#N/A</v>
      </c>
      <c r="N100" t="s">
        <v>21</v>
      </c>
      <c r="P100" t="e">
        <f>VLOOKUP(H:H,'[1]VEPL-DEC-24'!$D:$H,5,0)</f>
        <v>#N/A</v>
      </c>
    </row>
    <row r="101" spans="1:16" hidden="1" x14ac:dyDescent="0.3">
      <c r="A101">
        <v>100</v>
      </c>
      <c r="B101" t="s">
        <v>16</v>
      </c>
      <c r="C101" t="s">
        <v>336</v>
      </c>
      <c r="D101" t="s">
        <v>337</v>
      </c>
      <c r="E101" t="s">
        <v>338</v>
      </c>
      <c r="F101" t="s">
        <v>71</v>
      </c>
      <c r="G101" t="s">
        <v>38</v>
      </c>
      <c r="H101" s="2">
        <v>583748734513</v>
      </c>
      <c r="I101" t="s">
        <v>21</v>
      </c>
      <c r="J101" t="s">
        <v>21</v>
      </c>
      <c r="K101" t="s">
        <v>21</v>
      </c>
      <c r="L101" t="str">
        <f>VLOOKUP(H:H,'[1]VEPL-DEC-24'!$D:$AS,42,0)</f>
        <v>o</v>
      </c>
      <c r="M101">
        <f>VLOOKUP(H:H,'[1]VEPL-DEC-24'!$D:$AT,43,0)</f>
        <v>0</v>
      </c>
      <c r="N101" t="s">
        <v>21</v>
      </c>
      <c r="P101">
        <f>VLOOKUP(H:H,'[1]VEPL-DEC-24'!$D:$H,5,0)</f>
        <v>10008</v>
      </c>
    </row>
    <row r="102" spans="1:16" x14ac:dyDescent="0.3">
      <c r="A102">
        <v>101</v>
      </c>
      <c r="B102" t="s">
        <v>16</v>
      </c>
      <c r="C102" t="s">
        <v>142</v>
      </c>
      <c r="D102" t="s">
        <v>339</v>
      </c>
      <c r="E102" t="s">
        <v>340</v>
      </c>
      <c r="F102" t="s">
        <v>93</v>
      </c>
      <c r="G102" t="s">
        <v>38</v>
      </c>
      <c r="H102" s="2">
        <v>555831562490</v>
      </c>
      <c r="I102" t="s">
        <v>21</v>
      </c>
      <c r="J102" t="s">
        <v>21</v>
      </c>
      <c r="K102" t="s">
        <v>21</v>
      </c>
      <c r="L102" t="str">
        <f>VLOOKUP(H:H,'[1]VEPL-DEC-24'!$D:$AS,42,0)</f>
        <v>P</v>
      </c>
      <c r="M102">
        <f>VLOOKUP(H:H,'[1]VEPL-DEC-24'!$D:$AT,43,0)</f>
        <v>0</v>
      </c>
      <c r="N102" t="s">
        <v>21</v>
      </c>
      <c r="P102">
        <f>VLOOKUP(H:H,'[1]VEPL-DEC-24'!$D:$H,5,0)</f>
        <v>10006</v>
      </c>
    </row>
    <row r="103" spans="1:16" x14ac:dyDescent="0.3">
      <c r="A103">
        <v>102</v>
      </c>
      <c r="B103" t="s">
        <v>16</v>
      </c>
      <c r="C103" t="s">
        <v>341</v>
      </c>
      <c r="D103" t="s">
        <v>342</v>
      </c>
      <c r="E103" t="s">
        <v>343</v>
      </c>
      <c r="F103" t="s">
        <v>48</v>
      </c>
      <c r="G103" t="s">
        <v>38</v>
      </c>
      <c r="H103" s="2">
        <v>743239827027</v>
      </c>
      <c r="I103" t="s">
        <v>21</v>
      </c>
      <c r="J103" t="s">
        <v>21</v>
      </c>
      <c r="K103" t="s">
        <v>21</v>
      </c>
      <c r="L103" t="str">
        <f>VLOOKUP(H:H,'[1]VEPL-DEC-24'!$D:$AS,42,0)</f>
        <v>P</v>
      </c>
      <c r="M103">
        <f>VLOOKUP(H:H,'[1]VEPL-DEC-24'!$D:$AT,43,0)</f>
        <v>0</v>
      </c>
      <c r="N103" t="s">
        <v>21</v>
      </c>
      <c r="P103">
        <f>VLOOKUP(H:H,'[1]VEPL-DEC-24'!$D:$H,5,0)</f>
        <v>10002</v>
      </c>
    </row>
    <row r="104" spans="1:16" x14ac:dyDescent="0.3">
      <c r="A104">
        <v>103</v>
      </c>
      <c r="B104" t="s">
        <v>16</v>
      </c>
      <c r="C104" t="s">
        <v>344</v>
      </c>
      <c r="D104" t="s">
        <v>345</v>
      </c>
      <c r="E104" t="s">
        <v>346</v>
      </c>
      <c r="F104" t="s">
        <v>42</v>
      </c>
      <c r="G104" t="s">
        <v>38</v>
      </c>
      <c r="H104" s="2">
        <v>354420242585</v>
      </c>
      <c r="I104" t="s">
        <v>21</v>
      </c>
      <c r="J104" t="s">
        <v>21</v>
      </c>
      <c r="K104" t="s">
        <v>21</v>
      </c>
      <c r="L104" t="str">
        <f>VLOOKUP(H:H,'[1]VEPL-DEC-24'!$D:$AS,42,0)</f>
        <v>P</v>
      </c>
      <c r="M104">
        <f>VLOOKUP(H:H,'[1]VEPL-DEC-24'!$D:$AT,43,0)</f>
        <v>0</v>
      </c>
      <c r="N104" t="s">
        <v>21</v>
      </c>
      <c r="P104">
        <f>VLOOKUP(H:H,'[1]VEPL-DEC-24'!$D:$H,5,0)</f>
        <v>10002</v>
      </c>
    </row>
    <row r="105" spans="1:16" x14ac:dyDescent="0.3">
      <c r="A105">
        <v>104</v>
      </c>
      <c r="B105" t="s">
        <v>16</v>
      </c>
      <c r="C105" t="s">
        <v>347</v>
      </c>
      <c r="D105" t="s">
        <v>348</v>
      </c>
      <c r="E105" t="s">
        <v>349</v>
      </c>
      <c r="F105" t="s">
        <v>350</v>
      </c>
      <c r="G105" t="s">
        <v>38</v>
      </c>
      <c r="H105" s="2">
        <v>253249483705</v>
      </c>
      <c r="I105" t="s">
        <v>21</v>
      </c>
      <c r="J105" t="s">
        <v>21</v>
      </c>
      <c r="K105" t="s">
        <v>21</v>
      </c>
      <c r="L105" t="str">
        <f>VLOOKUP(H:H,'[1]VEPL-DEC-24'!$D:$AS,42,0)</f>
        <v>P</v>
      </c>
      <c r="M105">
        <f>VLOOKUP(H:H,'[1]VEPL-DEC-24'!$D:$AT,43,0)</f>
        <v>0</v>
      </c>
      <c r="N105" t="s">
        <v>21</v>
      </c>
      <c r="P105">
        <f>VLOOKUP(H:H,'[1]VEPL-DEC-24'!$D:$H,5,0)</f>
        <v>10002</v>
      </c>
    </row>
    <row r="106" spans="1:16" x14ac:dyDescent="0.3">
      <c r="A106">
        <v>105</v>
      </c>
      <c r="B106" t="s">
        <v>16</v>
      </c>
      <c r="C106" t="s">
        <v>351</v>
      </c>
      <c r="D106" t="s">
        <v>352</v>
      </c>
      <c r="E106" t="s">
        <v>353</v>
      </c>
      <c r="F106" t="s">
        <v>37</v>
      </c>
      <c r="G106" t="s">
        <v>38</v>
      </c>
      <c r="H106" s="2">
        <v>968629268004</v>
      </c>
      <c r="I106" t="s">
        <v>21</v>
      </c>
      <c r="J106" t="s">
        <v>21</v>
      </c>
      <c r="K106" t="s">
        <v>21</v>
      </c>
      <c r="L106" t="str">
        <f>VLOOKUP(H:H,'[1]VEPL-DEC-24'!$D:$AS,42,0)</f>
        <v>P</v>
      </c>
      <c r="M106">
        <f>VLOOKUP(H:H,'[1]VEPL-DEC-24'!$D:$AT,43,0)</f>
        <v>0</v>
      </c>
      <c r="N106" t="s">
        <v>21</v>
      </c>
      <c r="P106">
        <f>VLOOKUP(H:H,'[1]VEPL-DEC-24'!$D:$H,5,0)</f>
        <v>10008</v>
      </c>
    </row>
    <row r="107" spans="1:16" x14ac:dyDescent="0.3">
      <c r="A107">
        <v>106</v>
      </c>
      <c r="B107" t="s">
        <v>16</v>
      </c>
      <c r="C107" t="s">
        <v>354</v>
      </c>
      <c r="D107" t="s">
        <v>355</v>
      </c>
      <c r="E107" t="s">
        <v>356</v>
      </c>
      <c r="F107" t="s">
        <v>156</v>
      </c>
      <c r="G107" t="s">
        <v>38</v>
      </c>
      <c r="H107" s="2">
        <v>661232014431</v>
      </c>
      <c r="I107" t="s">
        <v>21</v>
      </c>
      <c r="J107" t="s">
        <v>21</v>
      </c>
      <c r="K107" t="s">
        <v>21</v>
      </c>
      <c r="L107" t="str">
        <f>VLOOKUP(H:H,'[1]VEPL-DEC-24'!$D:$AS,42,0)</f>
        <v>P</v>
      </c>
      <c r="M107">
        <f>VLOOKUP(H:H,'[1]VEPL-DEC-24'!$D:$AT,43,0)</f>
        <v>0</v>
      </c>
      <c r="N107" t="s">
        <v>21</v>
      </c>
      <c r="P107">
        <f>VLOOKUP(H:H,'[1]VEPL-DEC-24'!$D:$H,5,0)</f>
        <v>10002</v>
      </c>
    </row>
    <row r="108" spans="1:16" x14ac:dyDescent="0.3">
      <c r="A108">
        <v>107</v>
      </c>
      <c r="B108" t="s">
        <v>16</v>
      </c>
      <c r="C108" t="s">
        <v>357</v>
      </c>
      <c r="D108" t="s">
        <v>358</v>
      </c>
      <c r="E108" t="s">
        <v>359</v>
      </c>
      <c r="F108" t="s">
        <v>71</v>
      </c>
      <c r="G108" t="s">
        <v>38</v>
      </c>
      <c r="H108" s="2">
        <v>443531412319</v>
      </c>
      <c r="I108" t="s">
        <v>21</v>
      </c>
      <c r="J108" t="s">
        <v>21</v>
      </c>
      <c r="K108" t="s">
        <v>21</v>
      </c>
      <c r="L108" t="str">
        <f>VLOOKUP(H:H,'[1]VEPL-DEC-24'!$D:$AS,42,0)</f>
        <v>P</v>
      </c>
      <c r="M108">
        <f>VLOOKUP(H:H,'[1]VEPL-DEC-24'!$D:$AT,43,0)</f>
        <v>11</v>
      </c>
      <c r="N108" t="s">
        <v>21</v>
      </c>
      <c r="P108">
        <f>VLOOKUP(H:H,'[1]VEPL-DEC-24'!$D:$H,5,0)</f>
        <v>10003</v>
      </c>
    </row>
    <row r="109" spans="1:16" hidden="1" x14ac:dyDescent="0.3">
      <c r="A109">
        <v>108</v>
      </c>
      <c r="B109" t="s">
        <v>16</v>
      </c>
      <c r="C109" t="s">
        <v>360</v>
      </c>
      <c r="D109" t="s">
        <v>361</v>
      </c>
      <c r="E109" t="s">
        <v>362</v>
      </c>
      <c r="F109" t="s">
        <v>37</v>
      </c>
      <c r="G109" t="s">
        <v>38</v>
      </c>
      <c r="H109" s="2">
        <v>482085043752</v>
      </c>
      <c r="I109" t="s">
        <v>21</v>
      </c>
      <c r="J109" t="s">
        <v>21</v>
      </c>
      <c r="K109" t="s">
        <v>21</v>
      </c>
      <c r="L109" t="e">
        <f>VLOOKUP(H:H,'[1]VEPL-DEC-24'!$D:$AS,42,0)</f>
        <v>#N/A</v>
      </c>
      <c r="M109" t="e">
        <f>VLOOKUP(H:H,'[1]VEPL-DEC-24'!$D:$AT,43,0)</f>
        <v>#N/A</v>
      </c>
      <c r="N109" t="s">
        <v>21</v>
      </c>
      <c r="P109" t="e">
        <f>VLOOKUP(H:H,'[1]VEPL-DEC-24'!$D:$H,5,0)</f>
        <v>#N/A</v>
      </c>
    </row>
    <row r="110" spans="1:16" x14ac:dyDescent="0.3">
      <c r="A110">
        <v>109</v>
      </c>
      <c r="B110" t="s">
        <v>16</v>
      </c>
      <c r="C110" t="s">
        <v>363</v>
      </c>
      <c r="D110" t="s">
        <v>364</v>
      </c>
      <c r="E110" t="s">
        <v>365</v>
      </c>
      <c r="F110" t="s">
        <v>48</v>
      </c>
      <c r="G110" t="s">
        <v>38</v>
      </c>
      <c r="H110" s="2">
        <v>594972338418</v>
      </c>
      <c r="I110" t="s">
        <v>21</v>
      </c>
      <c r="J110" t="s">
        <v>21</v>
      </c>
      <c r="K110" t="s">
        <v>21</v>
      </c>
      <c r="L110" t="str">
        <f>VLOOKUP(H:H,'[1]VEPL-DEC-24'!$D:$AS,42,0)</f>
        <v>P</v>
      </c>
      <c r="M110">
        <f>VLOOKUP(H:H,'[1]VEPL-DEC-24'!$D:$AT,43,0)</f>
        <v>0</v>
      </c>
      <c r="N110" t="s">
        <v>21</v>
      </c>
      <c r="P110">
        <f>VLOOKUP(H:H,'[1]VEPL-DEC-24'!$D:$H,5,0)</f>
        <v>10002</v>
      </c>
    </row>
    <row r="111" spans="1:16" x14ac:dyDescent="0.3">
      <c r="A111">
        <v>110</v>
      </c>
      <c r="B111" t="s">
        <v>16</v>
      </c>
      <c r="C111" t="s">
        <v>366</v>
      </c>
      <c r="D111" t="s">
        <v>367</v>
      </c>
      <c r="E111" t="s">
        <v>368</v>
      </c>
      <c r="F111" t="s">
        <v>48</v>
      </c>
      <c r="G111" t="s">
        <v>38</v>
      </c>
      <c r="H111" s="2">
        <v>988770554938</v>
      </c>
      <c r="I111" t="s">
        <v>21</v>
      </c>
      <c r="J111" t="s">
        <v>21</v>
      </c>
      <c r="K111" t="s">
        <v>21</v>
      </c>
      <c r="L111" t="str">
        <f>VLOOKUP(H:H,'[1]VEPL-DEC-24'!$D:$AS,42,0)</f>
        <v>P</v>
      </c>
      <c r="M111">
        <f>VLOOKUP(H:H,'[1]VEPL-DEC-24'!$D:$AT,43,0)</f>
        <v>0</v>
      </c>
      <c r="N111" t="s">
        <v>21</v>
      </c>
      <c r="P111">
        <f>VLOOKUP(H:H,'[1]VEPL-DEC-24'!$D:$H,5,0)</f>
        <v>10003</v>
      </c>
    </row>
    <row r="112" spans="1:16" x14ac:dyDescent="0.3">
      <c r="A112">
        <v>111</v>
      </c>
      <c r="B112" t="s">
        <v>16</v>
      </c>
      <c r="C112" t="s">
        <v>369</v>
      </c>
      <c r="D112" t="s">
        <v>370</v>
      </c>
      <c r="E112" t="s">
        <v>371</v>
      </c>
      <c r="F112" t="s">
        <v>71</v>
      </c>
      <c r="G112" t="s">
        <v>38</v>
      </c>
      <c r="H112" s="2">
        <v>619402285686</v>
      </c>
      <c r="I112" t="s">
        <v>21</v>
      </c>
      <c r="J112" t="s">
        <v>21</v>
      </c>
      <c r="K112" t="s">
        <v>21</v>
      </c>
      <c r="L112" t="str">
        <f>VLOOKUP(H:H,'[1]VEPL-DEC-24'!$D:$AS,42,0)</f>
        <v>P</v>
      </c>
      <c r="M112">
        <f>VLOOKUP(H:H,'[1]VEPL-DEC-24'!$D:$AT,43,0)</f>
        <v>0</v>
      </c>
      <c r="N112" t="s">
        <v>21</v>
      </c>
      <c r="P112">
        <f>VLOOKUP(H:H,'[1]VEPL-DEC-24'!$D:$H,5,0)</f>
        <v>10002</v>
      </c>
    </row>
    <row r="113" spans="1:16" hidden="1" x14ac:dyDescent="0.3">
      <c r="A113">
        <v>112</v>
      </c>
      <c r="B113" t="s">
        <v>16</v>
      </c>
      <c r="C113" t="s">
        <v>372</v>
      </c>
      <c r="D113" t="s">
        <v>373</v>
      </c>
      <c r="E113" t="s">
        <v>372</v>
      </c>
      <c r="F113" t="s">
        <v>71</v>
      </c>
      <c r="G113" t="s">
        <v>38</v>
      </c>
      <c r="H113" s="2">
        <v>349967922146</v>
      </c>
      <c r="I113" t="s">
        <v>21</v>
      </c>
      <c r="J113" t="s">
        <v>21</v>
      </c>
      <c r="K113" t="s">
        <v>21</v>
      </c>
      <c r="L113" t="e">
        <f>VLOOKUP(H:H,'[1]VEPL-DEC-24'!$D:$AS,42,0)</f>
        <v>#N/A</v>
      </c>
      <c r="M113" t="e">
        <f>VLOOKUP(H:H,'[1]VEPL-DEC-24'!$D:$AT,43,0)</f>
        <v>#N/A</v>
      </c>
      <c r="N113" t="s">
        <v>21</v>
      </c>
      <c r="P113" t="e">
        <f>VLOOKUP(H:H,'[1]VEPL-DEC-24'!$D:$H,5,0)</f>
        <v>#N/A</v>
      </c>
    </row>
    <row r="114" spans="1:16" hidden="1" x14ac:dyDescent="0.3">
      <c r="A114">
        <v>113</v>
      </c>
      <c r="B114" t="s">
        <v>16</v>
      </c>
      <c r="C114" t="s">
        <v>374</v>
      </c>
      <c r="D114" t="s">
        <v>375</v>
      </c>
      <c r="E114" t="s">
        <v>376</v>
      </c>
      <c r="F114" t="s">
        <v>79</v>
      </c>
      <c r="G114" t="s">
        <v>38</v>
      </c>
      <c r="H114" s="2">
        <v>834510828009</v>
      </c>
      <c r="I114" t="s">
        <v>21</v>
      </c>
      <c r="J114" t="s">
        <v>21</v>
      </c>
      <c r="K114" t="s">
        <v>21</v>
      </c>
      <c r="L114" t="e">
        <f>VLOOKUP(H:H,'[1]VEPL-DEC-24'!$D:$AS,42,0)</f>
        <v>#N/A</v>
      </c>
      <c r="M114" t="e">
        <f>VLOOKUP(H:H,'[1]VEPL-DEC-24'!$D:$AT,43,0)</f>
        <v>#N/A</v>
      </c>
      <c r="N114" t="s">
        <v>21</v>
      </c>
      <c r="P114" t="e">
        <f>VLOOKUP(H:H,'[1]VEPL-DEC-24'!$D:$H,5,0)</f>
        <v>#N/A</v>
      </c>
    </row>
    <row r="115" spans="1:16" hidden="1" x14ac:dyDescent="0.3">
      <c r="A115">
        <v>114</v>
      </c>
      <c r="B115" t="s">
        <v>16</v>
      </c>
      <c r="C115" t="s">
        <v>377</v>
      </c>
      <c r="D115" t="s">
        <v>378</v>
      </c>
      <c r="E115" t="s">
        <v>379</v>
      </c>
      <c r="F115" t="s">
        <v>380</v>
      </c>
      <c r="G115" t="s">
        <v>38</v>
      </c>
      <c r="H115" s="2">
        <v>754167408270</v>
      </c>
      <c r="I115" t="s">
        <v>21</v>
      </c>
      <c r="J115" t="s">
        <v>21</v>
      </c>
      <c r="K115" t="s">
        <v>21</v>
      </c>
      <c r="L115" t="str">
        <f>VLOOKUP(H:H,'[1]VEPL-DEC-24'!$D:$AS,42,0)</f>
        <v>o</v>
      </c>
      <c r="M115">
        <f>VLOOKUP(H:H,'[1]VEPL-DEC-24'!$D:$AT,43,0)</f>
        <v>0</v>
      </c>
      <c r="N115" t="s">
        <v>21</v>
      </c>
      <c r="P115">
        <f>VLOOKUP(H:H,'[1]VEPL-DEC-24'!$D:$H,5,0)</f>
        <v>10003</v>
      </c>
    </row>
    <row r="116" spans="1:16" x14ac:dyDescent="0.3">
      <c r="A116">
        <v>115</v>
      </c>
      <c r="B116" t="s">
        <v>16</v>
      </c>
      <c r="C116" t="s">
        <v>381</v>
      </c>
      <c r="D116" t="s">
        <v>382</v>
      </c>
      <c r="E116" t="s">
        <v>383</v>
      </c>
      <c r="F116" t="s">
        <v>37</v>
      </c>
      <c r="G116" t="s">
        <v>38</v>
      </c>
      <c r="H116" s="2">
        <v>584365626331</v>
      </c>
      <c r="I116" t="s">
        <v>21</v>
      </c>
      <c r="J116" t="s">
        <v>21</v>
      </c>
      <c r="K116" t="s">
        <v>21</v>
      </c>
      <c r="L116" t="str">
        <f>VLOOKUP(H:H,'[1]VEPL-DEC-24'!$D:$AS,42,0)</f>
        <v>P</v>
      </c>
      <c r="M116">
        <f>VLOOKUP(H:H,'[1]VEPL-DEC-24'!$D:$AT,43,0)</f>
        <v>11</v>
      </c>
      <c r="N116" t="s">
        <v>21</v>
      </c>
      <c r="P116">
        <f>VLOOKUP(H:H,'[1]VEPL-DEC-24'!$D:$H,5,0)</f>
        <v>10006</v>
      </c>
    </row>
    <row r="117" spans="1:16" hidden="1" x14ac:dyDescent="0.3">
      <c r="A117">
        <v>116</v>
      </c>
      <c r="B117" t="s">
        <v>16</v>
      </c>
      <c r="C117" t="s">
        <v>384</v>
      </c>
      <c r="D117" t="s">
        <v>385</v>
      </c>
      <c r="E117" t="s">
        <v>386</v>
      </c>
      <c r="F117" t="s">
        <v>387</v>
      </c>
      <c r="G117" t="s">
        <v>38</v>
      </c>
      <c r="H117" s="2">
        <v>466717574553</v>
      </c>
      <c r="I117" t="s">
        <v>21</v>
      </c>
      <c r="J117" t="s">
        <v>21</v>
      </c>
      <c r="K117" t="s">
        <v>21</v>
      </c>
      <c r="L117" t="str">
        <f>VLOOKUP(H:H,'[1]VEPL-DEC-24'!$D:$AS,42,0)</f>
        <v>o</v>
      </c>
      <c r="M117">
        <f>VLOOKUP(H:H,'[1]VEPL-DEC-24'!$D:$AT,43,0)</f>
        <v>0</v>
      </c>
      <c r="N117" t="s">
        <v>21</v>
      </c>
      <c r="P117">
        <f>VLOOKUP(H:H,'[1]VEPL-DEC-24'!$D:$H,5,0)</f>
        <v>10006</v>
      </c>
    </row>
    <row r="118" spans="1:16" x14ac:dyDescent="0.3">
      <c r="A118">
        <v>117</v>
      </c>
      <c r="B118" t="s">
        <v>16</v>
      </c>
      <c r="C118" t="s">
        <v>388</v>
      </c>
      <c r="D118" t="s">
        <v>389</v>
      </c>
      <c r="E118" t="s">
        <v>390</v>
      </c>
      <c r="F118" t="s">
        <v>56</v>
      </c>
      <c r="G118" t="s">
        <v>20</v>
      </c>
      <c r="H118" s="2">
        <v>582992393804</v>
      </c>
      <c r="I118" t="s">
        <v>21</v>
      </c>
      <c r="J118" t="s">
        <v>21</v>
      </c>
      <c r="K118" t="s">
        <v>21</v>
      </c>
      <c r="L118" t="str">
        <f>VLOOKUP(H:H,'[1]VEPL-DEC-24'!$D:$AS,42,0)</f>
        <v>P</v>
      </c>
      <c r="M118">
        <f>VLOOKUP(H:H,'[1]VEPL-DEC-24'!$D:$AT,43,0)</f>
        <v>0</v>
      </c>
      <c r="N118" t="s">
        <v>21</v>
      </c>
      <c r="P118">
        <f>VLOOKUP(H:H,'[1]VEPL-DEC-24'!$D:$H,5,0)</f>
        <v>10003</v>
      </c>
    </row>
    <row r="119" spans="1:16" x14ac:dyDescent="0.3">
      <c r="A119">
        <v>118</v>
      </c>
      <c r="B119" t="s">
        <v>16</v>
      </c>
      <c r="C119" t="s">
        <v>391</v>
      </c>
      <c r="D119" t="s">
        <v>392</v>
      </c>
      <c r="E119" t="s">
        <v>393</v>
      </c>
      <c r="F119" t="s">
        <v>64</v>
      </c>
      <c r="G119" t="s">
        <v>20</v>
      </c>
      <c r="H119" s="2">
        <v>569379185418</v>
      </c>
      <c r="I119" t="s">
        <v>21</v>
      </c>
      <c r="J119" t="s">
        <v>21</v>
      </c>
      <c r="K119" t="s">
        <v>21</v>
      </c>
      <c r="L119" t="str">
        <f>VLOOKUP(H:H,'[1]VEPL-DEC-24'!$D:$AS,42,0)</f>
        <v>P</v>
      </c>
      <c r="M119">
        <f>VLOOKUP(H:H,'[1]VEPL-DEC-24'!$D:$AT,43,0)</f>
        <v>0</v>
      </c>
      <c r="N119" t="s">
        <v>21</v>
      </c>
      <c r="P119">
        <f>VLOOKUP(H:H,'[1]VEPL-DEC-24'!$D:$H,5,0)</f>
        <v>10002</v>
      </c>
    </row>
    <row r="120" spans="1:16" x14ac:dyDescent="0.3">
      <c r="A120">
        <v>119</v>
      </c>
      <c r="B120" t="s">
        <v>16</v>
      </c>
      <c r="C120" t="s">
        <v>394</v>
      </c>
      <c r="D120" t="s">
        <v>395</v>
      </c>
      <c r="E120" t="s">
        <v>396</v>
      </c>
      <c r="F120" t="s">
        <v>281</v>
      </c>
      <c r="G120" t="s">
        <v>38</v>
      </c>
      <c r="H120" s="2">
        <v>388631866578</v>
      </c>
      <c r="I120" t="s">
        <v>21</v>
      </c>
      <c r="J120" t="s">
        <v>21</v>
      </c>
      <c r="K120" t="s">
        <v>21</v>
      </c>
      <c r="L120" t="str">
        <f>VLOOKUP(H:H,'[1]VEPL-DEC-24'!$D:$AS,42,0)</f>
        <v>P</v>
      </c>
      <c r="M120">
        <f>VLOOKUP(H:H,'[1]VEPL-DEC-24'!$D:$AT,43,0)</f>
        <v>11</v>
      </c>
      <c r="N120" t="s">
        <v>21</v>
      </c>
      <c r="P120">
        <f>VLOOKUP(H:H,'[1]VEPL-DEC-24'!$D:$H,5,0)</f>
        <v>10009</v>
      </c>
    </row>
    <row r="121" spans="1:16" x14ac:dyDescent="0.3">
      <c r="A121">
        <v>120</v>
      </c>
      <c r="B121" t="s">
        <v>16</v>
      </c>
      <c r="C121" t="s">
        <v>397</v>
      </c>
      <c r="D121" t="s">
        <v>398</v>
      </c>
      <c r="E121" t="s">
        <v>399</v>
      </c>
      <c r="F121" t="s">
        <v>400</v>
      </c>
      <c r="G121" t="s">
        <v>38</v>
      </c>
      <c r="H121" s="2">
        <v>535543181135</v>
      </c>
      <c r="I121" t="s">
        <v>21</v>
      </c>
      <c r="J121" t="s">
        <v>21</v>
      </c>
      <c r="K121" t="s">
        <v>21</v>
      </c>
      <c r="L121" t="str">
        <f>VLOOKUP(H:H,'[1]VEPL-DEC-24'!$D:$AS,42,0)</f>
        <v>P</v>
      </c>
      <c r="M121">
        <f>VLOOKUP(H:H,'[1]VEPL-DEC-24'!$D:$AT,43,0)</f>
        <v>0</v>
      </c>
      <c r="N121" t="s">
        <v>21</v>
      </c>
      <c r="P121">
        <f>VLOOKUP(H:H,'[1]VEPL-DEC-24'!$D:$H,5,0)</f>
        <v>10002</v>
      </c>
    </row>
    <row r="122" spans="1:16" x14ac:dyDescent="0.3">
      <c r="A122">
        <v>121</v>
      </c>
      <c r="B122" t="s">
        <v>16</v>
      </c>
      <c r="C122" t="s">
        <v>296</v>
      </c>
      <c r="D122" t="s">
        <v>401</v>
      </c>
      <c r="E122" t="s">
        <v>402</v>
      </c>
      <c r="F122" t="s">
        <v>48</v>
      </c>
      <c r="G122" t="s">
        <v>38</v>
      </c>
      <c r="H122" s="2">
        <v>582142197684</v>
      </c>
      <c r="I122" t="s">
        <v>21</v>
      </c>
      <c r="J122" t="s">
        <v>21</v>
      </c>
      <c r="K122" t="s">
        <v>21</v>
      </c>
      <c r="L122" t="str">
        <f>VLOOKUP(H:H,'[1]VEPL-DEC-24'!$D:$AS,42,0)</f>
        <v>P</v>
      </c>
      <c r="M122">
        <f>VLOOKUP(H:H,'[1]VEPL-DEC-24'!$D:$AT,43,0)</f>
        <v>0</v>
      </c>
      <c r="N122" t="s">
        <v>21</v>
      </c>
      <c r="P122">
        <f>VLOOKUP(H:H,'[1]VEPL-DEC-24'!$D:$H,5,0)</f>
        <v>10002</v>
      </c>
    </row>
    <row r="123" spans="1:16" x14ac:dyDescent="0.3">
      <c r="A123">
        <v>122</v>
      </c>
      <c r="B123" t="s">
        <v>16</v>
      </c>
      <c r="C123" t="s">
        <v>403</v>
      </c>
      <c r="D123" t="s">
        <v>404</v>
      </c>
      <c r="E123" t="s">
        <v>405</v>
      </c>
      <c r="F123" t="s">
        <v>25</v>
      </c>
      <c r="G123" t="s">
        <v>20</v>
      </c>
      <c r="H123" s="2">
        <v>623216630426</v>
      </c>
      <c r="I123" t="s">
        <v>21</v>
      </c>
      <c r="J123" t="s">
        <v>21</v>
      </c>
      <c r="K123" t="s">
        <v>21</v>
      </c>
      <c r="L123" t="str">
        <f>VLOOKUP(H:H,'[1]VEPL-DEC-24'!$D:$AS,42,0)</f>
        <v>P</v>
      </c>
      <c r="M123">
        <f>VLOOKUP(H:H,'[1]VEPL-DEC-24'!$D:$AT,43,0)</f>
        <v>0</v>
      </c>
      <c r="N123" t="s">
        <v>21</v>
      </c>
      <c r="P123">
        <f>VLOOKUP(H:H,'[1]VEPL-DEC-24'!$D:$H,5,0)</f>
        <v>10009</v>
      </c>
    </row>
    <row r="124" spans="1:16" x14ac:dyDescent="0.3">
      <c r="A124">
        <v>123</v>
      </c>
      <c r="B124" t="s">
        <v>16</v>
      </c>
      <c r="C124" t="s">
        <v>406</v>
      </c>
      <c r="D124" t="s">
        <v>407</v>
      </c>
      <c r="E124" t="s">
        <v>408</v>
      </c>
      <c r="F124" t="s">
        <v>409</v>
      </c>
      <c r="G124" t="s">
        <v>38</v>
      </c>
      <c r="H124" s="2">
        <v>574866988141</v>
      </c>
      <c r="I124" t="s">
        <v>21</v>
      </c>
      <c r="J124" t="s">
        <v>21</v>
      </c>
      <c r="K124" t="s">
        <v>21</v>
      </c>
      <c r="L124" t="str">
        <f>VLOOKUP(H:H,'[1]VEPL-DEC-24'!$D:$AS,42,0)</f>
        <v>P</v>
      </c>
      <c r="M124">
        <f>VLOOKUP(H:H,'[1]VEPL-DEC-24'!$D:$AT,43,0)</f>
        <v>0</v>
      </c>
      <c r="N124" t="s">
        <v>21</v>
      </c>
      <c r="P124">
        <f>VLOOKUP(H:H,'[1]VEPL-DEC-24'!$D:$H,5,0)</f>
        <v>10003</v>
      </c>
    </row>
    <row r="125" spans="1:16" x14ac:dyDescent="0.3">
      <c r="A125">
        <v>124</v>
      </c>
      <c r="B125" t="s">
        <v>16</v>
      </c>
      <c r="C125" t="s">
        <v>410</v>
      </c>
      <c r="D125" t="s">
        <v>411</v>
      </c>
      <c r="E125" t="s">
        <v>321</v>
      </c>
      <c r="F125" t="s">
        <v>156</v>
      </c>
      <c r="G125" t="s">
        <v>38</v>
      </c>
      <c r="H125" s="2">
        <v>473303096926</v>
      </c>
      <c r="I125" t="s">
        <v>21</v>
      </c>
      <c r="J125" t="s">
        <v>21</v>
      </c>
      <c r="K125" t="s">
        <v>21</v>
      </c>
      <c r="L125" t="str">
        <f>VLOOKUP(H:H,'[1]VEPL-DEC-24'!$D:$AS,42,0)</f>
        <v>P</v>
      </c>
      <c r="M125">
        <f>VLOOKUP(H:H,'[1]VEPL-DEC-24'!$D:$AT,43,0)</f>
        <v>0</v>
      </c>
      <c r="N125" t="s">
        <v>21</v>
      </c>
      <c r="P125">
        <f>VLOOKUP(H:H,'[1]VEPL-DEC-24'!$D:$H,5,0)</f>
        <v>10009</v>
      </c>
    </row>
    <row r="126" spans="1:16" hidden="1" x14ac:dyDescent="0.3">
      <c r="A126">
        <v>125</v>
      </c>
      <c r="B126" t="s">
        <v>16</v>
      </c>
      <c r="C126" t="s">
        <v>412</v>
      </c>
      <c r="D126" t="s">
        <v>413</v>
      </c>
      <c r="E126" t="s">
        <v>414</v>
      </c>
      <c r="F126" t="s">
        <v>137</v>
      </c>
      <c r="G126" t="s">
        <v>38</v>
      </c>
      <c r="H126" s="2">
        <v>927551165393</v>
      </c>
      <c r="I126" t="s">
        <v>21</v>
      </c>
      <c r="J126" t="s">
        <v>21</v>
      </c>
      <c r="K126" t="s">
        <v>21</v>
      </c>
      <c r="L126" t="str">
        <f>VLOOKUP(H:H,'[1]VEPL-DEC-24'!$D:$AS,42,0)</f>
        <v>o</v>
      </c>
      <c r="M126">
        <f>VLOOKUP(H:H,'[1]VEPL-DEC-24'!$D:$AT,43,0)</f>
        <v>0</v>
      </c>
      <c r="N126" t="s">
        <v>21</v>
      </c>
      <c r="P126">
        <f>VLOOKUP(H:H,'[1]VEPL-DEC-24'!$D:$H,5,0)</f>
        <v>10008</v>
      </c>
    </row>
    <row r="127" spans="1:16" x14ac:dyDescent="0.3">
      <c r="A127">
        <v>126</v>
      </c>
      <c r="B127" t="s">
        <v>16</v>
      </c>
      <c r="C127" t="s">
        <v>415</v>
      </c>
      <c r="D127" t="s">
        <v>416</v>
      </c>
      <c r="E127" t="s">
        <v>417</v>
      </c>
      <c r="F127" t="s">
        <v>48</v>
      </c>
      <c r="G127" t="s">
        <v>38</v>
      </c>
      <c r="H127" s="2">
        <v>221895255788</v>
      </c>
      <c r="I127" t="s">
        <v>21</v>
      </c>
      <c r="J127" t="s">
        <v>21</v>
      </c>
      <c r="K127" t="s">
        <v>21</v>
      </c>
      <c r="L127" t="str">
        <f>VLOOKUP(H:H,'[1]VEPL-DEC-24'!$D:$AS,42,0)</f>
        <v>P</v>
      </c>
      <c r="M127">
        <f>VLOOKUP(H:H,'[1]VEPL-DEC-24'!$D:$AT,43,0)</f>
        <v>0</v>
      </c>
      <c r="N127" t="s">
        <v>21</v>
      </c>
      <c r="P127">
        <f>VLOOKUP(H:H,'[1]VEPL-DEC-24'!$D:$H,5,0)</f>
        <v>10002</v>
      </c>
    </row>
    <row r="128" spans="1:16" x14ac:dyDescent="0.3">
      <c r="A128">
        <v>127</v>
      </c>
      <c r="B128" t="s">
        <v>16</v>
      </c>
      <c r="C128" t="s">
        <v>88</v>
      </c>
      <c r="D128" t="s">
        <v>418</v>
      </c>
      <c r="E128" t="s">
        <v>419</v>
      </c>
      <c r="F128" t="s">
        <v>420</v>
      </c>
      <c r="G128" t="s">
        <v>38</v>
      </c>
      <c r="H128" s="2">
        <v>233610092196</v>
      </c>
      <c r="I128" t="s">
        <v>21</v>
      </c>
      <c r="J128" t="s">
        <v>21</v>
      </c>
      <c r="K128" t="s">
        <v>21</v>
      </c>
      <c r="L128" t="str">
        <f>VLOOKUP(H:H,'[1]VEPL-DEC-24'!$D:$AS,42,0)</f>
        <v>P</v>
      </c>
      <c r="M128">
        <f>VLOOKUP(H:H,'[1]VEPL-DEC-24'!$D:$AT,43,0)</f>
        <v>0</v>
      </c>
      <c r="N128" t="s">
        <v>21</v>
      </c>
      <c r="P128">
        <f>VLOOKUP(H:H,'[1]VEPL-DEC-24'!$D:$H,5,0)</f>
        <v>10003</v>
      </c>
    </row>
    <row r="129" spans="1:16" hidden="1" x14ac:dyDescent="0.3">
      <c r="A129">
        <v>128</v>
      </c>
      <c r="B129" t="s">
        <v>16</v>
      </c>
      <c r="C129" t="s">
        <v>421</v>
      </c>
      <c r="D129" t="s">
        <v>422</v>
      </c>
      <c r="E129" t="s">
        <v>423</v>
      </c>
      <c r="F129" t="s">
        <v>83</v>
      </c>
      <c r="G129" t="s">
        <v>38</v>
      </c>
      <c r="H129" s="2">
        <v>746823229113</v>
      </c>
      <c r="I129" t="s">
        <v>21</v>
      </c>
      <c r="J129" t="s">
        <v>21</v>
      </c>
      <c r="K129" t="s">
        <v>21</v>
      </c>
      <c r="L129" t="e">
        <f>VLOOKUP(H:H,'[1]VEPL-DEC-24'!$D:$AS,42,0)</f>
        <v>#N/A</v>
      </c>
      <c r="M129" t="e">
        <f>VLOOKUP(H:H,'[1]VEPL-DEC-24'!$D:$AT,43,0)</f>
        <v>#N/A</v>
      </c>
      <c r="N129" t="s">
        <v>21</v>
      </c>
      <c r="P129" t="e">
        <f>VLOOKUP(H:H,'[1]VEPL-DEC-24'!$D:$H,5,0)</f>
        <v>#N/A</v>
      </c>
    </row>
    <row r="130" spans="1:16" hidden="1" x14ac:dyDescent="0.3">
      <c r="A130">
        <v>129</v>
      </c>
      <c r="B130" t="s">
        <v>16</v>
      </c>
      <c r="C130" t="s">
        <v>424</v>
      </c>
      <c r="D130" t="s">
        <v>425</v>
      </c>
      <c r="E130" t="s">
        <v>426</v>
      </c>
      <c r="F130" t="s">
        <v>48</v>
      </c>
      <c r="G130" t="s">
        <v>38</v>
      </c>
      <c r="H130" s="2">
        <v>354773301356</v>
      </c>
      <c r="I130" t="s">
        <v>21</v>
      </c>
      <c r="J130" t="s">
        <v>21</v>
      </c>
      <c r="K130" t="s">
        <v>21</v>
      </c>
      <c r="L130" t="e">
        <f>VLOOKUP(H:H,'[1]VEPL-DEC-24'!$D:$AS,42,0)</f>
        <v>#N/A</v>
      </c>
      <c r="M130" t="e">
        <f>VLOOKUP(H:H,'[1]VEPL-DEC-24'!$D:$AT,43,0)</f>
        <v>#N/A</v>
      </c>
      <c r="N130" t="s">
        <v>21</v>
      </c>
      <c r="P130" t="e">
        <f>VLOOKUP(H:H,'[1]VEPL-DEC-24'!$D:$H,5,0)</f>
        <v>#N/A</v>
      </c>
    </row>
    <row r="131" spans="1:16" x14ac:dyDescent="0.3">
      <c r="A131">
        <v>130</v>
      </c>
      <c r="B131" t="s">
        <v>16</v>
      </c>
      <c r="C131" t="s">
        <v>427</v>
      </c>
      <c r="D131" t="s">
        <v>428</v>
      </c>
      <c r="E131" t="s">
        <v>429</v>
      </c>
      <c r="F131" t="s">
        <v>83</v>
      </c>
      <c r="G131" t="s">
        <v>38</v>
      </c>
      <c r="H131" s="2">
        <v>641623800380</v>
      </c>
      <c r="I131" t="s">
        <v>21</v>
      </c>
      <c r="J131" t="s">
        <v>21</v>
      </c>
      <c r="K131" t="s">
        <v>21</v>
      </c>
      <c r="L131" t="str">
        <f>VLOOKUP(H:H,'[1]VEPL-DEC-24'!$D:$AS,42,0)</f>
        <v>P</v>
      </c>
      <c r="M131">
        <f>VLOOKUP(H:H,'[1]VEPL-DEC-24'!$D:$AT,43,0)</f>
        <v>0</v>
      </c>
      <c r="N131" t="s">
        <v>21</v>
      </c>
      <c r="P131">
        <f>VLOOKUP(H:H,'[1]VEPL-DEC-24'!$D:$H,5,0)</f>
        <v>10002</v>
      </c>
    </row>
    <row r="132" spans="1:16" x14ac:dyDescent="0.3">
      <c r="A132">
        <v>131</v>
      </c>
      <c r="B132" t="s">
        <v>16</v>
      </c>
      <c r="C132" t="s">
        <v>430</v>
      </c>
      <c r="D132" t="s">
        <v>431</v>
      </c>
      <c r="E132" t="s">
        <v>432</v>
      </c>
      <c r="F132" t="s">
        <v>71</v>
      </c>
      <c r="G132" t="s">
        <v>38</v>
      </c>
      <c r="H132" s="2">
        <v>721897666064</v>
      </c>
      <c r="I132" t="s">
        <v>21</v>
      </c>
      <c r="J132" t="s">
        <v>21</v>
      </c>
      <c r="K132" t="s">
        <v>21</v>
      </c>
      <c r="L132" t="str">
        <f>VLOOKUP(H:H,'[1]VEPL-DEC-24'!$D:$AS,42,0)</f>
        <v>P</v>
      </c>
      <c r="M132">
        <f>VLOOKUP(H:H,'[1]VEPL-DEC-24'!$D:$AT,43,0)</f>
        <v>0</v>
      </c>
      <c r="N132" t="s">
        <v>21</v>
      </c>
      <c r="P132">
        <f>VLOOKUP(H:H,'[1]VEPL-DEC-24'!$D:$H,5,0)</f>
        <v>10006</v>
      </c>
    </row>
    <row r="133" spans="1:16" hidden="1" x14ac:dyDescent="0.3">
      <c r="A133">
        <v>132</v>
      </c>
      <c r="B133" t="s">
        <v>16</v>
      </c>
      <c r="C133" t="s">
        <v>433</v>
      </c>
      <c r="D133" t="s">
        <v>434</v>
      </c>
      <c r="E133" t="s">
        <v>435</v>
      </c>
      <c r="F133" t="s">
        <v>37</v>
      </c>
      <c r="G133" t="s">
        <v>38</v>
      </c>
      <c r="H133" s="2">
        <v>604827571282</v>
      </c>
      <c r="I133" t="s">
        <v>21</v>
      </c>
      <c r="J133" t="s">
        <v>21</v>
      </c>
      <c r="K133" t="s">
        <v>21</v>
      </c>
      <c r="L133" t="e">
        <f>VLOOKUP(H:H,'[1]VEPL-DEC-24'!$D:$AS,42,0)</f>
        <v>#N/A</v>
      </c>
      <c r="M133" t="e">
        <f>VLOOKUP(H:H,'[1]VEPL-DEC-24'!$D:$AT,43,0)</f>
        <v>#N/A</v>
      </c>
      <c r="N133" t="s">
        <v>21</v>
      </c>
      <c r="P133" t="e">
        <f>VLOOKUP(H:H,'[1]VEPL-DEC-24'!$D:$H,5,0)</f>
        <v>#N/A</v>
      </c>
    </row>
    <row r="134" spans="1:16" hidden="1" x14ac:dyDescent="0.3">
      <c r="A134">
        <v>133</v>
      </c>
      <c r="B134" t="s">
        <v>16</v>
      </c>
      <c r="C134" t="s">
        <v>436</v>
      </c>
      <c r="D134" t="s">
        <v>437</v>
      </c>
      <c r="E134" t="s">
        <v>438</v>
      </c>
      <c r="F134" t="s">
        <v>37</v>
      </c>
      <c r="G134" t="s">
        <v>38</v>
      </c>
      <c r="H134" s="2">
        <v>638812416106</v>
      </c>
      <c r="I134" t="s">
        <v>21</v>
      </c>
      <c r="J134" t="s">
        <v>21</v>
      </c>
      <c r="K134" t="s">
        <v>21</v>
      </c>
      <c r="L134" t="str">
        <f>VLOOKUP(H:H,'[1]VEPL-DEC-24'!$D:$AS,42,0)</f>
        <v>o</v>
      </c>
      <c r="M134">
        <f>VLOOKUP(H:H,'[1]VEPL-DEC-24'!$D:$AT,43,0)</f>
        <v>0</v>
      </c>
      <c r="N134" t="s">
        <v>21</v>
      </c>
      <c r="P134">
        <f>VLOOKUP(H:H,'[1]VEPL-DEC-24'!$D:$H,5,0)</f>
        <v>10002</v>
      </c>
    </row>
    <row r="135" spans="1:16" hidden="1" x14ac:dyDescent="0.3">
      <c r="A135">
        <v>134</v>
      </c>
      <c r="B135" t="s">
        <v>16</v>
      </c>
      <c r="C135" t="s">
        <v>439</v>
      </c>
      <c r="D135" t="s">
        <v>440</v>
      </c>
      <c r="E135" t="s">
        <v>441</v>
      </c>
      <c r="F135" t="s">
        <v>127</v>
      </c>
      <c r="G135" t="s">
        <v>38</v>
      </c>
      <c r="H135" s="2">
        <v>21752273</v>
      </c>
      <c r="I135" t="s">
        <v>21</v>
      </c>
      <c r="J135" t="s">
        <v>21</v>
      </c>
      <c r="K135" t="s">
        <v>21</v>
      </c>
      <c r="L135" t="e">
        <f>VLOOKUP(H:H,'[1]VEPL-DEC-24'!$D:$AS,42,0)</f>
        <v>#N/A</v>
      </c>
      <c r="M135" t="e">
        <f>VLOOKUP(H:H,'[1]VEPL-DEC-24'!$D:$AT,43,0)</f>
        <v>#N/A</v>
      </c>
      <c r="N135" t="s">
        <v>21</v>
      </c>
      <c r="P135" t="e">
        <f>VLOOKUP(H:H,'[1]VEPL-DEC-24'!$D:$H,5,0)</f>
        <v>#N/A</v>
      </c>
    </row>
    <row r="136" spans="1:16" x14ac:dyDescent="0.3">
      <c r="A136">
        <v>135</v>
      </c>
      <c r="B136" t="s">
        <v>16</v>
      </c>
      <c r="C136" t="s">
        <v>442</v>
      </c>
      <c r="D136" t="s">
        <v>443</v>
      </c>
      <c r="E136" t="s">
        <v>444</v>
      </c>
      <c r="F136" t="s">
        <v>281</v>
      </c>
      <c r="G136" t="s">
        <v>38</v>
      </c>
      <c r="H136" s="2">
        <v>997683470450</v>
      </c>
      <c r="I136" t="s">
        <v>21</v>
      </c>
      <c r="J136" t="s">
        <v>21</v>
      </c>
      <c r="K136" t="s">
        <v>21</v>
      </c>
      <c r="L136" t="str">
        <f>VLOOKUP(H:H,'[1]VEPL-DEC-24'!$D:$AS,42,0)</f>
        <v>P</v>
      </c>
      <c r="M136">
        <f>VLOOKUP(H:H,'[1]VEPL-DEC-24'!$D:$AT,43,0)</f>
        <v>0</v>
      </c>
      <c r="N136" t="s">
        <v>21</v>
      </c>
      <c r="P136">
        <f>VLOOKUP(H:H,'[1]VEPL-DEC-24'!$D:$H,5,0)</f>
        <v>10003</v>
      </c>
    </row>
    <row r="137" spans="1:16" x14ac:dyDescent="0.3">
      <c r="A137">
        <v>136</v>
      </c>
      <c r="B137" t="s">
        <v>16</v>
      </c>
      <c r="C137" t="s">
        <v>445</v>
      </c>
      <c r="D137" t="s">
        <v>446</v>
      </c>
      <c r="E137" t="s">
        <v>61</v>
      </c>
      <c r="F137" t="s">
        <v>216</v>
      </c>
      <c r="G137" t="s">
        <v>20</v>
      </c>
      <c r="H137" s="2">
        <v>431319605425</v>
      </c>
      <c r="I137" t="s">
        <v>21</v>
      </c>
      <c r="J137" t="s">
        <v>21</v>
      </c>
      <c r="K137" t="s">
        <v>21</v>
      </c>
      <c r="L137" t="str">
        <f>VLOOKUP(H:H,'[1]VEPL-DEC-24'!$D:$AS,42,0)</f>
        <v>P</v>
      </c>
      <c r="M137">
        <f>VLOOKUP(H:H,'[1]VEPL-DEC-24'!$D:$AT,43,0)</f>
        <v>0</v>
      </c>
      <c r="N137" t="s">
        <v>21</v>
      </c>
      <c r="P137">
        <f>VLOOKUP(H:H,'[1]VEPL-DEC-24'!$D:$H,5,0)</f>
        <v>10008</v>
      </c>
    </row>
    <row r="138" spans="1:16" hidden="1" x14ac:dyDescent="0.3">
      <c r="A138">
        <v>137</v>
      </c>
      <c r="B138" t="s">
        <v>16</v>
      </c>
      <c r="C138" t="s">
        <v>299</v>
      </c>
      <c r="D138" t="s">
        <v>447</v>
      </c>
      <c r="E138" t="s">
        <v>448</v>
      </c>
      <c r="F138" t="s">
        <v>449</v>
      </c>
      <c r="G138" t="s">
        <v>38</v>
      </c>
      <c r="H138" s="2">
        <v>275747410777</v>
      </c>
      <c r="I138" t="s">
        <v>21</v>
      </c>
      <c r="J138" t="s">
        <v>21</v>
      </c>
      <c r="K138" t="s">
        <v>21</v>
      </c>
      <c r="L138" t="e">
        <f>VLOOKUP(H:H,'[1]VEPL-DEC-24'!$D:$AS,42,0)</f>
        <v>#N/A</v>
      </c>
      <c r="M138" t="e">
        <f>VLOOKUP(H:H,'[1]VEPL-DEC-24'!$D:$AT,43,0)</f>
        <v>#N/A</v>
      </c>
      <c r="N138" t="s">
        <v>21</v>
      </c>
      <c r="P138" t="e">
        <f>VLOOKUP(H:H,'[1]VEPL-DEC-24'!$D:$H,5,0)</f>
        <v>#N/A</v>
      </c>
    </row>
    <row r="139" spans="1:16" x14ac:dyDescent="0.3">
      <c r="A139">
        <v>138</v>
      </c>
      <c r="B139" t="s">
        <v>16</v>
      </c>
      <c r="C139" t="s">
        <v>450</v>
      </c>
      <c r="D139" t="s">
        <v>451</v>
      </c>
      <c r="E139" t="s">
        <v>452</v>
      </c>
      <c r="F139" t="s">
        <v>83</v>
      </c>
      <c r="G139" t="s">
        <v>38</v>
      </c>
      <c r="H139" s="2">
        <v>895394973847</v>
      </c>
      <c r="I139" t="s">
        <v>21</v>
      </c>
      <c r="J139" t="s">
        <v>21</v>
      </c>
      <c r="K139" t="s">
        <v>21</v>
      </c>
      <c r="L139" t="str">
        <f>VLOOKUP(H:H,'[1]VEPL-DEC-24'!$D:$AS,42,0)</f>
        <v>P</v>
      </c>
      <c r="M139">
        <f>VLOOKUP(H:H,'[1]VEPL-DEC-24'!$D:$AT,43,0)</f>
        <v>0</v>
      </c>
      <c r="N139" t="s">
        <v>21</v>
      </c>
      <c r="P139">
        <f>VLOOKUP(H:H,'[1]VEPL-DEC-24'!$D:$H,5,0)</f>
        <v>10009</v>
      </c>
    </row>
    <row r="140" spans="1:16" x14ac:dyDescent="0.3">
      <c r="A140">
        <v>139</v>
      </c>
      <c r="B140" t="s">
        <v>16</v>
      </c>
      <c r="C140" t="s">
        <v>453</v>
      </c>
      <c r="D140" t="s">
        <v>454</v>
      </c>
      <c r="E140" t="s">
        <v>455</v>
      </c>
      <c r="F140" t="s">
        <v>60</v>
      </c>
      <c r="G140" t="s">
        <v>38</v>
      </c>
      <c r="H140" s="2">
        <v>820309594471</v>
      </c>
      <c r="I140" t="s">
        <v>21</v>
      </c>
      <c r="J140" t="s">
        <v>21</v>
      </c>
      <c r="K140" t="s">
        <v>21</v>
      </c>
      <c r="L140" t="str">
        <f>VLOOKUP(H:H,'[1]VEPL-DEC-24'!$D:$AS,42,0)</f>
        <v>P</v>
      </c>
      <c r="M140">
        <f>VLOOKUP(H:H,'[1]VEPL-DEC-24'!$D:$AT,43,0)</f>
        <v>0</v>
      </c>
      <c r="N140" t="s">
        <v>21</v>
      </c>
      <c r="P140">
        <f>VLOOKUP(H:H,'[1]VEPL-DEC-24'!$D:$H,5,0)</f>
        <v>10009</v>
      </c>
    </row>
    <row r="141" spans="1:16" hidden="1" x14ac:dyDescent="0.3">
      <c r="A141">
        <v>140</v>
      </c>
      <c r="B141" t="s">
        <v>16</v>
      </c>
      <c r="C141" t="s">
        <v>456</v>
      </c>
      <c r="D141" t="s">
        <v>457</v>
      </c>
      <c r="E141" t="s">
        <v>458</v>
      </c>
      <c r="F141" t="s">
        <v>281</v>
      </c>
      <c r="G141" t="s">
        <v>38</v>
      </c>
      <c r="H141" s="2">
        <v>971444743929</v>
      </c>
      <c r="I141" t="s">
        <v>21</v>
      </c>
      <c r="J141" t="s">
        <v>21</v>
      </c>
      <c r="K141" t="s">
        <v>21</v>
      </c>
      <c r="L141" t="str">
        <f>VLOOKUP(H:H,'[1]VEPL-DEC-24'!$D:$AS,42,0)</f>
        <v>A</v>
      </c>
      <c r="M141">
        <f>VLOOKUP(H:H,'[1]VEPL-DEC-24'!$D:$AT,43,0)</f>
        <v>0</v>
      </c>
      <c r="N141" t="s">
        <v>21</v>
      </c>
      <c r="P141">
        <f>VLOOKUP(H:H,'[1]VEPL-DEC-24'!$D:$H,5,0)</f>
        <v>10006</v>
      </c>
    </row>
    <row r="142" spans="1:16" x14ac:dyDescent="0.3">
      <c r="A142">
        <v>141</v>
      </c>
      <c r="B142" t="s">
        <v>16</v>
      </c>
      <c r="C142" t="s">
        <v>459</v>
      </c>
      <c r="D142" t="s">
        <v>460</v>
      </c>
      <c r="E142" t="s">
        <v>461</v>
      </c>
      <c r="F142" t="s">
        <v>71</v>
      </c>
      <c r="G142" t="s">
        <v>38</v>
      </c>
      <c r="H142" s="2">
        <v>469682698653</v>
      </c>
      <c r="I142" t="s">
        <v>21</v>
      </c>
      <c r="J142" t="s">
        <v>21</v>
      </c>
      <c r="K142" t="s">
        <v>21</v>
      </c>
      <c r="L142" t="str">
        <f>VLOOKUP(H:H,'[1]VEPL-DEC-24'!$D:$AS,42,0)</f>
        <v>P</v>
      </c>
      <c r="M142">
        <f>VLOOKUP(H:H,'[1]VEPL-DEC-24'!$D:$AT,43,0)</f>
        <v>0</v>
      </c>
      <c r="N142" t="s">
        <v>21</v>
      </c>
      <c r="P142">
        <f>VLOOKUP(H:H,'[1]VEPL-DEC-24'!$D:$H,5,0)</f>
        <v>10002</v>
      </c>
    </row>
    <row r="143" spans="1:16" hidden="1" x14ac:dyDescent="0.3">
      <c r="A143">
        <v>142</v>
      </c>
      <c r="B143" t="s">
        <v>16</v>
      </c>
      <c r="C143" t="s">
        <v>462</v>
      </c>
      <c r="D143" t="s">
        <v>463</v>
      </c>
      <c r="E143" t="s">
        <v>464</v>
      </c>
      <c r="F143" t="s">
        <v>64</v>
      </c>
      <c r="G143" t="s">
        <v>20</v>
      </c>
      <c r="H143" s="2">
        <v>624820565368</v>
      </c>
      <c r="I143" t="s">
        <v>21</v>
      </c>
      <c r="J143" t="s">
        <v>21</v>
      </c>
      <c r="K143" t="s">
        <v>21</v>
      </c>
      <c r="L143" t="str">
        <f>VLOOKUP(H:H,'[1]VEPL-DEC-24'!$D:$AS,42,0)</f>
        <v>A</v>
      </c>
      <c r="M143">
        <f>VLOOKUP(H:H,'[1]VEPL-DEC-24'!$D:$AT,43,0)</f>
        <v>0</v>
      </c>
      <c r="N143" t="s">
        <v>21</v>
      </c>
      <c r="P143">
        <f>VLOOKUP(H:H,'[1]VEPL-DEC-24'!$D:$H,5,0)</f>
        <v>10009</v>
      </c>
    </row>
    <row r="144" spans="1:16" hidden="1" x14ac:dyDescent="0.3">
      <c r="A144">
        <v>143</v>
      </c>
      <c r="B144" t="s">
        <v>16</v>
      </c>
      <c r="C144" t="s">
        <v>362</v>
      </c>
      <c r="D144" t="s">
        <v>465</v>
      </c>
      <c r="E144" t="s">
        <v>466</v>
      </c>
      <c r="F144" t="s">
        <v>71</v>
      </c>
      <c r="G144" t="s">
        <v>38</v>
      </c>
      <c r="H144" s="2">
        <v>253296068627</v>
      </c>
      <c r="I144" t="s">
        <v>21</v>
      </c>
      <c r="J144" t="s">
        <v>21</v>
      </c>
      <c r="K144" t="s">
        <v>21</v>
      </c>
      <c r="L144" t="str">
        <f>VLOOKUP(H:H,'[1]VEPL-DEC-24'!$D:$AS,42,0)</f>
        <v>A</v>
      </c>
      <c r="M144">
        <f>VLOOKUP(H:H,'[1]VEPL-DEC-24'!$D:$AT,43,0)</f>
        <v>0</v>
      </c>
      <c r="N144" t="s">
        <v>21</v>
      </c>
      <c r="P144">
        <f>VLOOKUP(H:H,'[1]VEPL-DEC-24'!$D:$H,5,0)</f>
        <v>10002</v>
      </c>
    </row>
    <row r="145" spans="1:16" x14ac:dyDescent="0.3">
      <c r="A145">
        <v>144</v>
      </c>
      <c r="B145" t="s">
        <v>16</v>
      </c>
      <c r="C145" t="s">
        <v>467</v>
      </c>
      <c r="D145" t="s">
        <v>468</v>
      </c>
      <c r="E145" t="s">
        <v>469</v>
      </c>
      <c r="F145" t="s">
        <v>60</v>
      </c>
      <c r="G145" t="s">
        <v>38</v>
      </c>
      <c r="H145" s="2">
        <v>312516996186</v>
      </c>
      <c r="I145" t="s">
        <v>21</v>
      </c>
      <c r="J145" t="s">
        <v>21</v>
      </c>
      <c r="K145" t="s">
        <v>21</v>
      </c>
      <c r="L145" t="str">
        <f>VLOOKUP(H:H,'[1]VEPL-DEC-24'!$D:$AS,42,0)</f>
        <v>P</v>
      </c>
      <c r="M145">
        <f>VLOOKUP(H:H,'[1]VEPL-DEC-24'!$D:$AT,43,0)</f>
        <v>0</v>
      </c>
      <c r="N145" t="s">
        <v>21</v>
      </c>
      <c r="P145">
        <f>VLOOKUP(H:H,'[1]VEPL-DEC-24'!$D:$H,5,0)</f>
        <v>10002</v>
      </c>
    </row>
    <row r="146" spans="1:16" x14ac:dyDescent="0.3">
      <c r="A146">
        <v>145</v>
      </c>
      <c r="B146" t="s">
        <v>16</v>
      </c>
      <c r="C146" t="s">
        <v>111</v>
      </c>
      <c r="D146" t="s">
        <v>470</v>
      </c>
      <c r="E146" t="s">
        <v>471</v>
      </c>
      <c r="F146" t="s">
        <v>71</v>
      </c>
      <c r="G146" t="s">
        <v>38</v>
      </c>
      <c r="H146" s="2">
        <v>216231763226</v>
      </c>
      <c r="I146" t="s">
        <v>21</v>
      </c>
      <c r="J146" t="s">
        <v>21</v>
      </c>
      <c r="K146" t="s">
        <v>21</v>
      </c>
      <c r="L146" t="str">
        <f>VLOOKUP(H:H,'[1]VEPL-DEC-24'!$D:$AS,42,0)</f>
        <v>P</v>
      </c>
      <c r="M146">
        <f>VLOOKUP(H:H,'[1]VEPL-DEC-24'!$D:$AT,43,0)</f>
        <v>11</v>
      </c>
      <c r="N146" t="s">
        <v>21</v>
      </c>
      <c r="P146">
        <f>VLOOKUP(H:H,'[1]VEPL-DEC-24'!$D:$H,5,0)</f>
        <v>10002</v>
      </c>
    </row>
    <row r="147" spans="1:16" hidden="1" x14ac:dyDescent="0.3">
      <c r="A147">
        <v>146</v>
      </c>
      <c r="B147" t="s">
        <v>16</v>
      </c>
      <c r="C147" t="s">
        <v>472</v>
      </c>
      <c r="D147" t="s">
        <v>473</v>
      </c>
      <c r="E147" t="s">
        <v>474</v>
      </c>
      <c r="F147" t="s">
        <v>37</v>
      </c>
      <c r="G147" t="s">
        <v>38</v>
      </c>
      <c r="H147" s="2">
        <v>960528693255</v>
      </c>
      <c r="I147" t="s">
        <v>21</v>
      </c>
      <c r="J147" t="s">
        <v>21</v>
      </c>
      <c r="K147" t="s">
        <v>21</v>
      </c>
      <c r="L147" t="e">
        <f>VLOOKUP(H:H,'[1]VEPL-DEC-24'!$D:$AS,42,0)</f>
        <v>#N/A</v>
      </c>
      <c r="M147" t="e">
        <f>VLOOKUP(H:H,'[1]VEPL-DEC-24'!$D:$AT,43,0)</f>
        <v>#N/A</v>
      </c>
      <c r="N147" t="s">
        <v>21</v>
      </c>
      <c r="P147" t="e">
        <f>VLOOKUP(H:H,'[1]VEPL-DEC-24'!$D:$H,5,0)</f>
        <v>#N/A</v>
      </c>
    </row>
    <row r="148" spans="1:16" hidden="1" x14ac:dyDescent="0.3">
      <c r="A148">
        <v>147</v>
      </c>
      <c r="B148" t="s">
        <v>16</v>
      </c>
      <c r="C148" t="s">
        <v>475</v>
      </c>
      <c r="D148" t="s">
        <v>476</v>
      </c>
      <c r="E148" t="s">
        <v>477</v>
      </c>
      <c r="F148" t="s">
        <v>137</v>
      </c>
      <c r="G148" t="s">
        <v>38</v>
      </c>
      <c r="H148" s="2">
        <v>380104736423</v>
      </c>
      <c r="I148" t="s">
        <v>21</v>
      </c>
      <c r="J148" t="s">
        <v>21</v>
      </c>
      <c r="K148" t="s">
        <v>21</v>
      </c>
      <c r="L148" t="e">
        <f>VLOOKUP(H:H,'[1]VEPL-DEC-24'!$D:$AS,42,0)</f>
        <v>#N/A</v>
      </c>
      <c r="M148" t="e">
        <f>VLOOKUP(H:H,'[1]VEPL-DEC-24'!$D:$AT,43,0)</f>
        <v>#N/A</v>
      </c>
      <c r="N148" t="s">
        <v>21</v>
      </c>
      <c r="P148" t="e">
        <f>VLOOKUP(H:H,'[1]VEPL-DEC-24'!$D:$H,5,0)</f>
        <v>#N/A</v>
      </c>
    </row>
    <row r="149" spans="1:16" x14ac:dyDescent="0.3">
      <c r="A149">
        <v>148</v>
      </c>
      <c r="B149" t="s">
        <v>16</v>
      </c>
      <c r="C149" t="s">
        <v>478</v>
      </c>
      <c r="D149" t="s">
        <v>479</v>
      </c>
      <c r="E149" t="s">
        <v>480</v>
      </c>
      <c r="F149" t="s">
        <v>64</v>
      </c>
      <c r="G149" t="s">
        <v>20</v>
      </c>
      <c r="H149" s="2">
        <v>923853057392</v>
      </c>
      <c r="I149" t="s">
        <v>21</v>
      </c>
      <c r="J149" t="s">
        <v>21</v>
      </c>
      <c r="K149" t="s">
        <v>21</v>
      </c>
      <c r="L149" t="str">
        <f>VLOOKUP(H:H,'[1]VEPL-DEC-24'!$D:$AS,42,0)</f>
        <v>P</v>
      </c>
      <c r="M149">
        <f>VLOOKUP(H:H,'[1]VEPL-DEC-24'!$D:$AT,43,0)</f>
        <v>0</v>
      </c>
      <c r="N149" t="s">
        <v>21</v>
      </c>
      <c r="P149">
        <f>VLOOKUP(H:H,'[1]VEPL-DEC-24'!$D:$H,5,0)</f>
        <v>10006</v>
      </c>
    </row>
    <row r="150" spans="1:16" x14ac:dyDescent="0.3">
      <c r="A150">
        <v>149</v>
      </c>
      <c r="B150" t="s">
        <v>16</v>
      </c>
      <c r="C150" t="s">
        <v>481</v>
      </c>
      <c r="D150" t="s">
        <v>482</v>
      </c>
      <c r="E150" t="s">
        <v>483</v>
      </c>
      <c r="F150" t="s">
        <v>484</v>
      </c>
      <c r="G150" t="s">
        <v>20</v>
      </c>
      <c r="H150" s="2">
        <v>734417607980</v>
      </c>
      <c r="I150" t="s">
        <v>21</v>
      </c>
      <c r="J150" t="s">
        <v>21</v>
      </c>
      <c r="K150" t="s">
        <v>21</v>
      </c>
      <c r="L150" t="str">
        <f>VLOOKUP(H:H,'[1]VEPL-DEC-24'!$D:$AS,42,0)</f>
        <v>P</v>
      </c>
      <c r="M150">
        <f>VLOOKUP(H:H,'[1]VEPL-DEC-24'!$D:$AT,43,0)</f>
        <v>0</v>
      </c>
      <c r="N150" t="s">
        <v>21</v>
      </c>
      <c r="P150">
        <f>VLOOKUP(H:H,'[1]VEPL-DEC-24'!$D:$H,5,0)</f>
        <v>10002</v>
      </c>
    </row>
    <row r="151" spans="1:16" x14ac:dyDescent="0.3">
      <c r="A151">
        <v>150</v>
      </c>
      <c r="B151" t="s">
        <v>16</v>
      </c>
      <c r="C151" t="s">
        <v>485</v>
      </c>
      <c r="D151" t="s">
        <v>486</v>
      </c>
      <c r="E151" t="s">
        <v>487</v>
      </c>
      <c r="F151" t="s">
        <v>350</v>
      </c>
      <c r="G151" t="s">
        <v>38</v>
      </c>
      <c r="H151" s="2">
        <v>655644499418</v>
      </c>
      <c r="I151" t="s">
        <v>21</v>
      </c>
      <c r="J151" t="s">
        <v>21</v>
      </c>
      <c r="K151" t="s">
        <v>21</v>
      </c>
      <c r="L151" t="str">
        <f>VLOOKUP(H:H,'[1]VEPL-DEC-24'!$D:$AS,42,0)</f>
        <v>P</v>
      </c>
      <c r="M151">
        <f>VLOOKUP(H:H,'[1]VEPL-DEC-24'!$D:$AT,43,0)</f>
        <v>0</v>
      </c>
      <c r="N151" t="s">
        <v>21</v>
      </c>
      <c r="P151">
        <f>VLOOKUP(H:H,'[1]VEPL-DEC-24'!$D:$H,5,0)</f>
        <v>10006</v>
      </c>
    </row>
    <row r="152" spans="1:16" x14ac:dyDescent="0.3">
      <c r="A152">
        <v>151</v>
      </c>
      <c r="B152" t="s">
        <v>16</v>
      </c>
      <c r="C152" t="s">
        <v>488</v>
      </c>
      <c r="D152" t="s">
        <v>489</v>
      </c>
      <c r="E152" t="s">
        <v>490</v>
      </c>
      <c r="F152" t="s">
        <v>93</v>
      </c>
      <c r="G152" t="s">
        <v>38</v>
      </c>
      <c r="H152" s="2">
        <v>352466959907</v>
      </c>
      <c r="I152" t="s">
        <v>21</v>
      </c>
      <c r="J152" t="s">
        <v>21</v>
      </c>
      <c r="K152" t="s">
        <v>21</v>
      </c>
      <c r="L152" t="str">
        <f>VLOOKUP(H:H,'[1]VEPL-DEC-24'!$D:$AS,42,0)</f>
        <v>P</v>
      </c>
      <c r="M152">
        <f>VLOOKUP(H:H,'[1]VEPL-DEC-24'!$D:$AT,43,0)</f>
        <v>0</v>
      </c>
      <c r="N152" t="s">
        <v>21</v>
      </c>
      <c r="P152">
        <f>VLOOKUP(H:H,'[1]VEPL-DEC-24'!$D:$H,5,0)</f>
        <v>10002</v>
      </c>
    </row>
    <row r="153" spans="1:16" x14ac:dyDescent="0.3">
      <c r="A153">
        <v>152</v>
      </c>
      <c r="B153" t="s">
        <v>16</v>
      </c>
      <c r="C153" t="s">
        <v>491</v>
      </c>
      <c r="D153" t="s">
        <v>492</v>
      </c>
      <c r="E153" t="s">
        <v>493</v>
      </c>
      <c r="F153" t="s">
        <v>48</v>
      </c>
      <c r="G153" t="s">
        <v>38</v>
      </c>
      <c r="H153" s="2">
        <v>823106222573</v>
      </c>
      <c r="I153" t="s">
        <v>21</v>
      </c>
      <c r="J153" t="s">
        <v>21</v>
      </c>
      <c r="K153" t="s">
        <v>21</v>
      </c>
      <c r="L153" t="str">
        <f>VLOOKUP(H:H,'[1]VEPL-DEC-24'!$D:$AS,42,0)</f>
        <v>P</v>
      </c>
      <c r="M153">
        <f>VLOOKUP(H:H,'[1]VEPL-DEC-24'!$D:$AT,43,0)</f>
        <v>0</v>
      </c>
      <c r="N153" t="s">
        <v>21</v>
      </c>
      <c r="P153">
        <f>VLOOKUP(H:H,'[1]VEPL-DEC-24'!$D:$H,5,0)</f>
        <v>10002</v>
      </c>
    </row>
    <row r="154" spans="1:16" x14ac:dyDescent="0.3">
      <c r="A154">
        <v>153</v>
      </c>
      <c r="B154" t="s">
        <v>16</v>
      </c>
      <c r="C154" t="s">
        <v>494</v>
      </c>
      <c r="D154" t="s">
        <v>495</v>
      </c>
      <c r="E154" t="s">
        <v>496</v>
      </c>
      <c r="F154" t="s">
        <v>60</v>
      </c>
      <c r="G154" t="s">
        <v>38</v>
      </c>
      <c r="H154" s="2">
        <v>834421053970</v>
      </c>
      <c r="I154" t="s">
        <v>21</v>
      </c>
      <c r="J154" t="s">
        <v>21</v>
      </c>
      <c r="K154" t="s">
        <v>21</v>
      </c>
      <c r="L154" t="str">
        <f>VLOOKUP(H:H,'[1]VEPL-DEC-24'!$D:$AS,42,0)</f>
        <v>P</v>
      </c>
      <c r="M154">
        <f>VLOOKUP(H:H,'[1]VEPL-DEC-24'!$D:$AT,43,0)</f>
        <v>0</v>
      </c>
      <c r="N154" t="s">
        <v>21</v>
      </c>
      <c r="P154">
        <f>VLOOKUP(H:H,'[1]VEPL-DEC-24'!$D:$H,5,0)</f>
        <v>10002</v>
      </c>
    </row>
    <row r="155" spans="1:16" x14ac:dyDescent="0.3">
      <c r="A155">
        <v>154</v>
      </c>
      <c r="B155" t="s">
        <v>16</v>
      </c>
      <c r="C155" t="s">
        <v>497</v>
      </c>
      <c r="D155" t="s">
        <v>498</v>
      </c>
      <c r="E155" t="s">
        <v>499</v>
      </c>
      <c r="F155" t="s">
        <v>93</v>
      </c>
      <c r="G155" t="s">
        <v>38</v>
      </c>
      <c r="H155" s="2">
        <v>324967638756</v>
      </c>
      <c r="I155" t="s">
        <v>21</v>
      </c>
      <c r="J155" t="s">
        <v>21</v>
      </c>
      <c r="K155" t="s">
        <v>21</v>
      </c>
      <c r="L155" t="str">
        <f>VLOOKUP(H:H,'[1]VEPL-DEC-24'!$D:$AS,42,0)</f>
        <v>P</v>
      </c>
      <c r="M155">
        <f>VLOOKUP(H:H,'[1]VEPL-DEC-24'!$D:$AT,43,0)</f>
        <v>0</v>
      </c>
      <c r="N155" t="s">
        <v>21</v>
      </c>
      <c r="P155">
        <f>VLOOKUP(H:H,'[1]VEPL-DEC-24'!$D:$H,5,0)</f>
        <v>10002</v>
      </c>
    </row>
    <row r="156" spans="1:16" hidden="1" x14ac:dyDescent="0.3">
      <c r="A156">
        <v>155</v>
      </c>
      <c r="B156" t="s">
        <v>16</v>
      </c>
      <c r="C156" t="s">
        <v>500</v>
      </c>
      <c r="D156" t="s">
        <v>501</v>
      </c>
      <c r="E156" t="s">
        <v>502</v>
      </c>
      <c r="F156" t="s">
        <v>503</v>
      </c>
      <c r="G156" t="s">
        <v>20</v>
      </c>
      <c r="H156" s="2">
        <v>767541957800</v>
      </c>
      <c r="I156" t="s">
        <v>21</v>
      </c>
      <c r="J156" t="s">
        <v>21</v>
      </c>
      <c r="K156" t="s">
        <v>21</v>
      </c>
      <c r="L156" t="e">
        <f>VLOOKUP(H:H,'[1]VEPL-DEC-24'!$D:$AS,42,0)</f>
        <v>#N/A</v>
      </c>
      <c r="M156" t="e">
        <f>VLOOKUP(H:H,'[1]VEPL-DEC-24'!$D:$AT,43,0)</f>
        <v>#N/A</v>
      </c>
      <c r="N156" t="s">
        <v>21</v>
      </c>
      <c r="P156" t="e">
        <f>VLOOKUP(H:H,'[1]VEPL-DEC-24'!$D:$H,5,0)</f>
        <v>#N/A</v>
      </c>
    </row>
    <row r="157" spans="1:16" x14ac:dyDescent="0.3">
      <c r="A157">
        <v>156</v>
      </c>
      <c r="B157" t="s">
        <v>16</v>
      </c>
      <c r="C157" t="s">
        <v>504</v>
      </c>
      <c r="D157" t="s">
        <v>505</v>
      </c>
      <c r="E157" t="s">
        <v>506</v>
      </c>
      <c r="F157" t="s">
        <v>137</v>
      </c>
      <c r="G157" t="s">
        <v>38</v>
      </c>
      <c r="H157" s="2">
        <v>564846435604</v>
      </c>
      <c r="I157" t="s">
        <v>21</v>
      </c>
      <c r="J157" t="s">
        <v>21</v>
      </c>
      <c r="K157" t="s">
        <v>21</v>
      </c>
      <c r="L157" t="str">
        <f>VLOOKUP(H:H,'[1]VEPL-DEC-24'!$D:$AS,42,0)</f>
        <v>P</v>
      </c>
      <c r="M157">
        <f>VLOOKUP(H:H,'[1]VEPL-DEC-24'!$D:$AT,43,0)</f>
        <v>0</v>
      </c>
      <c r="N157" t="s">
        <v>21</v>
      </c>
      <c r="P157">
        <f>VLOOKUP(H:H,'[1]VEPL-DEC-24'!$D:$H,5,0)</f>
        <v>10002</v>
      </c>
    </row>
    <row r="158" spans="1:16" x14ac:dyDescent="0.3">
      <c r="A158">
        <v>157</v>
      </c>
      <c r="B158" t="s">
        <v>16</v>
      </c>
      <c r="C158" t="s">
        <v>507</v>
      </c>
      <c r="D158" t="s">
        <v>508</v>
      </c>
      <c r="E158" t="s">
        <v>509</v>
      </c>
      <c r="F158" t="s">
        <v>71</v>
      </c>
      <c r="G158" t="s">
        <v>38</v>
      </c>
      <c r="H158" s="2">
        <v>527984674803</v>
      </c>
      <c r="I158" t="s">
        <v>21</v>
      </c>
      <c r="J158" t="s">
        <v>21</v>
      </c>
      <c r="K158" t="s">
        <v>21</v>
      </c>
      <c r="L158" t="str">
        <f>VLOOKUP(H:H,'[1]VEPL-DEC-24'!$D:$AS,42,0)</f>
        <v>P</v>
      </c>
      <c r="M158">
        <f>VLOOKUP(H:H,'[1]VEPL-DEC-24'!$D:$AT,43,0)</f>
        <v>11</v>
      </c>
      <c r="N158" t="s">
        <v>21</v>
      </c>
      <c r="P158">
        <f>VLOOKUP(H:H,'[1]VEPL-DEC-24'!$D:$H,5,0)</f>
        <v>10009</v>
      </c>
    </row>
    <row r="159" spans="1:16" hidden="1" x14ac:dyDescent="0.3">
      <c r="A159">
        <v>158</v>
      </c>
      <c r="B159" t="s">
        <v>16</v>
      </c>
      <c r="C159" t="s">
        <v>510</v>
      </c>
      <c r="D159" t="s">
        <v>511</v>
      </c>
      <c r="E159" t="s">
        <v>512</v>
      </c>
      <c r="F159" t="s">
        <v>93</v>
      </c>
      <c r="G159" t="s">
        <v>38</v>
      </c>
      <c r="H159" s="2">
        <v>968843267083</v>
      </c>
      <c r="I159" t="s">
        <v>21</v>
      </c>
      <c r="J159" t="s">
        <v>21</v>
      </c>
      <c r="K159" t="s">
        <v>21</v>
      </c>
      <c r="L159" t="str">
        <f>VLOOKUP(H:H,'[1]VEPL-DEC-24'!$D:$AS,42,0)</f>
        <v>A</v>
      </c>
      <c r="M159">
        <f>VLOOKUP(H:H,'[1]VEPL-DEC-24'!$D:$AT,43,0)</f>
        <v>0</v>
      </c>
      <c r="N159" t="s">
        <v>21</v>
      </c>
      <c r="P159">
        <f>VLOOKUP(H:H,'[1]VEPL-DEC-24'!$D:$H,5,0)</f>
        <v>10009</v>
      </c>
    </row>
    <row r="160" spans="1:16" hidden="1" x14ac:dyDescent="0.3">
      <c r="A160">
        <v>159</v>
      </c>
      <c r="B160" t="s">
        <v>16</v>
      </c>
      <c r="C160" t="s">
        <v>513</v>
      </c>
      <c r="D160" t="s">
        <v>514</v>
      </c>
      <c r="E160" t="s">
        <v>515</v>
      </c>
      <c r="F160" t="s">
        <v>56</v>
      </c>
      <c r="G160" t="s">
        <v>20</v>
      </c>
      <c r="H160" s="2">
        <v>663428945548</v>
      </c>
      <c r="I160" t="s">
        <v>21</v>
      </c>
      <c r="J160" t="s">
        <v>21</v>
      </c>
      <c r="K160" t="s">
        <v>21</v>
      </c>
      <c r="L160" t="str">
        <f>VLOOKUP(H:H,'[1]VEPL-DEC-24'!$D:$AS,42,0)</f>
        <v>A</v>
      </c>
      <c r="M160">
        <f>VLOOKUP(H:H,'[1]VEPL-DEC-24'!$D:$AT,43,0)</f>
        <v>0</v>
      </c>
      <c r="N160" t="s">
        <v>21</v>
      </c>
      <c r="P160">
        <f>VLOOKUP(H:H,'[1]VEPL-DEC-24'!$D:$H,5,0)</f>
        <v>10002</v>
      </c>
    </row>
    <row r="161" spans="1:16" hidden="1" x14ac:dyDescent="0.3">
      <c r="A161">
        <v>160</v>
      </c>
      <c r="B161" t="s">
        <v>16</v>
      </c>
      <c r="C161" t="s">
        <v>402</v>
      </c>
      <c r="D161" t="s">
        <v>516</v>
      </c>
      <c r="E161" t="s">
        <v>517</v>
      </c>
      <c r="F161" t="s">
        <v>127</v>
      </c>
      <c r="G161" t="s">
        <v>38</v>
      </c>
      <c r="H161" s="2">
        <v>393746487916</v>
      </c>
      <c r="I161" t="s">
        <v>21</v>
      </c>
      <c r="J161" t="s">
        <v>21</v>
      </c>
      <c r="K161" t="s">
        <v>21</v>
      </c>
      <c r="L161" t="e">
        <f>VLOOKUP(H:H,'[1]VEPL-DEC-24'!$D:$AS,42,0)</f>
        <v>#N/A</v>
      </c>
      <c r="M161" t="e">
        <f>VLOOKUP(H:H,'[1]VEPL-DEC-24'!$D:$AT,43,0)</f>
        <v>#N/A</v>
      </c>
      <c r="N161" t="s">
        <v>21</v>
      </c>
      <c r="P161" t="e">
        <f>VLOOKUP(H:H,'[1]VEPL-DEC-24'!$D:$H,5,0)</f>
        <v>#N/A</v>
      </c>
    </row>
    <row r="162" spans="1:16" x14ac:dyDescent="0.3">
      <c r="A162">
        <v>161</v>
      </c>
      <c r="B162" t="s">
        <v>16</v>
      </c>
      <c r="C162" t="s">
        <v>518</v>
      </c>
      <c r="D162" t="s">
        <v>519</v>
      </c>
      <c r="E162" t="s">
        <v>520</v>
      </c>
      <c r="F162" t="s">
        <v>37</v>
      </c>
      <c r="G162" t="s">
        <v>38</v>
      </c>
      <c r="H162" s="2">
        <v>309224237041</v>
      </c>
      <c r="I162" t="s">
        <v>21</v>
      </c>
      <c r="J162" t="s">
        <v>21</v>
      </c>
      <c r="K162" t="s">
        <v>21</v>
      </c>
      <c r="L162" t="str">
        <f>VLOOKUP(H:H,'[1]VEPL-DEC-24'!$D:$AS,42,0)</f>
        <v>P</v>
      </c>
      <c r="M162">
        <f>VLOOKUP(H:H,'[1]VEPL-DEC-24'!$D:$AT,43,0)</f>
        <v>11</v>
      </c>
      <c r="N162" t="s">
        <v>21</v>
      </c>
      <c r="P162">
        <f>VLOOKUP(H:H,'[1]VEPL-DEC-24'!$D:$H,5,0)</f>
        <v>10002</v>
      </c>
    </row>
    <row r="163" spans="1:16" x14ac:dyDescent="0.3">
      <c r="A163">
        <v>162</v>
      </c>
      <c r="B163" t="s">
        <v>16</v>
      </c>
      <c r="C163" t="s">
        <v>521</v>
      </c>
      <c r="D163" t="s">
        <v>522</v>
      </c>
      <c r="E163" t="s">
        <v>523</v>
      </c>
      <c r="F163" t="s">
        <v>350</v>
      </c>
      <c r="G163" t="s">
        <v>38</v>
      </c>
      <c r="H163" s="2">
        <v>881861038976</v>
      </c>
      <c r="I163" t="s">
        <v>21</v>
      </c>
      <c r="J163" t="s">
        <v>21</v>
      </c>
      <c r="K163" t="s">
        <v>21</v>
      </c>
      <c r="L163" t="str">
        <f>VLOOKUP(H:H,'[1]VEPL-DEC-24'!$D:$AS,42,0)</f>
        <v>P</v>
      </c>
      <c r="M163">
        <f>VLOOKUP(H:H,'[1]VEPL-DEC-24'!$D:$AT,43,0)</f>
        <v>0</v>
      </c>
      <c r="N163" t="s">
        <v>21</v>
      </c>
      <c r="P163">
        <f>VLOOKUP(H:H,'[1]VEPL-DEC-24'!$D:$H,5,0)</f>
        <v>10002</v>
      </c>
    </row>
    <row r="164" spans="1:16" hidden="1" x14ac:dyDescent="0.3">
      <c r="A164">
        <v>163</v>
      </c>
      <c r="B164" t="s">
        <v>16</v>
      </c>
      <c r="C164" t="s">
        <v>524</v>
      </c>
      <c r="D164" t="s">
        <v>525</v>
      </c>
      <c r="E164" t="s">
        <v>526</v>
      </c>
      <c r="F164" t="s">
        <v>60</v>
      </c>
      <c r="G164" t="s">
        <v>38</v>
      </c>
      <c r="H164" s="2">
        <v>823990071350</v>
      </c>
      <c r="I164" t="s">
        <v>21</v>
      </c>
      <c r="J164" t="s">
        <v>21</v>
      </c>
      <c r="K164" t="s">
        <v>21</v>
      </c>
      <c r="L164" t="str">
        <f>VLOOKUP(H:H,'[1]VEPL-DEC-24'!$D:$AS,42,0)</f>
        <v>o</v>
      </c>
      <c r="M164">
        <f>VLOOKUP(H:H,'[1]VEPL-DEC-24'!$D:$AT,43,0)</f>
        <v>0</v>
      </c>
      <c r="N164" t="s">
        <v>21</v>
      </c>
      <c r="P164">
        <f>VLOOKUP(H:H,'[1]VEPL-DEC-24'!$D:$H,5,0)</f>
        <v>10002</v>
      </c>
    </row>
    <row r="165" spans="1:16" x14ac:dyDescent="0.3">
      <c r="A165">
        <v>164</v>
      </c>
      <c r="B165" t="s">
        <v>16</v>
      </c>
      <c r="C165" t="s">
        <v>527</v>
      </c>
      <c r="D165" t="s">
        <v>528</v>
      </c>
      <c r="E165" t="s">
        <v>529</v>
      </c>
      <c r="F165" t="s">
        <v>83</v>
      </c>
      <c r="G165" t="s">
        <v>38</v>
      </c>
      <c r="H165" s="2">
        <v>544108740408</v>
      </c>
      <c r="I165" t="s">
        <v>21</v>
      </c>
      <c r="J165" t="s">
        <v>21</v>
      </c>
      <c r="K165" t="s">
        <v>21</v>
      </c>
      <c r="L165" t="str">
        <f>VLOOKUP(H:H,'[1]VEPL-DEC-24'!$D:$AS,42,0)</f>
        <v>P</v>
      </c>
      <c r="M165">
        <f>VLOOKUP(H:H,'[1]VEPL-DEC-24'!$D:$AT,43,0)</f>
        <v>0</v>
      </c>
      <c r="N165" t="s">
        <v>21</v>
      </c>
      <c r="P165">
        <f>VLOOKUP(H:H,'[1]VEPL-DEC-24'!$D:$H,5,0)</f>
        <v>10006</v>
      </c>
    </row>
    <row r="166" spans="1:16" x14ac:dyDescent="0.3">
      <c r="A166">
        <v>165</v>
      </c>
      <c r="B166" t="s">
        <v>16</v>
      </c>
      <c r="C166" t="s">
        <v>530</v>
      </c>
      <c r="D166" t="s">
        <v>531</v>
      </c>
      <c r="E166" t="s">
        <v>532</v>
      </c>
      <c r="F166" t="s">
        <v>37</v>
      </c>
      <c r="G166" t="s">
        <v>38</v>
      </c>
      <c r="H166" s="2">
        <v>301941028458</v>
      </c>
      <c r="I166" t="s">
        <v>21</v>
      </c>
      <c r="J166" t="s">
        <v>21</v>
      </c>
      <c r="K166" t="s">
        <v>21</v>
      </c>
      <c r="L166" t="str">
        <f>VLOOKUP(H:H,'[1]VEPL-DEC-24'!$D:$AS,42,0)</f>
        <v>P</v>
      </c>
      <c r="M166">
        <f>VLOOKUP(H:H,'[1]VEPL-DEC-24'!$D:$AT,43,0)</f>
        <v>0</v>
      </c>
      <c r="N166" t="s">
        <v>21</v>
      </c>
      <c r="P166">
        <f>VLOOKUP(H:H,'[1]VEPL-DEC-24'!$D:$H,5,0)</f>
        <v>10006</v>
      </c>
    </row>
    <row r="167" spans="1:16" hidden="1" x14ac:dyDescent="0.3">
      <c r="A167">
        <v>166</v>
      </c>
      <c r="B167" t="s">
        <v>16</v>
      </c>
      <c r="C167" t="s">
        <v>533</v>
      </c>
      <c r="D167" t="s">
        <v>534</v>
      </c>
      <c r="E167" t="s">
        <v>535</v>
      </c>
      <c r="F167" t="s">
        <v>71</v>
      </c>
      <c r="G167" t="s">
        <v>38</v>
      </c>
      <c r="H167" s="2">
        <v>790778264611</v>
      </c>
      <c r="I167" t="s">
        <v>21</v>
      </c>
      <c r="J167" t="s">
        <v>21</v>
      </c>
      <c r="K167" t="s">
        <v>21</v>
      </c>
      <c r="L167" t="e">
        <f>VLOOKUP(H:H,'[1]VEPL-DEC-24'!$D:$AS,42,0)</f>
        <v>#N/A</v>
      </c>
      <c r="M167" t="e">
        <f>VLOOKUP(H:H,'[1]VEPL-DEC-24'!$D:$AT,43,0)</f>
        <v>#N/A</v>
      </c>
      <c r="N167" t="s">
        <v>21</v>
      </c>
      <c r="P167" t="e">
        <f>VLOOKUP(H:H,'[1]VEPL-DEC-24'!$D:$H,5,0)</f>
        <v>#N/A</v>
      </c>
    </row>
    <row r="168" spans="1:16" hidden="1" x14ac:dyDescent="0.3">
      <c r="A168">
        <v>167</v>
      </c>
      <c r="B168" t="s">
        <v>16</v>
      </c>
      <c r="C168" t="s">
        <v>536</v>
      </c>
      <c r="D168" t="s">
        <v>537</v>
      </c>
      <c r="E168" t="s">
        <v>538</v>
      </c>
      <c r="F168" t="s">
        <v>93</v>
      </c>
      <c r="G168" t="s">
        <v>38</v>
      </c>
      <c r="H168" s="2">
        <v>995863854914</v>
      </c>
      <c r="I168" t="s">
        <v>21</v>
      </c>
      <c r="J168" t="s">
        <v>21</v>
      </c>
      <c r="K168" t="s">
        <v>21</v>
      </c>
      <c r="L168" t="str">
        <f>VLOOKUP(H:H,'[1]VEPL-DEC-24'!$D:$AS,42,0)</f>
        <v>A</v>
      </c>
      <c r="M168">
        <f>VLOOKUP(H:H,'[1]VEPL-DEC-24'!$D:$AT,43,0)</f>
        <v>0</v>
      </c>
      <c r="N168" t="s">
        <v>21</v>
      </c>
      <c r="P168">
        <f>VLOOKUP(H:H,'[1]VEPL-DEC-24'!$D:$H,5,0)</f>
        <v>10009</v>
      </c>
    </row>
    <row r="169" spans="1:16" hidden="1" x14ac:dyDescent="0.3">
      <c r="A169">
        <v>168</v>
      </c>
      <c r="B169" t="s">
        <v>16</v>
      </c>
      <c r="C169" t="s">
        <v>539</v>
      </c>
      <c r="D169" t="s">
        <v>540</v>
      </c>
      <c r="E169" t="s">
        <v>354</v>
      </c>
      <c r="F169" t="s">
        <v>83</v>
      </c>
      <c r="G169" t="s">
        <v>38</v>
      </c>
      <c r="H169" s="2">
        <v>688143444427</v>
      </c>
      <c r="I169" t="s">
        <v>21</v>
      </c>
      <c r="J169" t="s">
        <v>21</v>
      </c>
      <c r="K169" t="s">
        <v>21</v>
      </c>
      <c r="L169" t="e">
        <f>VLOOKUP(H:H,'[1]VEPL-DEC-24'!$D:$AS,42,0)</f>
        <v>#N/A</v>
      </c>
      <c r="M169" t="e">
        <f>VLOOKUP(H:H,'[1]VEPL-DEC-24'!$D:$AT,43,0)</f>
        <v>#N/A</v>
      </c>
      <c r="N169" t="s">
        <v>21</v>
      </c>
      <c r="P169" t="e">
        <f>VLOOKUP(H:H,'[1]VEPL-DEC-24'!$D:$H,5,0)</f>
        <v>#N/A</v>
      </c>
    </row>
    <row r="170" spans="1:16" x14ac:dyDescent="0.3">
      <c r="A170">
        <v>169</v>
      </c>
      <c r="B170" t="s">
        <v>16</v>
      </c>
      <c r="C170" t="s">
        <v>541</v>
      </c>
      <c r="D170" t="s">
        <v>542</v>
      </c>
      <c r="E170" t="s">
        <v>543</v>
      </c>
      <c r="F170" t="s">
        <v>37</v>
      </c>
      <c r="G170" t="s">
        <v>38</v>
      </c>
      <c r="H170" s="2">
        <v>516727655273</v>
      </c>
      <c r="I170" t="s">
        <v>21</v>
      </c>
      <c r="J170" t="s">
        <v>21</v>
      </c>
      <c r="K170" t="s">
        <v>21</v>
      </c>
      <c r="L170" t="str">
        <f>VLOOKUP(H:H,'[1]VEPL-DEC-24'!$D:$AS,42,0)</f>
        <v>P</v>
      </c>
      <c r="M170">
        <f>VLOOKUP(H:H,'[1]VEPL-DEC-24'!$D:$AT,43,0)</f>
        <v>0</v>
      </c>
      <c r="N170" t="s">
        <v>21</v>
      </c>
      <c r="P170">
        <f>VLOOKUP(H:H,'[1]VEPL-DEC-24'!$D:$H,5,0)</f>
        <v>10008</v>
      </c>
    </row>
    <row r="171" spans="1:16" x14ac:dyDescent="0.3">
      <c r="A171">
        <v>170</v>
      </c>
      <c r="B171" t="s">
        <v>16</v>
      </c>
      <c r="C171" t="s">
        <v>544</v>
      </c>
      <c r="D171" t="s">
        <v>545</v>
      </c>
      <c r="E171" t="s">
        <v>546</v>
      </c>
      <c r="F171" t="s">
        <v>400</v>
      </c>
      <c r="G171" t="s">
        <v>38</v>
      </c>
      <c r="H171" s="2">
        <v>438305243774</v>
      </c>
      <c r="I171" t="s">
        <v>21</v>
      </c>
      <c r="J171" t="s">
        <v>21</v>
      </c>
      <c r="K171" t="s">
        <v>21</v>
      </c>
      <c r="L171" t="str">
        <f>VLOOKUP(H:H,'[1]VEPL-DEC-24'!$D:$AS,42,0)</f>
        <v>P</v>
      </c>
      <c r="M171">
        <f>VLOOKUP(H:H,'[1]VEPL-DEC-24'!$D:$AT,43,0)</f>
        <v>0</v>
      </c>
      <c r="N171" t="s">
        <v>21</v>
      </c>
      <c r="P171">
        <f>VLOOKUP(H:H,'[1]VEPL-DEC-24'!$D:$H,5,0)</f>
        <v>10002</v>
      </c>
    </row>
    <row r="172" spans="1:16" x14ac:dyDescent="0.3">
      <c r="A172">
        <v>171</v>
      </c>
      <c r="B172" t="s">
        <v>16</v>
      </c>
      <c r="C172" t="s">
        <v>547</v>
      </c>
      <c r="D172" t="s">
        <v>548</v>
      </c>
      <c r="E172" t="s">
        <v>549</v>
      </c>
      <c r="F172" t="s">
        <v>550</v>
      </c>
      <c r="G172" t="s">
        <v>38</v>
      </c>
      <c r="H172" s="2">
        <v>277284963818</v>
      </c>
      <c r="I172" t="s">
        <v>21</v>
      </c>
      <c r="J172" t="s">
        <v>21</v>
      </c>
      <c r="K172" t="s">
        <v>21</v>
      </c>
      <c r="L172" t="str">
        <f>VLOOKUP(H:H,'[1]VEPL-DEC-24'!$D:$AS,42,0)</f>
        <v>P</v>
      </c>
      <c r="M172">
        <f>VLOOKUP(H:H,'[1]VEPL-DEC-24'!$D:$AT,43,0)</f>
        <v>0</v>
      </c>
      <c r="N172" t="s">
        <v>21</v>
      </c>
      <c r="P172">
        <f>VLOOKUP(H:H,'[1]VEPL-DEC-24'!$D:$H,5,0)</f>
        <v>10009</v>
      </c>
    </row>
    <row r="173" spans="1:16" x14ac:dyDescent="0.3">
      <c r="A173">
        <v>172</v>
      </c>
      <c r="B173" t="s">
        <v>16</v>
      </c>
      <c r="C173" t="s">
        <v>551</v>
      </c>
      <c r="D173" t="s">
        <v>552</v>
      </c>
      <c r="E173" t="s">
        <v>553</v>
      </c>
      <c r="F173" t="s">
        <v>37</v>
      </c>
      <c r="G173" t="s">
        <v>38</v>
      </c>
      <c r="H173" s="2">
        <v>567995926131</v>
      </c>
      <c r="I173" t="s">
        <v>21</v>
      </c>
      <c r="J173" t="s">
        <v>21</v>
      </c>
      <c r="K173" t="s">
        <v>21</v>
      </c>
      <c r="L173" t="str">
        <f>VLOOKUP(H:H,'[1]VEPL-DEC-24'!$D:$AS,42,0)</f>
        <v>P</v>
      </c>
      <c r="M173">
        <f>VLOOKUP(H:H,'[1]VEPL-DEC-24'!$D:$AT,43,0)</f>
        <v>0</v>
      </c>
      <c r="N173" t="s">
        <v>21</v>
      </c>
      <c r="P173">
        <f>VLOOKUP(H:H,'[1]VEPL-DEC-24'!$D:$H,5,0)</f>
        <v>10008</v>
      </c>
    </row>
    <row r="174" spans="1:16" hidden="1" x14ac:dyDescent="0.3">
      <c r="A174">
        <v>173</v>
      </c>
      <c r="B174" t="s">
        <v>16</v>
      </c>
      <c r="C174" t="s">
        <v>554</v>
      </c>
      <c r="D174" t="s">
        <v>555</v>
      </c>
      <c r="E174" t="s">
        <v>556</v>
      </c>
      <c r="F174" t="s">
        <v>37</v>
      </c>
      <c r="G174" t="s">
        <v>38</v>
      </c>
      <c r="H174" s="2">
        <v>263826124779</v>
      </c>
      <c r="I174" t="s">
        <v>21</v>
      </c>
      <c r="J174" t="s">
        <v>21</v>
      </c>
      <c r="K174" t="s">
        <v>21</v>
      </c>
      <c r="L174" t="e">
        <f>VLOOKUP(H:H,'[1]VEPL-DEC-24'!$D:$AS,42,0)</f>
        <v>#N/A</v>
      </c>
      <c r="M174" t="e">
        <f>VLOOKUP(H:H,'[1]VEPL-DEC-24'!$D:$AT,43,0)</f>
        <v>#N/A</v>
      </c>
      <c r="N174" t="s">
        <v>21</v>
      </c>
      <c r="P174" t="e">
        <f>VLOOKUP(H:H,'[1]VEPL-DEC-24'!$D:$H,5,0)</f>
        <v>#N/A</v>
      </c>
    </row>
    <row r="175" spans="1:16" hidden="1" x14ac:dyDescent="0.3">
      <c r="A175">
        <v>174</v>
      </c>
      <c r="B175" t="s">
        <v>16</v>
      </c>
      <c r="C175" t="s">
        <v>557</v>
      </c>
      <c r="D175" t="s">
        <v>558</v>
      </c>
      <c r="E175" t="s">
        <v>559</v>
      </c>
      <c r="F175" t="s">
        <v>503</v>
      </c>
      <c r="G175" t="s">
        <v>20</v>
      </c>
      <c r="H175" s="2">
        <v>903291874302</v>
      </c>
      <c r="I175" t="s">
        <v>21</v>
      </c>
      <c r="J175" t="s">
        <v>21</v>
      </c>
      <c r="K175" t="s">
        <v>21</v>
      </c>
      <c r="L175" t="e">
        <f>VLOOKUP(H:H,'[1]VEPL-DEC-24'!$D:$AS,42,0)</f>
        <v>#N/A</v>
      </c>
      <c r="M175" t="e">
        <f>VLOOKUP(H:H,'[1]VEPL-DEC-24'!$D:$AT,43,0)</f>
        <v>#N/A</v>
      </c>
      <c r="N175" t="s">
        <v>21</v>
      </c>
      <c r="P175" t="e">
        <f>VLOOKUP(H:H,'[1]VEPL-DEC-24'!$D:$H,5,0)</f>
        <v>#N/A</v>
      </c>
    </row>
    <row r="176" spans="1:16" hidden="1" x14ac:dyDescent="0.3">
      <c r="A176">
        <v>175</v>
      </c>
      <c r="B176" t="s">
        <v>16</v>
      </c>
      <c r="C176" t="s">
        <v>560</v>
      </c>
      <c r="D176" t="s">
        <v>561</v>
      </c>
      <c r="E176" t="s">
        <v>562</v>
      </c>
      <c r="F176" t="s">
        <v>60</v>
      </c>
      <c r="G176" t="s">
        <v>38</v>
      </c>
      <c r="H176" s="2">
        <v>423909672500</v>
      </c>
      <c r="I176" t="s">
        <v>21</v>
      </c>
      <c r="J176" t="s">
        <v>21</v>
      </c>
      <c r="K176" t="s">
        <v>21</v>
      </c>
      <c r="L176" t="e">
        <f>VLOOKUP(H:H,'[1]VEPL-DEC-24'!$D:$AS,42,0)</f>
        <v>#N/A</v>
      </c>
      <c r="M176" t="e">
        <f>VLOOKUP(H:H,'[1]VEPL-DEC-24'!$D:$AT,43,0)</f>
        <v>#N/A</v>
      </c>
      <c r="N176" t="s">
        <v>21</v>
      </c>
      <c r="P176" t="e">
        <f>VLOOKUP(H:H,'[1]VEPL-DEC-24'!$D:$H,5,0)</f>
        <v>#N/A</v>
      </c>
    </row>
    <row r="177" spans="1:16" x14ac:dyDescent="0.3">
      <c r="A177">
        <v>176</v>
      </c>
      <c r="B177" t="s">
        <v>16</v>
      </c>
      <c r="C177" t="s">
        <v>563</v>
      </c>
      <c r="D177" t="s">
        <v>564</v>
      </c>
      <c r="E177" t="s">
        <v>565</v>
      </c>
      <c r="F177" t="s">
        <v>380</v>
      </c>
      <c r="G177" t="s">
        <v>38</v>
      </c>
      <c r="H177" s="2">
        <v>216784650395</v>
      </c>
      <c r="I177" t="s">
        <v>21</v>
      </c>
      <c r="J177" t="s">
        <v>21</v>
      </c>
      <c r="K177" t="s">
        <v>21</v>
      </c>
      <c r="L177" t="str">
        <f>VLOOKUP(H:H,'[1]VEPL-DEC-24'!$D:$AS,42,0)</f>
        <v>P</v>
      </c>
      <c r="M177">
        <f>VLOOKUP(H:H,'[1]VEPL-DEC-24'!$D:$AT,43,0)</f>
        <v>0</v>
      </c>
      <c r="N177" t="s">
        <v>21</v>
      </c>
      <c r="P177">
        <f>VLOOKUP(H:H,'[1]VEPL-DEC-24'!$D:$H,5,0)</f>
        <v>10008</v>
      </c>
    </row>
    <row r="178" spans="1:16" hidden="1" x14ac:dyDescent="0.3">
      <c r="A178">
        <v>177</v>
      </c>
      <c r="B178" t="s">
        <v>16</v>
      </c>
      <c r="C178" t="s">
        <v>566</v>
      </c>
      <c r="D178" t="s">
        <v>451</v>
      </c>
      <c r="E178" t="s">
        <v>567</v>
      </c>
      <c r="F178" t="s">
        <v>60</v>
      </c>
      <c r="G178" t="s">
        <v>38</v>
      </c>
      <c r="H178" s="2">
        <v>332700617601</v>
      </c>
      <c r="I178" t="s">
        <v>21</v>
      </c>
      <c r="J178" t="s">
        <v>21</v>
      </c>
      <c r="K178" t="s">
        <v>21</v>
      </c>
      <c r="L178" t="e">
        <f>VLOOKUP(H:H,'[1]VEPL-DEC-24'!$D:$AS,42,0)</f>
        <v>#N/A</v>
      </c>
      <c r="M178" t="e">
        <f>VLOOKUP(H:H,'[1]VEPL-DEC-24'!$D:$AT,43,0)</f>
        <v>#N/A</v>
      </c>
      <c r="N178" t="s">
        <v>21</v>
      </c>
      <c r="P178" t="e">
        <f>VLOOKUP(H:H,'[1]VEPL-DEC-24'!$D:$H,5,0)</f>
        <v>#N/A</v>
      </c>
    </row>
    <row r="179" spans="1:16" hidden="1" x14ac:dyDescent="0.3">
      <c r="A179">
        <v>178</v>
      </c>
      <c r="B179" t="s">
        <v>16</v>
      </c>
      <c r="C179" t="s">
        <v>568</v>
      </c>
      <c r="D179" t="s">
        <v>301</v>
      </c>
      <c r="E179" t="s">
        <v>569</v>
      </c>
      <c r="F179" t="s">
        <v>37</v>
      </c>
      <c r="G179" t="s">
        <v>38</v>
      </c>
      <c r="H179" s="2">
        <v>710346134654</v>
      </c>
      <c r="I179" t="s">
        <v>21</v>
      </c>
      <c r="J179" t="s">
        <v>21</v>
      </c>
      <c r="K179" t="s">
        <v>21</v>
      </c>
      <c r="L179" t="e">
        <f>VLOOKUP(H:H,'[1]VEPL-DEC-24'!$D:$AS,42,0)</f>
        <v>#N/A</v>
      </c>
      <c r="M179" t="e">
        <f>VLOOKUP(H:H,'[1]VEPL-DEC-24'!$D:$AT,43,0)</f>
        <v>#N/A</v>
      </c>
      <c r="N179" t="s">
        <v>21</v>
      </c>
      <c r="P179" t="e">
        <f>VLOOKUP(H:H,'[1]VEPL-DEC-24'!$D:$H,5,0)</f>
        <v>#N/A</v>
      </c>
    </row>
    <row r="180" spans="1:16" x14ac:dyDescent="0.3">
      <c r="A180">
        <v>179</v>
      </c>
      <c r="B180" t="s">
        <v>16</v>
      </c>
      <c r="C180" t="s">
        <v>570</v>
      </c>
      <c r="D180" t="s">
        <v>571</v>
      </c>
      <c r="E180" t="s">
        <v>572</v>
      </c>
      <c r="F180" t="s">
        <v>71</v>
      </c>
      <c r="G180" t="s">
        <v>38</v>
      </c>
      <c r="H180" s="2">
        <v>224331475568</v>
      </c>
      <c r="I180" t="s">
        <v>21</v>
      </c>
      <c r="J180" t="s">
        <v>21</v>
      </c>
      <c r="K180" t="s">
        <v>21</v>
      </c>
      <c r="L180" t="str">
        <f>VLOOKUP(H:H,'[1]VEPL-DEC-24'!$D:$AS,42,0)</f>
        <v>P</v>
      </c>
      <c r="M180">
        <f>VLOOKUP(H:H,'[1]VEPL-DEC-24'!$D:$AT,43,0)</f>
        <v>0</v>
      </c>
      <c r="N180" t="s">
        <v>21</v>
      </c>
      <c r="P180">
        <f>VLOOKUP(H:H,'[1]VEPL-DEC-24'!$D:$H,5,0)</f>
        <v>10003</v>
      </c>
    </row>
    <row r="181" spans="1:16" hidden="1" x14ac:dyDescent="0.3">
      <c r="A181">
        <v>180</v>
      </c>
      <c r="B181" t="s">
        <v>16</v>
      </c>
      <c r="C181" t="s">
        <v>573</v>
      </c>
      <c r="D181" t="s">
        <v>574</v>
      </c>
      <c r="E181" t="s">
        <v>575</v>
      </c>
      <c r="F181" t="s">
        <v>42</v>
      </c>
      <c r="G181" t="s">
        <v>38</v>
      </c>
      <c r="H181" s="2">
        <v>529586704672</v>
      </c>
      <c r="I181" t="s">
        <v>21</v>
      </c>
      <c r="J181" t="s">
        <v>21</v>
      </c>
      <c r="K181" t="s">
        <v>21</v>
      </c>
      <c r="L181" t="e">
        <f>VLOOKUP(H:H,'[1]VEPL-DEC-24'!$D:$AS,42,0)</f>
        <v>#N/A</v>
      </c>
      <c r="M181" t="e">
        <f>VLOOKUP(H:H,'[1]VEPL-DEC-24'!$D:$AT,43,0)</f>
        <v>#N/A</v>
      </c>
      <c r="N181" t="s">
        <v>21</v>
      </c>
      <c r="P181" t="e">
        <f>VLOOKUP(H:H,'[1]VEPL-DEC-24'!$D:$H,5,0)</f>
        <v>#N/A</v>
      </c>
    </row>
    <row r="182" spans="1:16" hidden="1" x14ac:dyDescent="0.3">
      <c r="A182">
        <v>181</v>
      </c>
      <c r="B182" t="s">
        <v>16</v>
      </c>
      <c r="C182" t="s">
        <v>576</v>
      </c>
      <c r="D182" t="s">
        <v>577</v>
      </c>
      <c r="E182" t="s">
        <v>578</v>
      </c>
      <c r="F182" t="s">
        <v>83</v>
      </c>
      <c r="G182" t="s">
        <v>38</v>
      </c>
      <c r="H182" s="2">
        <v>889335672873</v>
      </c>
      <c r="I182" t="s">
        <v>21</v>
      </c>
      <c r="J182" t="s">
        <v>21</v>
      </c>
      <c r="K182" t="s">
        <v>21</v>
      </c>
      <c r="L182" t="e">
        <f>VLOOKUP(H:H,'[1]VEPL-DEC-24'!$D:$AS,42,0)</f>
        <v>#N/A</v>
      </c>
      <c r="M182" t="e">
        <f>VLOOKUP(H:H,'[1]VEPL-DEC-24'!$D:$AT,43,0)</f>
        <v>#N/A</v>
      </c>
      <c r="N182" t="s">
        <v>21</v>
      </c>
      <c r="P182" t="e">
        <f>VLOOKUP(H:H,'[1]VEPL-DEC-24'!$D:$H,5,0)</f>
        <v>#N/A</v>
      </c>
    </row>
    <row r="183" spans="1:16" hidden="1" x14ac:dyDescent="0.3">
      <c r="A183">
        <v>182</v>
      </c>
      <c r="B183" t="s">
        <v>16</v>
      </c>
      <c r="C183" t="s">
        <v>579</v>
      </c>
      <c r="D183" t="s">
        <v>580</v>
      </c>
      <c r="E183" t="s">
        <v>581</v>
      </c>
      <c r="F183" t="s">
        <v>83</v>
      </c>
      <c r="G183" t="s">
        <v>38</v>
      </c>
      <c r="H183" s="2">
        <v>230025431800</v>
      </c>
      <c r="I183" t="s">
        <v>21</v>
      </c>
      <c r="J183" t="s">
        <v>21</v>
      </c>
      <c r="K183" t="s">
        <v>21</v>
      </c>
      <c r="L183" t="e">
        <f>VLOOKUP(H:H,'[1]VEPL-DEC-24'!$D:$AS,42,0)</f>
        <v>#N/A</v>
      </c>
      <c r="M183" t="e">
        <f>VLOOKUP(H:H,'[1]VEPL-DEC-24'!$D:$AT,43,0)</f>
        <v>#N/A</v>
      </c>
      <c r="N183" t="s">
        <v>21</v>
      </c>
      <c r="P183" t="e">
        <f>VLOOKUP(H:H,'[1]VEPL-DEC-24'!$D:$H,5,0)</f>
        <v>#N/A</v>
      </c>
    </row>
    <row r="184" spans="1:16" hidden="1" x14ac:dyDescent="0.3">
      <c r="A184">
        <v>183</v>
      </c>
      <c r="B184" t="s">
        <v>16</v>
      </c>
      <c r="C184" t="s">
        <v>582</v>
      </c>
      <c r="D184" t="s">
        <v>583</v>
      </c>
      <c r="E184" t="s">
        <v>584</v>
      </c>
      <c r="F184" t="s">
        <v>83</v>
      </c>
      <c r="G184" t="s">
        <v>38</v>
      </c>
      <c r="H184" s="2">
        <v>830047205594</v>
      </c>
      <c r="I184" t="s">
        <v>21</v>
      </c>
      <c r="J184" t="s">
        <v>21</v>
      </c>
      <c r="K184" t="s">
        <v>21</v>
      </c>
      <c r="L184" t="str">
        <f>VLOOKUP(H:H,'[1]VEPL-DEC-24'!$D:$AS,42,0)</f>
        <v>o</v>
      </c>
      <c r="M184">
        <f>VLOOKUP(H:H,'[1]VEPL-DEC-24'!$D:$AT,43,0)</f>
        <v>0</v>
      </c>
      <c r="N184" t="s">
        <v>21</v>
      </c>
      <c r="P184">
        <f>VLOOKUP(H:H,'[1]VEPL-DEC-24'!$D:$H,5,0)</f>
        <v>10009</v>
      </c>
    </row>
    <row r="185" spans="1:16" x14ac:dyDescent="0.3">
      <c r="A185">
        <v>184</v>
      </c>
      <c r="B185" t="s">
        <v>16</v>
      </c>
      <c r="C185" t="s">
        <v>585</v>
      </c>
      <c r="D185" t="s">
        <v>586</v>
      </c>
      <c r="E185" t="s">
        <v>587</v>
      </c>
      <c r="F185" t="s">
        <v>48</v>
      </c>
      <c r="G185" t="s">
        <v>38</v>
      </c>
      <c r="H185" s="2">
        <v>752537970799</v>
      </c>
      <c r="I185" t="s">
        <v>21</v>
      </c>
      <c r="J185" t="s">
        <v>21</v>
      </c>
      <c r="K185" t="s">
        <v>21</v>
      </c>
      <c r="L185" t="str">
        <f>VLOOKUP(H:H,'[1]VEPL-DEC-24'!$D:$AS,42,0)</f>
        <v>P</v>
      </c>
      <c r="M185">
        <f>VLOOKUP(H:H,'[1]VEPL-DEC-24'!$D:$AT,43,0)</f>
        <v>0</v>
      </c>
      <c r="N185" t="s">
        <v>21</v>
      </c>
      <c r="P185">
        <f>VLOOKUP(H:H,'[1]VEPL-DEC-24'!$D:$H,5,0)</f>
        <v>10002</v>
      </c>
    </row>
    <row r="186" spans="1:16" hidden="1" x14ac:dyDescent="0.3">
      <c r="A186">
        <v>185</v>
      </c>
      <c r="B186" t="s">
        <v>16</v>
      </c>
      <c r="C186" t="s">
        <v>588</v>
      </c>
      <c r="D186" t="s">
        <v>589</v>
      </c>
      <c r="E186" t="s">
        <v>590</v>
      </c>
      <c r="F186" t="s">
        <v>591</v>
      </c>
      <c r="G186" t="s">
        <v>20</v>
      </c>
      <c r="H186" s="2">
        <v>641221768185</v>
      </c>
      <c r="I186" t="s">
        <v>21</v>
      </c>
      <c r="J186" t="s">
        <v>21</v>
      </c>
      <c r="K186" t="s">
        <v>21</v>
      </c>
      <c r="L186" t="e">
        <f>VLOOKUP(H:H,'[1]VEPL-DEC-24'!$D:$AS,42,0)</f>
        <v>#N/A</v>
      </c>
      <c r="M186" t="e">
        <f>VLOOKUP(H:H,'[1]VEPL-DEC-24'!$D:$AT,43,0)</f>
        <v>#N/A</v>
      </c>
      <c r="N186" t="s">
        <v>21</v>
      </c>
      <c r="P186" t="e">
        <f>VLOOKUP(H:H,'[1]VEPL-DEC-24'!$D:$H,5,0)</f>
        <v>#N/A</v>
      </c>
    </row>
    <row r="187" spans="1:16" x14ac:dyDescent="0.3">
      <c r="A187">
        <v>186</v>
      </c>
      <c r="B187" t="s">
        <v>16</v>
      </c>
      <c r="C187" t="s">
        <v>592</v>
      </c>
      <c r="D187" t="s">
        <v>593</v>
      </c>
      <c r="E187" t="s">
        <v>594</v>
      </c>
      <c r="F187" t="s">
        <v>56</v>
      </c>
      <c r="G187" t="s">
        <v>20</v>
      </c>
      <c r="H187" s="2">
        <v>669596576994</v>
      </c>
      <c r="I187" t="s">
        <v>21</v>
      </c>
      <c r="J187" t="s">
        <v>21</v>
      </c>
      <c r="K187" t="s">
        <v>21</v>
      </c>
      <c r="L187" t="str">
        <f>VLOOKUP(H:H,'[1]VEPL-DEC-24'!$D:$AS,42,0)</f>
        <v>P</v>
      </c>
      <c r="M187">
        <f>VLOOKUP(H:H,'[1]VEPL-DEC-24'!$D:$AT,43,0)</f>
        <v>0</v>
      </c>
      <c r="N187" t="s">
        <v>21</v>
      </c>
      <c r="P187">
        <f>VLOOKUP(H:H,'[1]VEPL-DEC-24'!$D:$H,5,0)</f>
        <v>10003</v>
      </c>
    </row>
    <row r="188" spans="1:16" hidden="1" x14ac:dyDescent="0.3">
      <c r="A188">
        <v>187</v>
      </c>
      <c r="B188" t="s">
        <v>16</v>
      </c>
      <c r="C188" t="s">
        <v>595</v>
      </c>
      <c r="D188" t="s">
        <v>596</v>
      </c>
      <c r="E188" t="s">
        <v>597</v>
      </c>
      <c r="F188" t="s">
        <v>37</v>
      </c>
      <c r="G188" t="s">
        <v>38</v>
      </c>
      <c r="H188" s="2">
        <v>786291778911</v>
      </c>
      <c r="I188" t="s">
        <v>21</v>
      </c>
      <c r="J188" t="s">
        <v>21</v>
      </c>
      <c r="K188" t="s">
        <v>21</v>
      </c>
      <c r="L188">
        <f>VLOOKUP(H:H,'[1]VEPL-DEC-24'!$D:$AS,42,0)</f>
        <v>0</v>
      </c>
      <c r="M188">
        <f>VLOOKUP(H:H,'[1]VEPL-DEC-24'!$D:$AT,43,0)</f>
        <v>0</v>
      </c>
      <c r="N188" t="s">
        <v>21</v>
      </c>
      <c r="P188">
        <f>VLOOKUP(H:H,'[1]VEPL-DEC-24'!$D:$H,5,0)</f>
        <v>10002</v>
      </c>
    </row>
    <row r="189" spans="1:16" hidden="1" x14ac:dyDescent="0.3">
      <c r="A189">
        <v>188</v>
      </c>
      <c r="B189" t="s">
        <v>16</v>
      </c>
      <c r="C189" t="s">
        <v>598</v>
      </c>
      <c r="D189" t="s">
        <v>599</v>
      </c>
      <c r="E189" t="s">
        <v>600</v>
      </c>
      <c r="F189" t="s">
        <v>60</v>
      </c>
      <c r="G189" t="s">
        <v>38</v>
      </c>
      <c r="H189" s="2">
        <v>999692938918</v>
      </c>
      <c r="I189" t="s">
        <v>21</v>
      </c>
      <c r="J189" t="s">
        <v>21</v>
      </c>
      <c r="K189" t="s">
        <v>21</v>
      </c>
      <c r="L189" t="e">
        <f>VLOOKUP(H:H,'[1]VEPL-DEC-24'!$D:$AS,42,0)</f>
        <v>#N/A</v>
      </c>
      <c r="M189" t="e">
        <f>VLOOKUP(H:H,'[1]VEPL-DEC-24'!$D:$AT,43,0)</f>
        <v>#N/A</v>
      </c>
      <c r="N189" t="s">
        <v>21</v>
      </c>
      <c r="P189" t="e">
        <f>VLOOKUP(H:H,'[1]VEPL-DEC-24'!$D:$H,5,0)</f>
        <v>#N/A</v>
      </c>
    </row>
    <row r="190" spans="1:16" hidden="1" x14ac:dyDescent="0.3">
      <c r="A190">
        <v>189</v>
      </c>
      <c r="B190" t="s">
        <v>16</v>
      </c>
      <c r="C190" t="s">
        <v>601</v>
      </c>
      <c r="D190" t="s">
        <v>602</v>
      </c>
      <c r="E190" t="s">
        <v>603</v>
      </c>
      <c r="F190" t="s">
        <v>48</v>
      </c>
      <c r="G190" t="s">
        <v>38</v>
      </c>
      <c r="H190" s="2">
        <v>796218772428</v>
      </c>
      <c r="I190" t="s">
        <v>21</v>
      </c>
      <c r="J190" t="s">
        <v>21</v>
      </c>
      <c r="K190" t="s">
        <v>21</v>
      </c>
      <c r="L190" t="e">
        <f>VLOOKUP(H:H,'[1]VEPL-DEC-24'!$D:$AS,42,0)</f>
        <v>#N/A</v>
      </c>
      <c r="M190" t="e">
        <f>VLOOKUP(H:H,'[1]VEPL-DEC-24'!$D:$AT,43,0)</f>
        <v>#N/A</v>
      </c>
      <c r="N190" t="s">
        <v>21</v>
      </c>
      <c r="P190" t="e">
        <f>VLOOKUP(H:H,'[1]VEPL-DEC-24'!$D:$H,5,0)</f>
        <v>#N/A</v>
      </c>
    </row>
    <row r="191" spans="1:16" hidden="1" x14ac:dyDescent="0.3">
      <c r="A191">
        <v>190</v>
      </c>
      <c r="B191" t="s">
        <v>16</v>
      </c>
      <c r="C191" t="s">
        <v>604</v>
      </c>
      <c r="D191" t="s">
        <v>605</v>
      </c>
      <c r="E191" t="s">
        <v>606</v>
      </c>
      <c r="F191" t="s">
        <v>607</v>
      </c>
      <c r="G191" t="s">
        <v>20</v>
      </c>
      <c r="H191" s="2">
        <v>370453697681</v>
      </c>
      <c r="I191" t="s">
        <v>21</v>
      </c>
      <c r="J191" t="s">
        <v>21</v>
      </c>
      <c r="K191" t="s">
        <v>21</v>
      </c>
      <c r="L191" t="str">
        <f>VLOOKUP(H:H,'[1]VEPL-DEC-24'!$D:$AS,42,0)</f>
        <v>o</v>
      </c>
      <c r="M191">
        <f>VLOOKUP(H:H,'[1]VEPL-DEC-24'!$D:$AT,43,0)</f>
        <v>0</v>
      </c>
      <c r="N191" t="s">
        <v>21</v>
      </c>
      <c r="P191">
        <f>VLOOKUP(H:H,'[1]VEPL-DEC-24'!$D:$H,5,0)</f>
        <v>10003</v>
      </c>
    </row>
    <row r="192" spans="1:16" hidden="1" x14ac:dyDescent="0.3">
      <c r="A192">
        <v>191</v>
      </c>
      <c r="B192" t="s">
        <v>16</v>
      </c>
      <c r="C192" t="s">
        <v>608</v>
      </c>
      <c r="D192" t="s">
        <v>609</v>
      </c>
      <c r="E192" t="s">
        <v>610</v>
      </c>
      <c r="F192" t="s">
        <v>37</v>
      </c>
      <c r="G192" t="s">
        <v>38</v>
      </c>
      <c r="H192" s="2">
        <v>308635689686</v>
      </c>
      <c r="I192" t="s">
        <v>21</v>
      </c>
      <c r="J192" t="s">
        <v>21</v>
      </c>
      <c r="K192" t="s">
        <v>21</v>
      </c>
      <c r="L192" t="str">
        <f>VLOOKUP(H:H,'[1]VEPL-DEC-24'!$D:$AS,42,0)</f>
        <v>o</v>
      </c>
      <c r="M192">
        <f>VLOOKUP(H:H,'[1]VEPL-DEC-24'!$D:$AT,43,0)</f>
        <v>0</v>
      </c>
      <c r="N192" t="s">
        <v>21</v>
      </c>
      <c r="P192">
        <f>VLOOKUP(H:H,'[1]VEPL-DEC-24'!$D:$H,5,0)</f>
        <v>10009</v>
      </c>
    </row>
    <row r="193" spans="1:16" hidden="1" x14ac:dyDescent="0.3">
      <c r="A193">
        <v>192</v>
      </c>
      <c r="B193" t="s">
        <v>16</v>
      </c>
      <c r="C193" t="s">
        <v>611</v>
      </c>
      <c r="D193" t="s">
        <v>612</v>
      </c>
      <c r="E193" t="s">
        <v>613</v>
      </c>
      <c r="F193" t="s">
        <v>37</v>
      </c>
      <c r="G193" t="s">
        <v>38</v>
      </c>
      <c r="H193" s="2">
        <v>798145812555</v>
      </c>
      <c r="I193" t="s">
        <v>21</v>
      </c>
      <c r="J193" t="s">
        <v>21</v>
      </c>
      <c r="K193" t="s">
        <v>21</v>
      </c>
      <c r="L193" t="e">
        <f>VLOOKUP(H:H,'[1]VEPL-DEC-24'!$D:$AS,42,0)</f>
        <v>#N/A</v>
      </c>
      <c r="M193" t="e">
        <f>VLOOKUP(H:H,'[1]VEPL-DEC-24'!$D:$AT,43,0)</f>
        <v>#N/A</v>
      </c>
      <c r="N193" t="s">
        <v>21</v>
      </c>
      <c r="P193" t="e">
        <f>VLOOKUP(H:H,'[1]VEPL-DEC-24'!$D:$H,5,0)</f>
        <v>#N/A</v>
      </c>
    </row>
    <row r="194" spans="1:16" x14ac:dyDescent="0.3">
      <c r="A194">
        <v>193</v>
      </c>
      <c r="B194" t="s">
        <v>16</v>
      </c>
      <c r="C194" t="s">
        <v>614</v>
      </c>
      <c r="D194" t="s">
        <v>615</v>
      </c>
      <c r="E194" t="s">
        <v>377</v>
      </c>
      <c r="F194" t="s">
        <v>42</v>
      </c>
      <c r="G194" t="s">
        <v>38</v>
      </c>
      <c r="H194" s="2">
        <v>659812438855</v>
      </c>
      <c r="I194" t="s">
        <v>21</v>
      </c>
      <c r="J194" t="s">
        <v>21</v>
      </c>
      <c r="K194" t="s">
        <v>21</v>
      </c>
      <c r="L194" t="str">
        <f>VLOOKUP(H:H,'[1]VEPL-DEC-24'!$D:$AS,42,0)</f>
        <v>P</v>
      </c>
      <c r="M194">
        <f>VLOOKUP(H:H,'[1]VEPL-DEC-24'!$D:$AT,43,0)</f>
        <v>0</v>
      </c>
      <c r="N194" t="s">
        <v>21</v>
      </c>
      <c r="P194">
        <f>VLOOKUP(H:H,'[1]VEPL-DEC-24'!$D:$H,5,0)</f>
        <v>10009</v>
      </c>
    </row>
    <row r="195" spans="1:16" x14ac:dyDescent="0.3">
      <c r="A195">
        <v>194</v>
      </c>
      <c r="B195" t="s">
        <v>16</v>
      </c>
      <c r="C195" t="s">
        <v>616</v>
      </c>
      <c r="D195" t="s">
        <v>617</v>
      </c>
      <c r="E195" t="s">
        <v>500</v>
      </c>
      <c r="F195" t="s">
        <v>137</v>
      </c>
      <c r="G195" t="s">
        <v>38</v>
      </c>
      <c r="H195" s="2">
        <v>237464228490</v>
      </c>
      <c r="I195" t="s">
        <v>21</v>
      </c>
      <c r="J195" t="s">
        <v>21</v>
      </c>
      <c r="K195" t="s">
        <v>21</v>
      </c>
      <c r="L195" t="str">
        <f>VLOOKUP(H:H,'[1]VEPL-DEC-24'!$D:$AS,42,0)</f>
        <v>P</v>
      </c>
      <c r="M195">
        <f>VLOOKUP(H:H,'[1]VEPL-DEC-24'!$D:$AT,43,0)</f>
        <v>0</v>
      </c>
      <c r="N195" t="s">
        <v>21</v>
      </c>
      <c r="P195">
        <f>VLOOKUP(H:H,'[1]VEPL-DEC-24'!$D:$H,5,0)</f>
        <v>10002</v>
      </c>
    </row>
    <row r="196" spans="1:16" hidden="1" x14ac:dyDescent="0.3">
      <c r="A196">
        <v>195</v>
      </c>
      <c r="B196" t="s">
        <v>16</v>
      </c>
      <c r="C196" t="s">
        <v>455</v>
      </c>
      <c r="D196" t="s">
        <v>618</v>
      </c>
      <c r="E196" t="s">
        <v>619</v>
      </c>
      <c r="F196" t="s">
        <v>37</v>
      </c>
      <c r="G196" t="s">
        <v>38</v>
      </c>
      <c r="H196" s="2">
        <v>258114985704</v>
      </c>
      <c r="I196" t="s">
        <v>21</v>
      </c>
      <c r="J196" t="s">
        <v>21</v>
      </c>
      <c r="K196" t="s">
        <v>21</v>
      </c>
      <c r="L196" t="e">
        <f>VLOOKUP(H:H,'[1]VEPL-DEC-24'!$D:$AS,42,0)</f>
        <v>#N/A</v>
      </c>
      <c r="M196" t="e">
        <f>VLOOKUP(H:H,'[1]VEPL-DEC-24'!$D:$AT,43,0)</f>
        <v>#N/A</v>
      </c>
      <c r="N196" t="s">
        <v>21</v>
      </c>
      <c r="P196" t="e">
        <f>VLOOKUP(H:H,'[1]VEPL-DEC-24'!$D:$H,5,0)</f>
        <v>#N/A</v>
      </c>
    </row>
    <row r="197" spans="1:16" hidden="1" x14ac:dyDescent="0.3">
      <c r="A197">
        <v>196</v>
      </c>
      <c r="B197" t="s">
        <v>16</v>
      </c>
      <c r="C197" t="s">
        <v>620</v>
      </c>
      <c r="D197" t="s">
        <v>621</v>
      </c>
      <c r="E197" t="s">
        <v>622</v>
      </c>
      <c r="F197" t="s">
        <v>37</v>
      </c>
      <c r="G197" t="s">
        <v>38</v>
      </c>
      <c r="H197" s="2">
        <v>615507993783</v>
      </c>
      <c r="I197" t="s">
        <v>21</v>
      </c>
      <c r="J197" t="s">
        <v>21</v>
      </c>
      <c r="K197" t="s">
        <v>21</v>
      </c>
      <c r="L197" t="e">
        <f>VLOOKUP(H:H,'[1]VEPL-DEC-24'!$D:$AS,42,0)</f>
        <v>#N/A</v>
      </c>
      <c r="M197" t="e">
        <f>VLOOKUP(H:H,'[1]VEPL-DEC-24'!$D:$AT,43,0)</f>
        <v>#N/A</v>
      </c>
      <c r="N197" t="s">
        <v>21</v>
      </c>
      <c r="P197" t="e">
        <f>VLOOKUP(H:H,'[1]VEPL-DEC-24'!$D:$H,5,0)</f>
        <v>#N/A</v>
      </c>
    </row>
    <row r="198" spans="1:16" hidden="1" x14ac:dyDescent="0.3">
      <c r="A198">
        <v>197</v>
      </c>
      <c r="B198" t="s">
        <v>16</v>
      </c>
      <c r="C198" t="s">
        <v>623</v>
      </c>
      <c r="D198" t="s">
        <v>624</v>
      </c>
      <c r="E198" t="s">
        <v>625</v>
      </c>
      <c r="F198" t="s">
        <v>37</v>
      </c>
      <c r="G198" t="s">
        <v>38</v>
      </c>
      <c r="H198" s="2">
        <v>426948762717</v>
      </c>
      <c r="I198" t="s">
        <v>21</v>
      </c>
      <c r="J198" t="s">
        <v>21</v>
      </c>
      <c r="K198" t="s">
        <v>21</v>
      </c>
      <c r="L198" t="e">
        <f>VLOOKUP(H:H,'[1]VEPL-DEC-24'!$D:$AS,42,0)</f>
        <v>#N/A</v>
      </c>
      <c r="M198" t="e">
        <f>VLOOKUP(H:H,'[1]VEPL-DEC-24'!$D:$AT,43,0)</f>
        <v>#N/A</v>
      </c>
      <c r="N198" t="s">
        <v>21</v>
      </c>
      <c r="P198" t="e">
        <f>VLOOKUP(H:H,'[1]VEPL-DEC-24'!$D:$H,5,0)</f>
        <v>#N/A</v>
      </c>
    </row>
    <row r="199" spans="1:16" x14ac:dyDescent="0.3">
      <c r="A199">
        <v>198</v>
      </c>
      <c r="B199" t="s">
        <v>16</v>
      </c>
      <c r="C199" t="s">
        <v>626</v>
      </c>
      <c r="D199" t="s">
        <v>627</v>
      </c>
      <c r="E199" t="s">
        <v>628</v>
      </c>
      <c r="F199" t="s">
        <v>60</v>
      </c>
      <c r="G199" t="s">
        <v>38</v>
      </c>
      <c r="H199" s="2">
        <v>395296893806</v>
      </c>
      <c r="I199" t="s">
        <v>21</v>
      </c>
      <c r="J199" t="s">
        <v>21</v>
      </c>
      <c r="K199" t="s">
        <v>21</v>
      </c>
      <c r="L199" t="str">
        <f>VLOOKUP(H:H,'[1]VEPL-DEC-24'!$D:$AS,42,0)</f>
        <v>P</v>
      </c>
      <c r="M199">
        <f>VLOOKUP(H:H,'[1]VEPL-DEC-24'!$D:$AT,43,0)</f>
        <v>11</v>
      </c>
      <c r="N199" t="s">
        <v>21</v>
      </c>
      <c r="P199">
        <f>VLOOKUP(H:H,'[1]VEPL-DEC-24'!$D:$H,5,0)</f>
        <v>10009</v>
      </c>
    </row>
    <row r="200" spans="1:16" x14ac:dyDescent="0.3">
      <c r="A200">
        <v>199</v>
      </c>
      <c r="B200" t="s">
        <v>16</v>
      </c>
      <c r="C200" t="s">
        <v>629</v>
      </c>
      <c r="D200" t="s">
        <v>630</v>
      </c>
      <c r="E200" t="s">
        <v>631</v>
      </c>
      <c r="F200" t="s">
        <v>42</v>
      </c>
      <c r="G200" t="s">
        <v>38</v>
      </c>
      <c r="H200" s="2">
        <v>351145804143</v>
      </c>
      <c r="I200" t="s">
        <v>21</v>
      </c>
      <c r="J200" t="s">
        <v>21</v>
      </c>
      <c r="K200" t="s">
        <v>21</v>
      </c>
      <c r="L200" t="str">
        <f>VLOOKUP(H:H,'[1]VEPL-DEC-24'!$D:$AS,42,0)</f>
        <v>P</v>
      </c>
      <c r="M200">
        <f>VLOOKUP(H:H,'[1]VEPL-DEC-24'!$D:$AT,43,0)</f>
        <v>0</v>
      </c>
      <c r="N200" t="s">
        <v>21</v>
      </c>
      <c r="P200">
        <f>VLOOKUP(H:H,'[1]VEPL-DEC-24'!$D:$H,5,0)</f>
        <v>10002</v>
      </c>
    </row>
    <row r="201" spans="1:16" hidden="1" x14ac:dyDescent="0.3">
      <c r="A201">
        <v>200</v>
      </c>
      <c r="B201" t="s">
        <v>16</v>
      </c>
      <c r="C201" t="s">
        <v>632</v>
      </c>
      <c r="D201" t="s">
        <v>633</v>
      </c>
      <c r="E201" t="s">
        <v>634</v>
      </c>
      <c r="F201" t="s">
        <v>37</v>
      </c>
      <c r="G201" t="s">
        <v>38</v>
      </c>
      <c r="H201" s="2">
        <v>439502897075</v>
      </c>
      <c r="I201" t="s">
        <v>21</v>
      </c>
      <c r="J201" t="s">
        <v>21</v>
      </c>
      <c r="K201" t="s">
        <v>21</v>
      </c>
      <c r="L201" t="str">
        <f>VLOOKUP(H:H,'[1]VEPL-DEC-24'!$D:$AS,42,0)</f>
        <v>o</v>
      </c>
      <c r="M201">
        <f>VLOOKUP(H:H,'[1]VEPL-DEC-24'!$D:$AT,43,0)</f>
        <v>0</v>
      </c>
      <c r="N201" t="s">
        <v>21</v>
      </c>
      <c r="P201">
        <f>VLOOKUP(H:H,'[1]VEPL-DEC-24'!$D:$H,5,0)</f>
        <v>10002</v>
      </c>
    </row>
    <row r="202" spans="1:16" x14ac:dyDescent="0.3">
      <c r="A202">
        <v>201</v>
      </c>
      <c r="B202" t="s">
        <v>16</v>
      </c>
      <c r="C202" t="s">
        <v>635</v>
      </c>
      <c r="D202" t="s">
        <v>636</v>
      </c>
      <c r="E202" t="s">
        <v>637</v>
      </c>
      <c r="F202" t="s">
        <v>83</v>
      </c>
      <c r="G202" t="s">
        <v>38</v>
      </c>
      <c r="H202" s="2">
        <v>414011416140</v>
      </c>
      <c r="I202" t="s">
        <v>21</v>
      </c>
      <c r="J202" t="s">
        <v>21</v>
      </c>
      <c r="K202" t="s">
        <v>21</v>
      </c>
      <c r="L202" t="str">
        <f>VLOOKUP(H:H,'[1]VEPL-DEC-24'!$D:$AS,42,0)</f>
        <v>P</v>
      </c>
      <c r="M202">
        <f>VLOOKUP(H:H,'[1]VEPL-DEC-24'!$D:$AT,43,0)</f>
        <v>0</v>
      </c>
      <c r="N202" t="s">
        <v>21</v>
      </c>
      <c r="P202">
        <f>VLOOKUP(H:H,'[1]VEPL-DEC-24'!$D:$H,5,0)</f>
        <v>10006</v>
      </c>
    </row>
    <row r="203" spans="1:16" hidden="1" x14ac:dyDescent="0.3">
      <c r="A203">
        <v>202</v>
      </c>
      <c r="B203" t="s">
        <v>16</v>
      </c>
      <c r="C203" t="s">
        <v>638</v>
      </c>
      <c r="D203" t="s">
        <v>639</v>
      </c>
      <c r="E203" t="s">
        <v>640</v>
      </c>
      <c r="F203" t="s">
        <v>48</v>
      </c>
      <c r="G203" t="s">
        <v>38</v>
      </c>
      <c r="H203" s="2">
        <v>398954107097</v>
      </c>
      <c r="I203" t="s">
        <v>21</v>
      </c>
      <c r="J203" t="s">
        <v>21</v>
      </c>
      <c r="K203" t="s">
        <v>21</v>
      </c>
      <c r="L203" t="e">
        <f>VLOOKUP(H:H,'[1]VEPL-DEC-24'!$D:$AS,42,0)</f>
        <v>#N/A</v>
      </c>
      <c r="M203" t="e">
        <f>VLOOKUP(H:H,'[1]VEPL-DEC-24'!$D:$AT,43,0)</f>
        <v>#N/A</v>
      </c>
      <c r="N203" t="s">
        <v>21</v>
      </c>
      <c r="P203" t="e">
        <f>VLOOKUP(H:H,'[1]VEPL-DEC-24'!$D:$H,5,0)</f>
        <v>#N/A</v>
      </c>
    </row>
    <row r="204" spans="1:16" hidden="1" x14ac:dyDescent="0.3">
      <c r="A204">
        <v>203</v>
      </c>
      <c r="B204" t="s">
        <v>16</v>
      </c>
      <c r="C204" t="s">
        <v>641</v>
      </c>
      <c r="D204" t="s">
        <v>642</v>
      </c>
      <c r="E204" t="s">
        <v>643</v>
      </c>
      <c r="F204" t="s">
        <v>83</v>
      </c>
      <c r="G204" t="s">
        <v>38</v>
      </c>
      <c r="H204" s="2">
        <v>206826124389</v>
      </c>
      <c r="I204" t="s">
        <v>21</v>
      </c>
      <c r="J204" t="s">
        <v>21</v>
      </c>
      <c r="K204" t="s">
        <v>21</v>
      </c>
      <c r="L204" t="str">
        <f>VLOOKUP(H:H,'[1]VEPL-DEC-24'!$D:$AS,42,0)</f>
        <v>A</v>
      </c>
      <c r="M204">
        <f>VLOOKUP(H:H,'[1]VEPL-DEC-24'!$D:$AT,43,0)</f>
        <v>0</v>
      </c>
      <c r="N204" t="s">
        <v>21</v>
      </c>
      <c r="P204">
        <f>VLOOKUP(H:H,'[1]VEPL-DEC-24'!$D:$H,5,0)</f>
        <v>10003</v>
      </c>
    </row>
    <row r="205" spans="1:16" x14ac:dyDescent="0.3">
      <c r="A205">
        <v>204</v>
      </c>
      <c r="B205" t="s">
        <v>16</v>
      </c>
      <c r="C205" t="s">
        <v>644</v>
      </c>
      <c r="D205" t="s">
        <v>645</v>
      </c>
      <c r="E205" t="s">
        <v>309</v>
      </c>
      <c r="F205" t="s">
        <v>60</v>
      </c>
      <c r="G205" t="s">
        <v>38</v>
      </c>
      <c r="H205" s="2">
        <v>497126437555</v>
      </c>
      <c r="I205" t="s">
        <v>21</v>
      </c>
      <c r="J205" t="s">
        <v>21</v>
      </c>
      <c r="K205" t="s">
        <v>21</v>
      </c>
      <c r="L205" t="str">
        <f>VLOOKUP(H:H,'[1]VEPL-DEC-24'!$D:$AS,42,0)</f>
        <v>P</v>
      </c>
      <c r="M205">
        <f>VLOOKUP(H:H,'[1]VEPL-DEC-24'!$D:$AT,43,0)</f>
        <v>11</v>
      </c>
      <c r="N205" t="s">
        <v>21</v>
      </c>
      <c r="P205">
        <f>VLOOKUP(H:H,'[1]VEPL-DEC-24'!$D:$H,5,0)</f>
        <v>10002</v>
      </c>
    </row>
    <row r="206" spans="1:16" x14ac:dyDescent="0.3">
      <c r="A206">
        <v>205</v>
      </c>
      <c r="B206" t="s">
        <v>16</v>
      </c>
      <c r="C206" t="s">
        <v>646</v>
      </c>
      <c r="D206" t="s">
        <v>647</v>
      </c>
      <c r="E206" t="s">
        <v>648</v>
      </c>
      <c r="F206" t="s">
        <v>48</v>
      </c>
      <c r="G206" t="s">
        <v>38</v>
      </c>
      <c r="H206" s="2">
        <v>446607604079</v>
      </c>
      <c r="I206" t="s">
        <v>21</v>
      </c>
      <c r="J206" t="s">
        <v>21</v>
      </c>
      <c r="K206" t="s">
        <v>21</v>
      </c>
      <c r="L206" t="str">
        <f>VLOOKUP(H:H,'[1]VEPL-DEC-24'!$D:$AS,42,0)</f>
        <v>P</v>
      </c>
      <c r="M206">
        <f>VLOOKUP(H:H,'[1]VEPL-DEC-24'!$D:$AT,43,0)</f>
        <v>11</v>
      </c>
      <c r="N206" t="s">
        <v>21</v>
      </c>
      <c r="P206">
        <f>VLOOKUP(H:H,'[1]VEPL-DEC-24'!$D:$H,5,0)</f>
        <v>10002</v>
      </c>
    </row>
    <row r="207" spans="1:16" x14ac:dyDescent="0.3">
      <c r="A207">
        <v>206</v>
      </c>
      <c r="B207" t="s">
        <v>16</v>
      </c>
      <c r="C207" t="s">
        <v>649</v>
      </c>
      <c r="D207" t="s">
        <v>650</v>
      </c>
      <c r="E207" t="s">
        <v>651</v>
      </c>
      <c r="F207" t="s">
        <v>37</v>
      </c>
      <c r="G207" t="s">
        <v>38</v>
      </c>
      <c r="H207" s="2">
        <v>763570428610</v>
      </c>
      <c r="I207" t="s">
        <v>21</v>
      </c>
      <c r="J207" t="s">
        <v>21</v>
      </c>
      <c r="K207" t="s">
        <v>21</v>
      </c>
      <c r="L207" t="str">
        <f>VLOOKUP(H:H,'[1]VEPL-DEC-24'!$D:$AS,42,0)</f>
        <v>P</v>
      </c>
      <c r="M207">
        <f>VLOOKUP(H:H,'[1]VEPL-DEC-24'!$D:$AT,43,0)</f>
        <v>0</v>
      </c>
      <c r="N207" t="s">
        <v>21</v>
      </c>
      <c r="P207">
        <f>VLOOKUP(H:H,'[1]VEPL-DEC-24'!$D:$H,5,0)</f>
        <v>10003</v>
      </c>
    </row>
    <row r="208" spans="1:16" hidden="1" x14ac:dyDescent="0.3">
      <c r="A208">
        <v>207</v>
      </c>
      <c r="B208" t="s">
        <v>16</v>
      </c>
      <c r="C208" t="s">
        <v>652</v>
      </c>
      <c r="D208" t="s">
        <v>653</v>
      </c>
      <c r="E208" t="s">
        <v>654</v>
      </c>
      <c r="F208" t="s">
        <v>71</v>
      </c>
      <c r="G208" t="s">
        <v>38</v>
      </c>
      <c r="H208" s="2">
        <v>505815122759</v>
      </c>
      <c r="I208" t="s">
        <v>21</v>
      </c>
      <c r="J208" t="s">
        <v>21</v>
      </c>
      <c r="K208" t="s">
        <v>21</v>
      </c>
      <c r="L208" t="e">
        <f>VLOOKUP(H:H,'[1]VEPL-DEC-24'!$D:$AS,42,0)</f>
        <v>#N/A</v>
      </c>
      <c r="M208" t="e">
        <f>VLOOKUP(H:H,'[1]VEPL-DEC-24'!$D:$AT,43,0)</f>
        <v>#N/A</v>
      </c>
      <c r="N208" t="s">
        <v>21</v>
      </c>
      <c r="P208" t="e">
        <f>VLOOKUP(H:H,'[1]VEPL-DEC-24'!$D:$H,5,0)</f>
        <v>#N/A</v>
      </c>
    </row>
    <row r="209" spans="1:16" hidden="1" x14ac:dyDescent="0.3">
      <c r="A209">
        <v>208</v>
      </c>
      <c r="B209" t="s">
        <v>16</v>
      </c>
      <c r="C209" t="s">
        <v>655</v>
      </c>
      <c r="D209" t="s">
        <v>656</v>
      </c>
      <c r="E209" t="s">
        <v>657</v>
      </c>
      <c r="F209" t="s">
        <v>37</v>
      </c>
      <c r="G209" t="s">
        <v>38</v>
      </c>
      <c r="H209" s="2">
        <v>298761163730</v>
      </c>
      <c r="I209" t="s">
        <v>21</v>
      </c>
      <c r="J209" t="s">
        <v>21</v>
      </c>
      <c r="K209" t="s">
        <v>21</v>
      </c>
      <c r="L209" t="e">
        <f>VLOOKUP(H:H,'[1]VEPL-DEC-24'!$D:$AS,42,0)</f>
        <v>#N/A</v>
      </c>
      <c r="M209" t="e">
        <f>VLOOKUP(H:H,'[1]VEPL-DEC-24'!$D:$AT,43,0)</f>
        <v>#N/A</v>
      </c>
      <c r="N209" t="s">
        <v>21</v>
      </c>
      <c r="P209" t="e">
        <f>VLOOKUP(H:H,'[1]VEPL-DEC-24'!$D:$H,5,0)</f>
        <v>#N/A</v>
      </c>
    </row>
    <row r="210" spans="1:16" x14ac:dyDescent="0.3">
      <c r="A210">
        <v>209</v>
      </c>
      <c r="B210" t="s">
        <v>16</v>
      </c>
      <c r="C210" t="s">
        <v>658</v>
      </c>
      <c r="D210" t="s">
        <v>659</v>
      </c>
      <c r="E210" t="s">
        <v>660</v>
      </c>
      <c r="F210" t="s">
        <v>83</v>
      </c>
      <c r="G210" t="s">
        <v>38</v>
      </c>
      <c r="H210" s="2">
        <v>238303938479</v>
      </c>
      <c r="I210" t="s">
        <v>21</v>
      </c>
      <c r="J210" t="s">
        <v>21</v>
      </c>
      <c r="K210" t="s">
        <v>21</v>
      </c>
      <c r="L210" t="str">
        <f>VLOOKUP(H:H,'[1]VEPL-DEC-24'!$D:$AS,42,0)</f>
        <v>P</v>
      </c>
      <c r="M210">
        <f>VLOOKUP(H:H,'[1]VEPL-DEC-24'!$D:$AT,43,0)</f>
        <v>0</v>
      </c>
      <c r="N210" t="s">
        <v>21</v>
      </c>
      <c r="P210">
        <f>VLOOKUP(H:H,'[1]VEPL-DEC-24'!$D:$H,5,0)</f>
        <v>10002</v>
      </c>
    </row>
    <row r="211" spans="1:16" x14ac:dyDescent="0.3">
      <c r="A211">
        <v>210</v>
      </c>
      <c r="B211" t="s">
        <v>16</v>
      </c>
      <c r="C211" t="s">
        <v>661</v>
      </c>
      <c r="D211" t="s">
        <v>662</v>
      </c>
      <c r="E211" t="s">
        <v>663</v>
      </c>
      <c r="F211" t="s">
        <v>83</v>
      </c>
      <c r="G211" t="s">
        <v>38</v>
      </c>
      <c r="H211" s="2">
        <v>592299006342</v>
      </c>
      <c r="I211" t="s">
        <v>21</v>
      </c>
      <c r="J211" t="s">
        <v>21</v>
      </c>
      <c r="K211" t="s">
        <v>21</v>
      </c>
      <c r="L211" t="str">
        <f>VLOOKUP(H:H,'[1]VEPL-DEC-24'!$D:$AS,42,0)</f>
        <v>P</v>
      </c>
      <c r="M211">
        <f>VLOOKUP(H:H,'[1]VEPL-DEC-24'!$D:$AT,43,0)</f>
        <v>11</v>
      </c>
      <c r="N211" t="s">
        <v>21</v>
      </c>
      <c r="P211">
        <f>VLOOKUP(H:H,'[1]VEPL-DEC-24'!$D:$H,5,0)</f>
        <v>10002</v>
      </c>
    </row>
    <row r="212" spans="1:16" x14ac:dyDescent="0.3">
      <c r="A212">
        <v>211</v>
      </c>
      <c r="B212" t="s">
        <v>16</v>
      </c>
      <c r="C212" t="s">
        <v>664</v>
      </c>
      <c r="D212" t="s">
        <v>665</v>
      </c>
      <c r="E212" t="s">
        <v>666</v>
      </c>
      <c r="F212" t="s">
        <v>37</v>
      </c>
      <c r="G212" t="s">
        <v>38</v>
      </c>
      <c r="H212" s="2">
        <v>655032188637</v>
      </c>
      <c r="I212" t="s">
        <v>21</v>
      </c>
      <c r="J212" t="s">
        <v>21</v>
      </c>
      <c r="K212" t="s">
        <v>21</v>
      </c>
      <c r="L212" t="str">
        <f>VLOOKUP(H:H,'[1]VEPL-DEC-24'!$D:$AS,42,0)</f>
        <v>P</v>
      </c>
      <c r="M212">
        <f>VLOOKUP(H:H,'[1]VEPL-DEC-24'!$D:$AT,43,0)</f>
        <v>0</v>
      </c>
      <c r="N212" t="s">
        <v>21</v>
      </c>
      <c r="P212">
        <f>VLOOKUP(H:H,'[1]VEPL-DEC-24'!$D:$H,5,0)</f>
        <v>10002</v>
      </c>
    </row>
    <row r="213" spans="1:16" hidden="1" x14ac:dyDescent="0.3">
      <c r="A213">
        <v>212</v>
      </c>
      <c r="B213" t="s">
        <v>16</v>
      </c>
      <c r="C213" t="s">
        <v>667</v>
      </c>
      <c r="D213" t="s">
        <v>668</v>
      </c>
      <c r="E213" t="s">
        <v>669</v>
      </c>
      <c r="F213" t="s">
        <v>48</v>
      </c>
      <c r="G213" t="s">
        <v>38</v>
      </c>
      <c r="H213" s="2">
        <v>439910643737</v>
      </c>
      <c r="I213" t="s">
        <v>21</v>
      </c>
      <c r="J213" t="s">
        <v>21</v>
      </c>
      <c r="K213" t="s">
        <v>21</v>
      </c>
      <c r="L213" t="e">
        <f>VLOOKUP(H:H,'[1]VEPL-DEC-24'!$D:$AS,42,0)</f>
        <v>#N/A</v>
      </c>
      <c r="M213" t="e">
        <f>VLOOKUP(H:H,'[1]VEPL-DEC-24'!$D:$AT,43,0)</f>
        <v>#N/A</v>
      </c>
      <c r="N213" t="s">
        <v>21</v>
      </c>
      <c r="P213" t="e">
        <f>VLOOKUP(H:H,'[1]VEPL-DEC-24'!$D:$H,5,0)</f>
        <v>#N/A</v>
      </c>
    </row>
    <row r="214" spans="1:16" x14ac:dyDescent="0.3">
      <c r="A214">
        <v>213</v>
      </c>
      <c r="B214" t="s">
        <v>16</v>
      </c>
      <c r="C214" t="s">
        <v>670</v>
      </c>
      <c r="D214" t="s">
        <v>671</v>
      </c>
      <c r="E214" t="s">
        <v>672</v>
      </c>
      <c r="F214" t="s">
        <v>48</v>
      </c>
      <c r="G214" t="s">
        <v>38</v>
      </c>
      <c r="H214" s="2">
        <v>740979784034</v>
      </c>
      <c r="I214" t="s">
        <v>21</v>
      </c>
      <c r="J214" t="s">
        <v>21</v>
      </c>
      <c r="K214" t="s">
        <v>21</v>
      </c>
      <c r="L214" t="str">
        <f>VLOOKUP(H:H,'[1]VEPL-DEC-24'!$D:$AS,42,0)</f>
        <v>P</v>
      </c>
      <c r="M214">
        <f>VLOOKUP(H:H,'[1]VEPL-DEC-24'!$D:$AT,43,0)</f>
        <v>0</v>
      </c>
      <c r="N214" t="s">
        <v>21</v>
      </c>
      <c r="P214">
        <f>VLOOKUP(H:H,'[1]VEPL-DEC-24'!$D:$H,5,0)</f>
        <v>10002</v>
      </c>
    </row>
    <row r="215" spans="1:16" hidden="1" x14ac:dyDescent="0.3">
      <c r="A215">
        <v>214</v>
      </c>
      <c r="B215" t="s">
        <v>16</v>
      </c>
      <c r="C215" t="s">
        <v>673</v>
      </c>
      <c r="D215" t="s">
        <v>674</v>
      </c>
      <c r="E215" t="s">
        <v>675</v>
      </c>
      <c r="F215" t="s">
        <v>37</v>
      </c>
      <c r="G215" t="s">
        <v>38</v>
      </c>
      <c r="H215" s="2">
        <v>919172613697</v>
      </c>
      <c r="I215" t="s">
        <v>21</v>
      </c>
      <c r="J215" t="s">
        <v>21</v>
      </c>
      <c r="K215" t="s">
        <v>21</v>
      </c>
      <c r="L215" t="e">
        <f>VLOOKUP(H:H,'[1]VEPL-DEC-24'!$D:$AS,42,0)</f>
        <v>#N/A</v>
      </c>
      <c r="M215" t="e">
        <f>VLOOKUP(H:H,'[1]VEPL-DEC-24'!$D:$AT,43,0)</f>
        <v>#N/A</v>
      </c>
      <c r="N215" t="s">
        <v>21</v>
      </c>
      <c r="P215" t="e">
        <f>VLOOKUP(H:H,'[1]VEPL-DEC-24'!$D:$H,5,0)</f>
        <v>#N/A</v>
      </c>
    </row>
    <row r="216" spans="1:16" hidden="1" x14ac:dyDescent="0.3">
      <c r="A216">
        <v>215</v>
      </c>
      <c r="B216" t="s">
        <v>16</v>
      </c>
      <c r="C216" t="s">
        <v>676</v>
      </c>
      <c r="D216" t="s">
        <v>677</v>
      </c>
      <c r="E216" t="s">
        <v>678</v>
      </c>
      <c r="F216" t="s">
        <v>83</v>
      </c>
      <c r="G216" t="s">
        <v>38</v>
      </c>
      <c r="H216" s="2">
        <v>612531081252</v>
      </c>
      <c r="I216" t="s">
        <v>21</v>
      </c>
      <c r="J216" t="s">
        <v>21</v>
      </c>
      <c r="K216" t="s">
        <v>21</v>
      </c>
      <c r="L216" t="e">
        <f>VLOOKUP(H:H,'[1]VEPL-DEC-24'!$D:$AS,42,0)</f>
        <v>#N/A</v>
      </c>
      <c r="M216" t="e">
        <f>VLOOKUP(H:H,'[1]VEPL-DEC-24'!$D:$AT,43,0)</f>
        <v>#N/A</v>
      </c>
      <c r="N216" t="s">
        <v>21</v>
      </c>
      <c r="P216" t="e">
        <f>VLOOKUP(H:H,'[1]VEPL-DEC-24'!$D:$H,5,0)</f>
        <v>#N/A</v>
      </c>
    </row>
    <row r="217" spans="1:16" x14ac:dyDescent="0.3">
      <c r="A217">
        <v>216</v>
      </c>
      <c r="B217" t="s">
        <v>16</v>
      </c>
      <c r="C217" t="s">
        <v>679</v>
      </c>
      <c r="D217" t="s">
        <v>680</v>
      </c>
      <c r="E217" t="s">
        <v>681</v>
      </c>
      <c r="F217" t="s">
        <v>83</v>
      </c>
      <c r="G217" t="s">
        <v>38</v>
      </c>
      <c r="H217" s="2">
        <v>666278780237</v>
      </c>
      <c r="I217" t="s">
        <v>21</v>
      </c>
      <c r="J217" t="s">
        <v>21</v>
      </c>
      <c r="K217" t="s">
        <v>21</v>
      </c>
      <c r="L217" t="str">
        <f>VLOOKUP(H:H,'[1]VEPL-DEC-24'!$D:$AS,42,0)</f>
        <v>P</v>
      </c>
      <c r="M217">
        <f>VLOOKUP(H:H,'[1]VEPL-DEC-24'!$D:$AT,43,0)</f>
        <v>0</v>
      </c>
      <c r="N217" t="s">
        <v>21</v>
      </c>
      <c r="P217">
        <f>VLOOKUP(H:H,'[1]VEPL-DEC-24'!$D:$H,5,0)</f>
        <v>10002</v>
      </c>
    </row>
    <row r="218" spans="1:16" x14ac:dyDescent="0.3">
      <c r="A218">
        <v>217</v>
      </c>
      <c r="B218" t="s">
        <v>16</v>
      </c>
      <c r="C218" t="s">
        <v>682</v>
      </c>
      <c r="D218" t="s">
        <v>683</v>
      </c>
      <c r="E218" t="s">
        <v>684</v>
      </c>
      <c r="F218" t="s">
        <v>48</v>
      </c>
      <c r="G218" t="s">
        <v>38</v>
      </c>
      <c r="H218" s="2">
        <v>449108981179</v>
      </c>
      <c r="I218" t="s">
        <v>21</v>
      </c>
      <c r="J218" t="s">
        <v>21</v>
      </c>
      <c r="K218" t="s">
        <v>21</v>
      </c>
      <c r="L218" t="str">
        <f>VLOOKUP(H:H,'[1]VEPL-DEC-24'!$D:$AS,42,0)</f>
        <v>P</v>
      </c>
      <c r="M218">
        <f>VLOOKUP(H:H,'[1]VEPL-DEC-24'!$D:$AT,43,0)</f>
        <v>0</v>
      </c>
      <c r="N218" t="s">
        <v>21</v>
      </c>
      <c r="P218">
        <f>VLOOKUP(H:H,'[1]VEPL-DEC-24'!$D:$H,5,0)</f>
        <v>10003</v>
      </c>
    </row>
    <row r="219" spans="1:16" x14ac:dyDescent="0.3">
      <c r="A219">
        <v>218</v>
      </c>
      <c r="B219" t="s">
        <v>16</v>
      </c>
      <c r="C219" t="s">
        <v>685</v>
      </c>
      <c r="D219" t="s">
        <v>451</v>
      </c>
      <c r="E219" t="s">
        <v>686</v>
      </c>
      <c r="F219" t="s">
        <v>484</v>
      </c>
      <c r="G219" t="s">
        <v>20</v>
      </c>
      <c r="H219" s="2">
        <v>464456275468</v>
      </c>
      <c r="I219" t="s">
        <v>21</v>
      </c>
      <c r="J219" t="s">
        <v>21</v>
      </c>
      <c r="K219" t="s">
        <v>21</v>
      </c>
      <c r="L219" t="str">
        <f>VLOOKUP(H:H,'[1]VEPL-DEC-24'!$D:$AS,42,0)</f>
        <v>P</v>
      </c>
      <c r="M219">
        <f>VLOOKUP(H:H,'[1]VEPL-DEC-24'!$D:$AT,43,0)</f>
        <v>0</v>
      </c>
      <c r="N219" t="s">
        <v>21</v>
      </c>
      <c r="P219">
        <f>VLOOKUP(H:H,'[1]VEPL-DEC-24'!$D:$H,5,0)</f>
        <v>10003</v>
      </c>
    </row>
    <row r="220" spans="1:16" x14ac:dyDescent="0.3">
      <c r="A220">
        <v>219</v>
      </c>
      <c r="B220" t="s">
        <v>16</v>
      </c>
      <c r="C220" t="s">
        <v>687</v>
      </c>
      <c r="D220" t="s">
        <v>688</v>
      </c>
      <c r="E220" t="s">
        <v>689</v>
      </c>
      <c r="F220" t="s">
        <v>137</v>
      </c>
      <c r="G220" t="s">
        <v>38</v>
      </c>
      <c r="H220" s="2">
        <v>465145777431</v>
      </c>
      <c r="I220" t="s">
        <v>21</v>
      </c>
      <c r="J220" t="s">
        <v>21</v>
      </c>
      <c r="K220" t="s">
        <v>21</v>
      </c>
      <c r="L220" t="str">
        <f>VLOOKUP(H:H,'[1]VEPL-DEC-24'!$D:$AS,42,0)</f>
        <v>P</v>
      </c>
      <c r="M220">
        <f>VLOOKUP(H:H,'[1]VEPL-DEC-24'!$D:$AT,43,0)</f>
        <v>2</v>
      </c>
      <c r="N220" t="s">
        <v>21</v>
      </c>
      <c r="P220">
        <f>VLOOKUP(H:H,'[1]VEPL-DEC-24'!$D:$H,5,0)</f>
        <v>10003</v>
      </c>
    </row>
    <row r="221" spans="1:16" x14ac:dyDescent="0.3">
      <c r="A221">
        <v>220</v>
      </c>
      <c r="B221" t="s">
        <v>16</v>
      </c>
      <c r="C221" t="s">
        <v>690</v>
      </c>
      <c r="D221" t="s">
        <v>691</v>
      </c>
      <c r="E221" t="s">
        <v>692</v>
      </c>
      <c r="F221" t="s">
        <v>137</v>
      </c>
      <c r="G221" t="s">
        <v>38</v>
      </c>
      <c r="H221" s="2">
        <v>601336090601</v>
      </c>
      <c r="I221" t="s">
        <v>21</v>
      </c>
      <c r="J221" t="s">
        <v>21</v>
      </c>
      <c r="K221" t="s">
        <v>21</v>
      </c>
      <c r="L221" t="str">
        <f>VLOOKUP(H:H,'[1]VEPL-DEC-24'!$D:$AS,42,0)</f>
        <v>P</v>
      </c>
      <c r="M221">
        <f>VLOOKUP(H:H,'[1]VEPL-DEC-24'!$D:$AT,43,0)</f>
        <v>0</v>
      </c>
      <c r="N221" t="s">
        <v>21</v>
      </c>
      <c r="P221">
        <f>VLOOKUP(H:H,'[1]VEPL-DEC-24'!$D:$H,5,0)</f>
        <v>10008</v>
      </c>
    </row>
    <row r="222" spans="1:16" x14ac:dyDescent="0.3">
      <c r="A222">
        <v>221</v>
      </c>
      <c r="B222" t="s">
        <v>16</v>
      </c>
      <c r="C222" t="s">
        <v>693</v>
      </c>
      <c r="D222" t="s">
        <v>694</v>
      </c>
      <c r="E222" t="s">
        <v>695</v>
      </c>
      <c r="F222" t="s">
        <v>71</v>
      </c>
      <c r="G222" t="s">
        <v>38</v>
      </c>
      <c r="H222" s="2">
        <v>793272538652</v>
      </c>
      <c r="I222" t="s">
        <v>21</v>
      </c>
      <c r="J222" t="s">
        <v>21</v>
      </c>
      <c r="K222" t="s">
        <v>21</v>
      </c>
      <c r="L222" t="str">
        <f>VLOOKUP(H:H,'[1]VEPL-DEC-24'!$D:$AS,42,0)</f>
        <v>P</v>
      </c>
      <c r="M222">
        <f>VLOOKUP(H:H,'[1]VEPL-DEC-24'!$D:$AT,43,0)</f>
        <v>11</v>
      </c>
      <c r="N222" t="s">
        <v>21</v>
      </c>
      <c r="P222">
        <f>VLOOKUP(H:H,'[1]VEPL-DEC-24'!$D:$H,5,0)</f>
        <v>10009</v>
      </c>
    </row>
    <row r="223" spans="1:16" x14ac:dyDescent="0.3">
      <c r="A223">
        <v>222</v>
      </c>
      <c r="B223" t="s">
        <v>16</v>
      </c>
      <c r="C223" t="s">
        <v>696</v>
      </c>
      <c r="D223" t="s">
        <v>697</v>
      </c>
      <c r="E223" t="s">
        <v>698</v>
      </c>
      <c r="F223" t="s">
        <v>152</v>
      </c>
      <c r="G223" t="s">
        <v>38</v>
      </c>
      <c r="H223" s="2">
        <v>618623619725</v>
      </c>
      <c r="I223" t="s">
        <v>21</v>
      </c>
      <c r="J223" t="s">
        <v>21</v>
      </c>
      <c r="K223" t="s">
        <v>21</v>
      </c>
      <c r="L223" t="str">
        <f>VLOOKUP(H:H,'[1]VEPL-DEC-24'!$D:$AS,42,0)</f>
        <v>P</v>
      </c>
      <c r="M223">
        <f>VLOOKUP(H:H,'[1]VEPL-DEC-24'!$D:$AT,43,0)</f>
        <v>11</v>
      </c>
      <c r="N223" t="s">
        <v>21</v>
      </c>
      <c r="P223">
        <f>VLOOKUP(H:H,'[1]VEPL-DEC-24'!$D:$H,5,0)</f>
        <v>10009</v>
      </c>
    </row>
    <row r="224" spans="1:16" hidden="1" x14ac:dyDescent="0.3">
      <c r="A224">
        <v>223</v>
      </c>
      <c r="B224" t="s">
        <v>16</v>
      </c>
      <c r="C224" t="s">
        <v>699</v>
      </c>
      <c r="D224" t="s">
        <v>700</v>
      </c>
      <c r="E224" t="s">
        <v>701</v>
      </c>
      <c r="F224" t="s">
        <v>60</v>
      </c>
      <c r="G224" t="s">
        <v>38</v>
      </c>
      <c r="H224" s="2">
        <v>307517005011</v>
      </c>
      <c r="I224" t="s">
        <v>21</v>
      </c>
      <c r="J224" t="s">
        <v>21</v>
      </c>
      <c r="K224" t="s">
        <v>21</v>
      </c>
      <c r="L224" t="str">
        <f>VLOOKUP(H:H,'[1]VEPL-DEC-24'!$D:$AS,42,0)</f>
        <v>o</v>
      </c>
      <c r="M224">
        <f>VLOOKUP(H:H,'[1]VEPL-DEC-24'!$D:$AT,43,0)</f>
        <v>0</v>
      </c>
      <c r="N224" t="s">
        <v>21</v>
      </c>
      <c r="P224">
        <f>VLOOKUP(H:H,'[1]VEPL-DEC-24'!$D:$H,5,0)</f>
        <v>10008</v>
      </c>
    </row>
    <row r="225" spans="1:16" x14ac:dyDescent="0.3">
      <c r="A225">
        <v>224</v>
      </c>
      <c r="B225" t="s">
        <v>16</v>
      </c>
      <c r="C225" t="s">
        <v>702</v>
      </c>
      <c r="D225" t="s">
        <v>703</v>
      </c>
      <c r="E225" t="s">
        <v>704</v>
      </c>
      <c r="F225" t="s">
        <v>37</v>
      </c>
      <c r="G225" t="s">
        <v>38</v>
      </c>
      <c r="H225" s="2">
        <v>914962617798</v>
      </c>
      <c r="I225" t="s">
        <v>21</v>
      </c>
      <c r="J225" t="s">
        <v>21</v>
      </c>
      <c r="K225" t="s">
        <v>21</v>
      </c>
      <c r="L225" t="str">
        <f>VLOOKUP(H:H,'[1]VEPL-DEC-24'!$D:$AS,42,0)</f>
        <v>P</v>
      </c>
      <c r="M225">
        <f>VLOOKUP(H:H,'[1]VEPL-DEC-24'!$D:$AT,43,0)</f>
        <v>0</v>
      </c>
      <c r="N225" t="s">
        <v>21</v>
      </c>
      <c r="P225">
        <f>VLOOKUP(H:H,'[1]VEPL-DEC-24'!$D:$H,5,0)</f>
        <v>10003</v>
      </c>
    </row>
    <row r="226" spans="1:16" x14ac:dyDescent="0.3">
      <c r="A226">
        <v>225</v>
      </c>
      <c r="B226" t="s">
        <v>16</v>
      </c>
      <c r="C226" t="s">
        <v>705</v>
      </c>
      <c r="D226" t="s">
        <v>706</v>
      </c>
      <c r="E226" t="s">
        <v>707</v>
      </c>
      <c r="F226" t="s">
        <v>71</v>
      </c>
      <c r="G226" t="s">
        <v>38</v>
      </c>
      <c r="H226" s="2">
        <v>323257734252</v>
      </c>
      <c r="I226" t="s">
        <v>21</v>
      </c>
      <c r="J226" t="s">
        <v>21</v>
      </c>
      <c r="K226" t="s">
        <v>21</v>
      </c>
      <c r="L226" t="str">
        <f>VLOOKUP(H:H,'[1]VEPL-DEC-24'!$D:$AS,42,0)</f>
        <v>P</v>
      </c>
      <c r="M226">
        <f>VLOOKUP(H:H,'[1]VEPL-DEC-24'!$D:$AT,43,0)</f>
        <v>0</v>
      </c>
      <c r="N226" t="s">
        <v>21</v>
      </c>
      <c r="P226">
        <f>VLOOKUP(H:H,'[1]VEPL-DEC-24'!$D:$H,5,0)</f>
        <v>10002</v>
      </c>
    </row>
    <row r="227" spans="1:16" x14ac:dyDescent="0.3">
      <c r="A227">
        <v>226</v>
      </c>
      <c r="B227" t="s">
        <v>16</v>
      </c>
      <c r="C227" t="s">
        <v>708</v>
      </c>
      <c r="D227" t="s">
        <v>709</v>
      </c>
      <c r="E227" t="s">
        <v>710</v>
      </c>
      <c r="F227" t="s">
        <v>48</v>
      </c>
      <c r="G227" t="s">
        <v>38</v>
      </c>
      <c r="H227" s="2">
        <v>847554102165</v>
      </c>
      <c r="I227" t="s">
        <v>21</v>
      </c>
      <c r="J227" t="s">
        <v>21</v>
      </c>
      <c r="K227" t="s">
        <v>21</v>
      </c>
      <c r="L227" t="str">
        <f>VLOOKUP(H:H,'[1]VEPL-DEC-24'!$D:$AS,42,0)</f>
        <v>P</v>
      </c>
      <c r="M227">
        <f>VLOOKUP(H:H,'[1]VEPL-DEC-24'!$D:$AT,43,0)</f>
        <v>0</v>
      </c>
      <c r="N227" t="s">
        <v>21</v>
      </c>
      <c r="P227">
        <f>VLOOKUP(H:H,'[1]VEPL-DEC-24'!$D:$H,5,0)</f>
        <v>10009</v>
      </c>
    </row>
    <row r="228" spans="1:16" x14ac:dyDescent="0.3">
      <c r="A228">
        <v>227</v>
      </c>
      <c r="B228" t="s">
        <v>16</v>
      </c>
      <c r="C228" t="s">
        <v>711</v>
      </c>
      <c r="D228" t="s">
        <v>712</v>
      </c>
      <c r="E228" t="s">
        <v>713</v>
      </c>
      <c r="F228" t="s">
        <v>484</v>
      </c>
      <c r="G228" t="s">
        <v>20</v>
      </c>
      <c r="H228" s="2">
        <v>526130942284</v>
      </c>
      <c r="I228" t="s">
        <v>21</v>
      </c>
      <c r="J228" t="s">
        <v>21</v>
      </c>
      <c r="K228" t="s">
        <v>21</v>
      </c>
      <c r="L228" t="str">
        <f>VLOOKUP(H:H,'[1]VEPL-DEC-24'!$D:$AS,42,0)</f>
        <v>P</v>
      </c>
      <c r="M228">
        <f>VLOOKUP(H:H,'[1]VEPL-DEC-24'!$D:$AT,43,0)</f>
        <v>0</v>
      </c>
      <c r="N228" t="s">
        <v>21</v>
      </c>
      <c r="P228">
        <f>VLOOKUP(H:H,'[1]VEPL-DEC-24'!$D:$H,5,0)</f>
        <v>10002</v>
      </c>
    </row>
    <row r="229" spans="1:16" x14ac:dyDescent="0.3">
      <c r="A229">
        <v>228</v>
      </c>
      <c r="B229" t="s">
        <v>16</v>
      </c>
      <c r="C229" t="s">
        <v>714</v>
      </c>
      <c r="D229" t="s">
        <v>715</v>
      </c>
      <c r="E229" t="s">
        <v>716</v>
      </c>
      <c r="F229" t="s">
        <v>60</v>
      </c>
      <c r="G229" t="s">
        <v>38</v>
      </c>
      <c r="H229" s="2">
        <v>296348850338</v>
      </c>
      <c r="I229" t="s">
        <v>21</v>
      </c>
      <c r="J229" t="s">
        <v>21</v>
      </c>
      <c r="K229" t="s">
        <v>21</v>
      </c>
      <c r="L229" t="str">
        <f>VLOOKUP(H:H,'[1]VEPL-DEC-24'!$D:$AS,42,0)</f>
        <v>P</v>
      </c>
      <c r="M229">
        <f>VLOOKUP(H:H,'[1]VEPL-DEC-24'!$D:$AT,43,0)</f>
        <v>0</v>
      </c>
      <c r="N229" t="s">
        <v>21</v>
      </c>
      <c r="P229">
        <f>VLOOKUP(H:H,'[1]VEPL-DEC-24'!$D:$H,5,0)</f>
        <v>10006</v>
      </c>
    </row>
    <row r="230" spans="1:16" x14ac:dyDescent="0.3">
      <c r="A230">
        <v>229</v>
      </c>
      <c r="B230" t="s">
        <v>16</v>
      </c>
      <c r="C230" t="s">
        <v>717</v>
      </c>
      <c r="D230" t="s">
        <v>718</v>
      </c>
      <c r="E230" t="s">
        <v>719</v>
      </c>
      <c r="F230" t="s">
        <v>60</v>
      </c>
      <c r="G230" t="s">
        <v>38</v>
      </c>
      <c r="H230" s="2">
        <v>657823468835</v>
      </c>
      <c r="I230" t="s">
        <v>21</v>
      </c>
      <c r="J230" t="s">
        <v>21</v>
      </c>
      <c r="K230" t="s">
        <v>21</v>
      </c>
      <c r="L230" t="str">
        <f>VLOOKUP(H:H,'[1]VEPL-DEC-24'!$D:$AS,42,0)</f>
        <v>P</v>
      </c>
      <c r="M230">
        <f>VLOOKUP(H:H,'[1]VEPL-DEC-24'!$D:$AT,43,0)</f>
        <v>0</v>
      </c>
      <c r="N230" t="s">
        <v>21</v>
      </c>
      <c r="P230">
        <f>VLOOKUP(H:H,'[1]VEPL-DEC-24'!$D:$H,5,0)</f>
        <v>10003</v>
      </c>
    </row>
    <row r="231" spans="1:16" x14ac:dyDescent="0.3">
      <c r="A231">
        <v>230</v>
      </c>
      <c r="B231" t="s">
        <v>16</v>
      </c>
      <c r="C231" t="s">
        <v>720</v>
      </c>
      <c r="D231" t="s">
        <v>721</v>
      </c>
      <c r="E231" t="s">
        <v>722</v>
      </c>
      <c r="F231" t="s">
        <v>723</v>
      </c>
      <c r="G231" t="s">
        <v>38</v>
      </c>
      <c r="H231" s="2">
        <v>788702732510</v>
      </c>
      <c r="I231" t="s">
        <v>21</v>
      </c>
      <c r="J231" t="s">
        <v>21</v>
      </c>
      <c r="K231" t="s">
        <v>21</v>
      </c>
      <c r="L231" t="str">
        <f>VLOOKUP(H:H,'[1]VEPL-DEC-24'!$D:$AS,42,0)</f>
        <v>P</v>
      </c>
      <c r="M231">
        <f>VLOOKUP(H:H,'[1]VEPL-DEC-24'!$D:$AT,43,0)</f>
        <v>0</v>
      </c>
      <c r="N231" t="s">
        <v>21</v>
      </c>
      <c r="P231">
        <f>VLOOKUP(H:H,'[1]VEPL-DEC-24'!$D:$H,5,0)</f>
        <v>10003</v>
      </c>
    </row>
    <row r="232" spans="1:16" hidden="1" x14ac:dyDescent="0.3">
      <c r="A232">
        <v>231</v>
      </c>
      <c r="B232" t="s">
        <v>16</v>
      </c>
      <c r="C232" t="s">
        <v>724</v>
      </c>
      <c r="D232" t="s">
        <v>725</v>
      </c>
      <c r="E232" t="s">
        <v>726</v>
      </c>
      <c r="F232" t="s">
        <v>71</v>
      </c>
      <c r="G232" t="s">
        <v>38</v>
      </c>
      <c r="H232" s="2">
        <v>488131989574</v>
      </c>
      <c r="I232" t="s">
        <v>21</v>
      </c>
      <c r="J232" t="s">
        <v>21</v>
      </c>
      <c r="K232" t="s">
        <v>21</v>
      </c>
      <c r="L232" t="e">
        <f>VLOOKUP(H:H,'[1]VEPL-DEC-24'!$D:$AS,42,0)</f>
        <v>#N/A</v>
      </c>
      <c r="M232" t="e">
        <f>VLOOKUP(H:H,'[1]VEPL-DEC-24'!$D:$AT,43,0)</f>
        <v>#N/A</v>
      </c>
      <c r="N232" t="s">
        <v>21</v>
      </c>
      <c r="P232" t="e">
        <f>VLOOKUP(H:H,'[1]VEPL-DEC-24'!$D:$H,5,0)</f>
        <v>#N/A</v>
      </c>
    </row>
    <row r="233" spans="1:16" x14ac:dyDescent="0.3">
      <c r="A233">
        <v>232</v>
      </c>
      <c r="B233" t="s">
        <v>16</v>
      </c>
      <c r="C233" t="s">
        <v>727</v>
      </c>
      <c r="D233" t="s">
        <v>728</v>
      </c>
      <c r="E233" t="s">
        <v>729</v>
      </c>
      <c r="F233" t="s">
        <v>71</v>
      </c>
      <c r="G233" t="s">
        <v>38</v>
      </c>
      <c r="H233" s="2">
        <v>716690538750</v>
      </c>
      <c r="I233" t="s">
        <v>21</v>
      </c>
      <c r="J233" t="s">
        <v>21</v>
      </c>
      <c r="K233" t="s">
        <v>21</v>
      </c>
      <c r="L233" t="str">
        <f>VLOOKUP(H:H,'[1]VEPL-DEC-24'!$D:$AS,42,0)</f>
        <v>P</v>
      </c>
      <c r="M233">
        <f>VLOOKUP(H:H,'[1]VEPL-DEC-24'!$D:$AT,43,0)</f>
        <v>11</v>
      </c>
      <c r="N233" t="s">
        <v>21</v>
      </c>
      <c r="P233">
        <f>VLOOKUP(H:H,'[1]VEPL-DEC-24'!$D:$H,5,0)</f>
        <v>10009</v>
      </c>
    </row>
    <row r="234" spans="1:16" hidden="1" x14ac:dyDescent="0.3">
      <c r="A234">
        <v>233</v>
      </c>
      <c r="B234" t="s">
        <v>16</v>
      </c>
      <c r="C234" t="s">
        <v>730</v>
      </c>
      <c r="D234" t="s">
        <v>731</v>
      </c>
      <c r="E234" t="s">
        <v>732</v>
      </c>
      <c r="F234" t="s">
        <v>37</v>
      </c>
      <c r="G234" t="s">
        <v>38</v>
      </c>
      <c r="H234" s="2">
        <v>583293496188</v>
      </c>
      <c r="I234" t="s">
        <v>21</v>
      </c>
      <c r="J234" t="s">
        <v>21</v>
      </c>
      <c r="K234" t="s">
        <v>21</v>
      </c>
      <c r="L234" t="e">
        <f>VLOOKUP(H:H,'[1]VEPL-DEC-24'!$D:$AS,42,0)</f>
        <v>#N/A</v>
      </c>
      <c r="M234" t="e">
        <f>VLOOKUP(H:H,'[1]VEPL-DEC-24'!$D:$AT,43,0)</f>
        <v>#N/A</v>
      </c>
      <c r="N234" t="s">
        <v>21</v>
      </c>
      <c r="P234" t="e">
        <f>VLOOKUP(H:H,'[1]VEPL-DEC-24'!$D:$H,5,0)</f>
        <v>#N/A</v>
      </c>
    </row>
    <row r="235" spans="1:16" hidden="1" x14ac:dyDescent="0.3">
      <c r="A235">
        <v>234</v>
      </c>
      <c r="B235" t="s">
        <v>16</v>
      </c>
      <c r="C235" t="s">
        <v>733</v>
      </c>
      <c r="D235" t="s">
        <v>734</v>
      </c>
      <c r="E235" t="s">
        <v>735</v>
      </c>
      <c r="F235" t="s">
        <v>71</v>
      </c>
      <c r="G235" t="s">
        <v>38</v>
      </c>
      <c r="H235" s="2">
        <v>904076320023</v>
      </c>
      <c r="I235" t="s">
        <v>21</v>
      </c>
      <c r="J235" t="s">
        <v>21</v>
      </c>
      <c r="K235" t="s">
        <v>21</v>
      </c>
      <c r="L235" t="e">
        <f>VLOOKUP(H:H,'[1]VEPL-DEC-24'!$D:$AS,42,0)</f>
        <v>#N/A</v>
      </c>
      <c r="M235" t="e">
        <f>VLOOKUP(H:H,'[1]VEPL-DEC-24'!$D:$AT,43,0)</f>
        <v>#N/A</v>
      </c>
      <c r="N235" t="s">
        <v>21</v>
      </c>
      <c r="P235" t="e">
        <f>VLOOKUP(H:H,'[1]VEPL-DEC-24'!$D:$H,5,0)</f>
        <v>#N/A</v>
      </c>
    </row>
    <row r="236" spans="1:16" hidden="1" x14ac:dyDescent="0.3">
      <c r="A236">
        <v>235</v>
      </c>
      <c r="B236" t="s">
        <v>16</v>
      </c>
      <c r="C236" t="s">
        <v>736</v>
      </c>
      <c r="D236" t="s">
        <v>737</v>
      </c>
      <c r="E236" t="s">
        <v>738</v>
      </c>
      <c r="F236" t="s">
        <v>37</v>
      </c>
      <c r="G236" t="s">
        <v>38</v>
      </c>
      <c r="H236" s="2">
        <v>979768717235</v>
      </c>
      <c r="I236" t="s">
        <v>21</v>
      </c>
      <c r="J236" t="s">
        <v>21</v>
      </c>
      <c r="K236" t="s">
        <v>21</v>
      </c>
      <c r="L236" t="str">
        <f>VLOOKUP(H:H,'[1]VEPL-DEC-24'!$D:$AS,42,0)</f>
        <v>A</v>
      </c>
      <c r="M236">
        <f>VLOOKUP(H:H,'[1]VEPL-DEC-24'!$D:$AT,43,0)</f>
        <v>0</v>
      </c>
      <c r="N236" t="s">
        <v>21</v>
      </c>
      <c r="P236">
        <f>VLOOKUP(H:H,'[1]VEPL-DEC-24'!$D:$H,5,0)</f>
        <v>10009</v>
      </c>
    </row>
    <row r="237" spans="1:16" hidden="1" x14ac:dyDescent="0.3">
      <c r="A237">
        <v>236</v>
      </c>
      <c r="B237" t="s">
        <v>16</v>
      </c>
      <c r="C237" t="s">
        <v>739</v>
      </c>
      <c r="D237" t="s">
        <v>740</v>
      </c>
      <c r="E237" t="s">
        <v>741</v>
      </c>
      <c r="F237" t="s">
        <v>60</v>
      </c>
      <c r="G237" t="s">
        <v>38</v>
      </c>
      <c r="H237" s="2">
        <v>616440191018</v>
      </c>
      <c r="I237" t="s">
        <v>21</v>
      </c>
      <c r="J237" t="s">
        <v>21</v>
      </c>
      <c r="K237" t="s">
        <v>21</v>
      </c>
      <c r="L237" t="e">
        <f>VLOOKUP(H:H,'[1]VEPL-DEC-24'!$D:$AS,42,0)</f>
        <v>#N/A</v>
      </c>
      <c r="M237" t="e">
        <f>VLOOKUP(H:H,'[1]VEPL-DEC-24'!$D:$AT,43,0)</f>
        <v>#N/A</v>
      </c>
      <c r="N237" t="s">
        <v>21</v>
      </c>
      <c r="P237" t="e">
        <f>VLOOKUP(H:H,'[1]VEPL-DEC-24'!$D:$H,5,0)</f>
        <v>#N/A</v>
      </c>
    </row>
    <row r="238" spans="1:16" hidden="1" x14ac:dyDescent="0.3">
      <c r="A238">
        <v>237</v>
      </c>
      <c r="B238" t="s">
        <v>16</v>
      </c>
      <c r="C238" t="s">
        <v>742</v>
      </c>
      <c r="D238" t="s">
        <v>189</v>
      </c>
      <c r="E238" t="s">
        <v>743</v>
      </c>
      <c r="F238" t="s">
        <v>37</v>
      </c>
      <c r="G238" t="s">
        <v>38</v>
      </c>
      <c r="H238" s="2">
        <v>704495434986</v>
      </c>
      <c r="I238" t="s">
        <v>21</v>
      </c>
      <c r="J238" t="s">
        <v>21</v>
      </c>
      <c r="K238" t="s">
        <v>21</v>
      </c>
      <c r="L238" t="e">
        <f>VLOOKUP(H:H,'[1]VEPL-DEC-24'!$D:$AS,42,0)</f>
        <v>#N/A</v>
      </c>
      <c r="M238" t="e">
        <f>VLOOKUP(H:H,'[1]VEPL-DEC-24'!$D:$AT,43,0)</f>
        <v>#N/A</v>
      </c>
      <c r="N238" t="s">
        <v>21</v>
      </c>
      <c r="P238" t="e">
        <f>VLOOKUP(H:H,'[1]VEPL-DEC-24'!$D:$H,5,0)</f>
        <v>#N/A</v>
      </c>
    </row>
    <row r="239" spans="1:16" hidden="1" x14ac:dyDescent="0.3">
      <c r="A239">
        <v>238</v>
      </c>
      <c r="B239" t="s">
        <v>16</v>
      </c>
      <c r="C239" t="s">
        <v>744</v>
      </c>
      <c r="D239" t="s">
        <v>745</v>
      </c>
      <c r="E239" t="s">
        <v>746</v>
      </c>
      <c r="F239" t="s">
        <v>60</v>
      </c>
      <c r="G239" t="s">
        <v>38</v>
      </c>
      <c r="H239" s="2">
        <v>793767765403</v>
      </c>
      <c r="I239" t="s">
        <v>21</v>
      </c>
      <c r="J239" t="s">
        <v>21</v>
      </c>
      <c r="K239" t="s">
        <v>21</v>
      </c>
      <c r="L239" t="str">
        <f>VLOOKUP(H:H,'[1]VEPL-DEC-24'!$D:$AS,42,0)</f>
        <v>o</v>
      </c>
      <c r="M239">
        <f>VLOOKUP(H:H,'[1]VEPL-DEC-24'!$D:$AT,43,0)</f>
        <v>0</v>
      </c>
      <c r="N239" t="s">
        <v>21</v>
      </c>
      <c r="P239">
        <f>VLOOKUP(H:H,'[1]VEPL-DEC-24'!$D:$H,5,0)</f>
        <v>10008</v>
      </c>
    </row>
    <row r="240" spans="1:16" hidden="1" x14ac:dyDescent="0.3">
      <c r="A240">
        <v>239</v>
      </c>
      <c r="B240" t="s">
        <v>16</v>
      </c>
      <c r="C240" t="s">
        <v>747</v>
      </c>
      <c r="D240" t="s">
        <v>748</v>
      </c>
      <c r="E240" t="s">
        <v>749</v>
      </c>
      <c r="F240" t="s">
        <v>37</v>
      </c>
      <c r="G240" t="s">
        <v>38</v>
      </c>
      <c r="H240" s="2">
        <v>937125796452</v>
      </c>
      <c r="I240" t="s">
        <v>21</v>
      </c>
      <c r="J240" t="s">
        <v>21</v>
      </c>
      <c r="K240" t="s">
        <v>21</v>
      </c>
      <c r="L240" t="e">
        <f>VLOOKUP(H:H,'[1]VEPL-DEC-24'!$D:$AS,42,0)</f>
        <v>#N/A</v>
      </c>
      <c r="M240" t="e">
        <f>VLOOKUP(H:H,'[1]VEPL-DEC-24'!$D:$AT,43,0)</f>
        <v>#N/A</v>
      </c>
      <c r="N240" t="s">
        <v>21</v>
      </c>
      <c r="P240" t="e">
        <f>VLOOKUP(H:H,'[1]VEPL-DEC-24'!$D:$H,5,0)</f>
        <v>#N/A</v>
      </c>
    </row>
    <row r="241" spans="1:16" hidden="1" x14ac:dyDescent="0.3">
      <c r="A241">
        <v>240</v>
      </c>
      <c r="B241" t="s">
        <v>16</v>
      </c>
      <c r="C241" t="s">
        <v>750</v>
      </c>
      <c r="D241" t="s">
        <v>751</v>
      </c>
      <c r="E241" t="s">
        <v>752</v>
      </c>
      <c r="F241" t="s">
        <v>156</v>
      </c>
      <c r="G241" t="s">
        <v>38</v>
      </c>
      <c r="H241" s="2">
        <v>472818235055</v>
      </c>
      <c r="I241" t="s">
        <v>21</v>
      </c>
      <c r="J241" t="s">
        <v>21</v>
      </c>
      <c r="K241" t="s">
        <v>21</v>
      </c>
      <c r="L241" t="e">
        <f>VLOOKUP(H:H,'[1]VEPL-DEC-24'!$D:$AS,42,0)</f>
        <v>#N/A</v>
      </c>
      <c r="M241" t="e">
        <f>VLOOKUP(H:H,'[1]VEPL-DEC-24'!$D:$AT,43,0)</f>
        <v>#N/A</v>
      </c>
      <c r="N241" t="s">
        <v>21</v>
      </c>
      <c r="P241" t="e">
        <f>VLOOKUP(H:H,'[1]VEPL-DEC-24'!$D:$H,5,0)</f>
        <v>#N/A</v>
      </c>
    </row>
    <row r="242" spans="1:16" hidden="1" x14ac:dyDescent="0.3">
      <c r="A242">
        <v>241</v>
      </c>
      <c r="B242" t="s">
        <v>16</v>
      </c>
      <c r="C242" t="s">
        <v>753</v>
      </c>
      <c r="D242" t="s">
        <v>754</v>
      </c>
      <c r="E242" t="s">
        <v>755</v>
      </c>
      <c r="F242" t="s">
        <v>48</v>
      </c>
      <c r="G242" t="s">
        <v>38</v>
      </c>
      <c r="H242" s="2">
        <v>202650363496</v>
      </c>
      <c r="I242" t="s">
        <v>21</v>
      </c>
      <c r="J242" t="s">
        <v>21</v>
      </c>
      <c r="K242" t="s">
        <v>21</v>
      </c>
      <c r="L242" t="e">
        <f>VLOOKUP(H:H,'[1]VEPL-DEC-24'!$D:$AS,42,0)</f>
        <v>#N/A</v>
      </c>
      <c r="M242" t="e">
        <f>VLOOKUP(H:H,'[1]VEPL-DEC-24'!$D:$AT,43,0)</f>
        <v>#N/A</v>
      </c>
      <c r="N242" t="s">
        <v>21</v>
      </c>
      <c r="P242" t="e">
        <f>VLOOKUP(H:H,'[1]VEPL-DEC-24'!$D:$H,5,0)</f>
        <v>#N/A</v>
      </c>
    </row>
    <row r="243" spans="1:16" hidden="1" x14ac:dyDescent="0.3">
      <c r="A243">
        <v>242</v>
      </c>
      <c r="B243" t="s">
        <v>16</v>
      </c>
      <c r="C243" t="s">
        <v>756</v>
      </c>
      <c r="D243" t="s">
        <v>757</v>
      </c>
      <c r="E243" t="s">
        <v>758</v>
      </c>
      <c r="F243" t="s">
        <v>37</v>
      </c>
      <c r="G243" t="s">
        <v>38</v>
      </c>
      <c r="H243" s="2">
        <v>865746732374</v>
      </c>
      <c r="I243" t="s">
        <v>21</v>
      </c>
      <c r="J243" t="s">
        <v>21</v>
      </c>
      <c r="K243" t="s">
        <v>21</v>
      </c>
      <c r="L243" t="e">
        <f>VLOOKUP(H:H,'[1]VEPL-DEC-24'!$D:$AS,42,0)</f>
        <v>#N/A</v>
      </c>
      <c r="M243" t="e">
        <f>VLOOKUP(H:H,'[1]VEPL-DEC-24'!$D:$AT,43,0)</f>
        <v>#N/A</v>
      </c>
      <c r="N243" t="s">
        <v>21</v>
      </c>
      <c r="P243" t="e">
        <f>VLOOKUP(H:H,'[1]VEPL-DEC-24'!$D:$H,5,0)</f>
        <v>#N/A</v>
      </c>
    </row>
    <row r="244" spans="1:16" hidden="1" x14ac:dyDescent="0.3">
      <c r="A244">
        <v>243</v>
      </c>
      <c r="B244" t="s">
        <v>16</v>
      </c>
      <c r="C244" t="s">
        <v>759</v>
      </c>
      <c r="D244" t="s">
        <v>760</v>
      </c>
      <c r="E244" t="s">
        <v>761</v>
      </c>
      <c r="F244" t="s">
        <v>762</v>
      </c>
      <c r="G244" t="s">
        <v>38</v>
      </c>
      <c r="H244" s="2">
        <v>666882904980</v>
      </c>
      <c r="I244" t="s">
        <v>21</v>
      </c>
      <c r="J244" t="s">
        <v>21</v>
      </c>
      <c r="K244" t="s">
        <v>21</v>
      </c>
      <c r="L244" t="str">
        <f>VLOOKUP(H:H,'[1]VEPL-DEC-24'!$D:$AS,42,0)</f>
        <v>A</v>
      </c>
      <c r="M244">
        <f>VLOOKUP(H:H,'[1]VEPL-DEC-24'!$D:$AT,43,0)</f>
        <v>0</v>
      </c>
      <c r="N244" t="s">
        <v>21</v>
      </c>
      <c r="P244">
        <f>VLOOKUP(H:H,'[1]VEPL-DEC-24'!$D:$H,5,0)</f>
        <v>10002</v>
      </c>
    </row>
    <row r="245" spans="1:16" hidden="1" x14ac:dyDescent="0.3">
      <c r="A245">
        <v>244</v>
      </c>
      <c r="B245" t="s">
        <v>16</v>
      </c>
      <c r="C245" t="s">
        <v>41</v>
      </c>
      <c r="D245" t="s">
        <v>763</v>
      </c>
      <c r="E245" t="s">
        <v>764</v>
      </c>
      <c r="F245" t="s">
        <v>83</v>
      </c>
      <c r="G245" t="s">
        <v>38</v>
      </c>
      <c r="H245" s="2">
        <v>680040668358</v>
      </c>
      <c r="I245" t="s">
        <v>21</v>
      </c>
      <c r="J245" t="s">
        <v>21</v>
      </c>
      <c r="K245" t="s">
        <v>21</v>
      </c>
      <c r="L245" t="str">
        <f>VLOOKUP(H:H,'[1]VEPL-DEC-24'!$D:$AS,42,0)</f>
        <v>A</v>
      </c>
      <c r="M245">
        <f>VLOOKUP(H:H,'[1]VEPL-DEC-24'!$D:$AT,43,0)</f>
        <v>0</v>
      </c>
      <c r="N245" t="s">
        <v>21</v>
      </c>
      <c r="P245">
        <f>VLOOKUP(H:H,'[1]VEPL-DEC-24'!$D:$H,5,0)</f>
        <v>10003</v>
      </c>
    </row>
    <row r="246" spans="1:16" hidden="1" x14ac:dyDescent="0.3">
      <c r="A246">
        <v>245</v>
      </c>
      <c r="B246" t="s">
        <v>16</v>
      </c>
      <c r="C246" t="s">
        <v>765</v>
      </c>
      <c r="D246" t="s">
        <v>766</v>
      </c>
      <c r="E246" t="s">
        <v>767</v>
      </c>
      <c r="F246" t="s">
        <v>60</v>
      </c>
      <c r="G246" t="s">
        <v>38</v>
      </c>
      <c r="H246" s="2">
        <v>203098728544</v>
      </c>
      <c r="I246" t="s">
        <v>21</v>
      </c>
      <c r="J246" t="s">
        <v>21</v>
      </c>
      <c r="K246" t="s">
        <v>21</v>
      </c>
      <c r="L246" t="e">
        <f>VLOOKUP(H:H,'[1]VEPL-DEC-24'!$D:$AS,42,0)</f>
        <v>#N/A</v>
      </c>
      <c r="M246" t="e">
        <f>VLOOKUP(H:H,'[1]VEPL-DEC-24'!$D:$AT,43,0)</f>
        <v>#N/A</v>
      </c>
      <c r="N246" t="s">
        <v>21</v>
      </c>
      <c r="P246" t="e">
        <f>VLOOKUP(H:H,'[1]VEPL-DEC-24'!$D:$H,5,0)</f>
        <v>#N/A</v>
      </c>
    </row>
    <row r="247" spans="1:16" hidden="1" x14ac:dyDescent="0.3">
      <c r="A247">
        <v>246</v>
      </c>
      <c r="B247" t="s">
        <v>16</v>
      </c>
      <c r="C247" t="s">
        <v>768</v>
      </c>
      <c r="D247" t="s">
        <v>769</v>
      </c>
      <c r="E247" t="s">
        <v>770</v>
      </c>
      <c r="F247" t="s">
        <v>771</v>
      </c>
      <c r="G247" t="s">
        <v>20</v>
      </c>
      <c r="H247" s="2">
        <v>256489644116</v>
      </c>
      <c r="I247" t="s">
        <v>21</v>
      </c>
      <c r="J247" t="s">
        <v>21</v>
      </c>
      <c r="K247" t="s">
        <v>21</v>
      </c>
      <c r="L247" t="e">
        <f>VLOOKUP(H:H,'[1]VEPL-DEC-24'!$D:$AS,42,0)</f>
        <v>#N/A</v>
      </c>
      <c r="M247" t="e">
        <f>VLOOKUP(H:H,'[1]VEPL-DEC-24'!$D:$AT,43,0)</f>
        <v>#N/A</v>
      </c>
      <c r="N247" t="s">
        <v>21</v>
      </c>
      <c r="P247" t="e">
        <f>VLOOKUP(H:H,'[1]VEPL-DEC-24'!$D:$H,5,0)</f>
        <v>#N/A</v>
      </c>
    </row>
    <row r="248" spans="1:16" hidden="1" x14ac:dyDescent="0.3">
      <c r="A248">
        <v>247</v>
      </c>
      <c r="B248" t="s">
        <v>16</v>
      </c>
      <c r="C248" t="s">
        <v>772</v>
      </c>
      <c r="D248" t="s">
        <v>773</v>
      </c>
      <c r="E248" t="s">
        <v>774</v>
      </c>
      <c r="F248" t="s">
        <v>37</v>
      </c>
      <c r="G248" t="s">
        <v>38</v>
      </c>
      <c r="H248" s="2">
        <v>230333464055</v>
      </c>
      <c r="I248" t="s">
        <v>21</v>
      </c>
      <c r="J248" t="s">
        <v>21</v>
      </c>
      <c r="K248" t="s">
        <v>21</v>
      </c>
      <c r="L248" t="e">
        <f>VLOOKUP(H:H,'[1]VEPL-DEC-24'!$D:$AS,42,0)</f>
        <v>#N/A</v>
      </c>
      <c r="M248" t="e">
        <f>VLOOKUP(H:H,'[1]VEPL-DEC-24'!$D:$AT,43,0)</f>
        <v>#N/A</v>
      </c>
      <c r="N248" t="s">
        <v>21</v>
      </c>
      <c r="P248" t="e">
        <f>VLOOKUP(H:H,'[1]VEPL-DEC-24'!$D:$H,5,0)</f>
        <v>#N/A</v>
      </c>
    </row>
    <row r="249" spans="1:16" hidden="1" x14ac:dyDescent="0.3">
      <c r="A249">
        <v>248</v>
      </c>
      <c r="B249" t="s">
        <v>16</v>
      </c>
      <c r="C249" t="s">
        <v>775</v>
      </c>
      <c r="D249" t="s">
        <v>776</v>
      </c>
      <c r="E249" t="s">
        <v>777</v>
      </c>
      <c r="F249" t="s">
        <v>25</v>
      </c>
      <c r="G249" t="s">
        <v>20</v>
      </c>
      <c r="H249" s="2">
        <v>678837823369</v>
      </c>
      <c r="I249" t="s">
        <v>21</v>
      </c>
      <c r="J249" t="s">
        <v>21</v>
      </c>
      <c r="K249" t="s">
        <v>21</v>
      </c>
      <c r="L249" t="e">
        <f>VLOOKUP(H:H,'[1]VEPL-DEC-24'!$D:$AS,42,0)</f>
        <v>#N/A</v>
      </c>
      <c r="M249" t="e">
        <f>VLOOKUP(H:H,'[1]VEPL-DEC-24'!$D:$AT,43,0)</f>
        <v>#N/A</v>
      </c>
      <c r="N249" t="s">
        <v>21</v>
      </c>
      <c r="P249" t="e">
        <f>VLOOKUP(H:H,'[1]VEPL-DEC-24'!$D:$H,5,0)</f>
        <v>#N/A</v>
      </c>
    </row>
    <row r="250" spans="1:16" hidden="1" x14ac:dyDescent="0.3">
      <c r="A250">
        <v>249</v>
      </c>
      <c r="B250" t="s">
        <v>16</v>
      </c>
      <c r="C250" t="s">
        <v>778</v>
      </c>
      <c r="D250" t="s">
        <v>779</v>
      </c>
      <c r="E250" t="s">
        <v>780</v>
      </c>
      <c r="F250" t="s">
        <v>83</v>
      </c>
      <c r="G250" t="s">
        <v>38</v>
      </c>
      <c r="H250" s="2">
        <v>565159524559</v>
      </c>
      <c r="I250" t="s">
        <v>21</v>
      </c>
      <c r="J250" t="s">
        <v>21</v>
      </c>
      <c r="K250" t="s">
        <v>21</v>
      </c>
      <c r="L250" t="e">
        <f>VLOOKUP(H:H,'[1]VEPL-DEC-24'!$D:$AS,42,0)</f>
        <v>#N/A</v>
      </c>
      <c r="M250" t="e">
        <f>VLOOKUP(H:H,'[1]VEPL-DEC-24'!$D:$AT,43,0)</f>
        <v>#N/A</v>
      </c>
      <c r="N250" t="s">
        <v>21</v>
      </c>
      <c r="P250" t="e">
        <f>VLOOKUP(H:H,'[1]VEPL-DEC-24'!$D:$H,5,0)</f>
        <v>#N/A</v>
      </c>
    </row>
    <row r="251" spans="1:16" hidden="1" x14ac:dyDescent="0.3">
      <c r="A251">
        <v>250</v>
      </c>
      <c r="B251" t="s">
        <v>16</v>
      </c>
      <c r="C251" t="s">
        <v>781</v>
      </c>
      <c r="D251" t="s">
        <v>782</v>
      </c>
      <c r="E251" t="s">
        <v>783</v>
      </c>
      <c r="F251" t="s">
        <v>60</v>
      </c>
      <c r="G251" t="s">
        <v>38</v>
      </c>
      <c r="H251" s="2">
        <v>976783376830</v>
      </c>
      <c r="I251" t="s">
        <v>21</v>
      </c>
      <c r="J251" t="s">
        <v>21</v>
      </c>
      <c r="K251" t="s">
        <v>21</v>
      </c>
      <c r="L251" t="str">
        <f>VLOOKUP(H:H,'[1]VEPL-DEC-24'!$D:$AS,42,0)</f>
        <v>o</v>
      </c>
      <c r="M251">
        <f>VLOOKUP(H:H,'[1]VEPL-DEC-24'!$D:$AT,43,0)</f>
        <v>0</v>
      </c>
      <c r="N251" t="s">
        <v>21</v>
      </c>
      <c r="P251">
        <f>VLOOKUP(H:H,'[1]VEPL-DEC-24'!$D:$H,5,0)</f>
        <v>10009</v>
      </c>
    </row>
    <row r="252" spans="1:16" hidden="1" x14ac:dyDescent="0.3">
      <c r="A252">
        <v>251</v>
      </c>
      <c r="B252" t="s">
        <v>16</v>
      </c>
      <c r="C252" t="s">
        <v>784</v>
      </c>
      <c r="D252" t="s">
        <v>785</v>
      </c>
      <c r="E252" t="s">
        <v>786</v>
      </c>
      <c r="F252" t="s">
        <v>37</v>
      </c>
      <c r="G252" t="s">
        <v>38</v>
      </c>
      <c r="H252" s="2">
        <v>867367689797</v>
      </c>
      <c r="I252" t="s">
        <v>21</v>
      </c>
      <c r="J252" t="s">
        <v>21</v>
      </c>
      <c r="K252" t="s">
        <v>21</v>
      </c>
      <c r="L252" t="e">
        <f>VLOOKUP(H:H,'[1]VEPL-DEC-24'!$D:$AS,42,0)</f>
        <v>#N/A</v>
      </c>
      <c r="M252" t="e">
        <f>VLOOKUP(H:H,'[1]VEPL-DEC-24'!$D:$AT,43,0)</f>
        <v>#N/A</v>
      </c>
      <c r="N252" t="s">
        <v>21</v>
      </c>
      <c r="P252" t="e">
        <f>VLOOKUP(H:H,'[1]VEPL-DEC-24'!$D:$H,5,0)</f>
        <v>#N/A</v>
      </c>
    </row>
    <row r="253" spans="1:16" x14ac:dyDescent="0.3">
      <c r="A253">
        <v>252</v>
      </c>
      <c r="B253" t="s">
        <v>16</v>
      </c>
      <c r="C253" t="s">
        <v>787</v>
      </c>
      <c r="D253" t="s">
        <v>788</v>
      </c>
      <c r="E253" t="s">
        <v>789</v>
      </c>
      <c r="F253" t="s">
        <v>37</v>
      </c>
      <c r="G253" t="s">
        <v>38</v>
      </c>
      <c r="H253" s="2">
        <v>699572476078</v>
      </c>
      <c r="I253" t="s">
        <v>21</v>
      </c>
      <c r="J253" t="s">
        <v>21</v>
      </c>
      <c r="K253" t="s">
        <v>21</v>
      </c>
      <c r="L253" t="str">
        <f>VLOOKUP(H:H,'[1]VEPL-DEC-24'!$D:$AS,42,0)</f>
        <v>P</v>
      </c>
      <c r="M253">
        <f>VLOOKUP(H:H,'[1]VEPL-DEC-24'!$D:$AT,43,0)</f>
        <v>0</v>
      </c>
      <c r="N253" t="s">
        <v>21</v>
      </c>
      <c r="P253">
        <f>VLOOKUP(H:H,'[1]VEPL-DEC-24'!$D:$H,5,0)</f>
        <v>10009</v>
      </c>
    </row>
    <row r="254" spans="1:16" hidden="1" x14ac:dyDescent="0.3">
      <c r="A254">
        <v>253</v>
      </c>
      <c r="B254" t="s">
        <v>16</v>
      </c>
      <c r="C254" t="s">
        <v>790</v>
      </c>
      <c r="D254" t="s">
        <v>791</v>
      </c>
      <c r="E254" t="s">
        <v>792</v>
      </c>
      <c r="F254" t="s">
        <v>60</v>
      </c>
      <c r="G254" t="s">
        <v>38</v>
      </c>
      <c r="H254" s="2">
        <v>420323583674</v>
      </c>
      <c r="I254" t="s">
        <v>21</v>
      </c>
      <c r="J254" t="s">
        <v>21</v>
      </c>
      <c r="K254" t="s">
        <v>21</v>
      </c>
      <c r="L254" t="str">
        <f>VLOOKUP(H:H,'[1]VEPL-DEC-24'!$D:$AS,42,0)</f>
        <v>A</v>
      </c>
      <c r="M254">
        <f>VLOOKUP(H:H,'[1]VEPL-DEC-24'!$D:$AT,43,0)</f>
        <v>0</v>
      </c>
      <c r="N254" t="s">
        <v>21</v>
      </c>
      <c r="P254">
        <f>VLOOKUP(H:H,'[1]VEPL-DEC-24'!$D:$H,5,0)</f>
        <v>10002</v>
      </c>
    </row>
    <row r="255" spans="1:16" hidden="1" x14ac:dyDescent="0.3">
      <c r="A255">
        <v>254</v>
      </c>
      <c r="B255" t="s">
        <v>16</v>
      </c>
      <c r="C255" t="s">
        <v>793</v>
      </c>
      <c r="D255" t="s">
        <v>794</v>
      </c>
      <c r="E255" t="s">
        <v>795</v>
      </c>
      <c r="F255" t="s">
        <v>93</v>
      </c>
      <c r="G255" t="s">
        <v>38</v>
      </c>
      <c r="H255" s="2">
        <v>877721241838</v>
      </c>
      <c r="I255" t="s">
        <v>21</v>
      </c>
      <c r="J255" t="s">
        <v>21</v>
      </c>
      <c r="K255" t="s">
        <v>21</v>
      </c>
      <c r="L255" t="e">
        <f>VLOOKUP(H:H,'[1]VEPL-DEC-24'!$D:$AS,42,0)</f>
        <v>#N/A</v>
      </c>
      <c r="M255" t="e">
        <f>VLOOKUP(H:H,'[1]VEPL-DEC-24'!$D:$AT,43,0)</f>
        <v>#N/A</v>
      </c>
      <c r="N255" t="s">
        <v>21</v>
      </c>
      <c r="P255" t="e">
        <f>VLOOKUP(H:H,'[1]VEPL-DEC-24'!$D:$H,5,0)</f>
        <v>#N/A</v>
      </c>
    </row>
    <row r="256" spans="1:16" x14ac:dyDescent="0.3">
      <c r="A256">
        <v>255</v>
      </c>
      <c r="B256" t="s">
        <v>16</v>
      </c>
      <c r="C256" t="s">
        <v>796</v>
      </c>
      <c r="D256" t="s">
        <v>797</v>
      </c>
      <c r="E256" t="s">
        <v>798</v>
      </c>
      <c r="F256" t="s">
        <v>48</v>
      </c>
      <c r="G256" t="s">
        <v>38</v>
      </c>
      <c r="H256" s="2">
        <v>720072460474</v>
      </c>
      <c r="I256" t="s">
        <v>21</v>
      </c>
      <c r="J256" t="s">
        <v>21</v>
      </c>
      <c r="K256" t="s">
        <v>21</v>
      </c>
      <c r="L256" t="str">
        <f>VLOOKUP(H:H,'[1]VEPL-DEC-24'!$D:$AS,42,0)</f>
        <v>P</v>
      </c>
      <c r="M256">
        <f>VLOOKUP(H:H,'[1]VEPL-DEC-24'!$D:$AT,43,0)</f>
        <v>11</v>
      </c>
      <c r="N256" t="s">
        <v>21</v>
      </c>
      <c r="P256">
        <f>VLOOKUP(H:H,'[1]VEPL-DEC-24'!$D:$H,5,0)</f>
        <v>10009</v>
      </c>
    </row>
    <row r="257" spans="1:16" hidden="1" x14ac:dyDescent="0.3">
      <c r="A257">
        <v>256</v>
      </c>
      <c r="B257" t="s">
        <v>16</v>
      </c>
      <c r="C257" t="s">
        <v>799</v>
      </c>
      <c r="D257" t="s">
        <v>800</v>
      </c>
      <c r="E257" t="s">
        <v>801</v>
      </c>
      <c r="F257" t="s">
        <v>37</v>
      </c>
      <c r="G257" t="s">
        <v>38</v>
      </c>
      <c r="H257" s="2">
        <v>488159209056</v>
      </c>
      <c r="I257" t="s">
        <v>21</v>
      </c>
      <c r="J257" t="s">
        <v>21</v>
      </c>
      <c r="K257" t="s">
        <v>21</v>
      </c>
      <c r="L257" t="e">
        <f>VLOOKUP(H:H,'[1]VEPL-DEC-24'!$D:$AS,42,0)</f>
        <v>#N/A</v>
      </c>
      <c r="M257" t="e">
        <f>VLOOKUP(H:H,'[1]VEPL-DEC-24'!$D:$AT,43,0)</f>
        <v>#N/A</v>
      </c>
      <c r="N257" t="s">
        <v>21</v>
      </c>
      <c r="P257" t="e">
        <f>VLOOKUP(H:H,'[1]VEPL-DEC-24'!$D:$H,5,0)</f>
        <v>#N/A</v>
      </c>
    </row>
    <row r="258" spans="1:16" hidden="1" x14ac:dyDescent="0.3">
      <c r="A258">
        <v>257</v>
      </c>
      <c r="B258" t="s">
        <v>16</v>
      </c>
      <c r="C258" t="s">
        <v>802</v>
      </c>
      <c r="D258" t="s">
        <v>180</v>
      </c>
      <c r="E258" t="s">
        <v>803</v>
      </c>
      <c r="F258" t="s">
        <v>71</v>
      </c>
      <c r="G258" t="s">
        <v>38</v>
      </c>
      <c r="H258" s="2">
        <v>933071549617</v>
      </c>
      <c r="I258" t="s">
        <v>21</v>
      </c>
      <c r="J258" t="s">
        <v>21</v>
      </c>
      <c r="K258" t="s">
        <v>21</v>
      </c>
      <c r="L258" t="e">
        <f>VLOOKUP(H:H,'[1]VEPL-DEC-24'!$D:$AS,42,0)</f>
        <v>#N/A</v>
      </c>
      <c r="M258" t="e">
        <f>VLOOKUP(H:H,'[1]VEPL-DEC-24'!$D:$AT,43,0)</f>
        <v>#N/A</v>
      </c>
      <c r="N258" t="s">
        <v>21</v>
      </c>
      <c r="P258" t="e">
        <f>VLOOKUP(H:H,'[1]VEPL-DEC-24'!$D:$H,5,0)</f>
        <v>#N/A</v>
      </c>
    </row>
    <row r="259" spans="1:16" hidden="1" x14ac:dyDescent="0.3">
      <c r="A259">
        <v>258</v>
      </c>
      <c r="B259" t="s">
        <v>16</v>
      </c>
      <c r="C259" t="s">
        <v>804</v>
      </c>
      <c r="D259" t="s">
        <v>805</v>
      </c>
      <c r="E259" t="s">
        <v>806</v>
      </c>
      <c r="F259" t="s">
        <v>37</v>
      </c>
      <c r="G259" t="s">
        <v>38</v>
      </c>
      <c r="H259" s="2">
        <v>589289732911</v>
      </c>
      <c r="I259" t="s">
        <v>21</v>
      </c>
      <c r="J259" t="s">
        <v>21</v>
      </c>
      <c r="K259" t="s">
        <v>21</v>
      </c>
      <c r="L259" t="e">
        <f>VLOOKUP(H:H,'[1]VEPL-DEC-24'!$D:$AS,42,0)</f>
        <v>#N/A</v>
      </c>
      <c r="M259" t="e">
        <f>VLOOKUP(H:H,'[1]VEPL-DEC-24'!$D:$AT,43,0)</f>
        <v>#N/A</v>
      </c>
      <c r="N259" t="s">
        <v>21</v>
      </c>
      <c r="P259" t="e">
        <f>VLOOKUP(H:H,'[1]VEPL-DEC-24'!$D:$H,5,0)</f>
        <v>#N/A</v>
      </c>
    </row>
    <row r="260" spans="1:16" hidden="1" x14ac:dyDescent="0.3">
      <c r="A260">
        <v>259</v>
      </c>
      <c r="B260" t="s">
        <v>16</v>
      </c>
      <c r="C260" t="s">
        <v>807</v>
      </c>
      <c r="D260" t="s">
        <v>808</v>
      </c>
      <c r="E260" t="s">
        <v>809</v>
      </c>
      <c r="F260" t="s">
        <v>83</v>
      </c>
      <c r="G260" t="s">
        <v>38</v>
      </c>
      <c r="H260" s="2">
        <v>426885287868</v>
      </c>
      <c r="I260" t="s">
        <v>21</v>
      </c>
      <c r="J260" t="s">
        <v>21</v>
      </c>
      <c r="K260" t="s">
        <v>21</v>
      </c>
      <c r="L260" t="e">
        <f>VLOOKUP(H:H,'[1]VEPL-DEC-24'!$D:$AS,42,0)</f>
        <v>#N/A</v>
      </c>
      <c r="M260" t="e">
        <f>VLOOKUP(H:H,'[1]VEPL-DEC-24'!$D:$AT,43,0)</f>
        <v>#N/A</v>
      </c>
      <c r="N260" t="s">
        <v>21</v>
      </c>
      <c r="P260" t="e">
        <f>VLOOKUP(H:H,'[1]VEPL-DEC-24'!$D:$H,5,0)</f>
        <v>#N/A</v>
      </c>
    </row>
    <row r="261" spans="1:16" x14ac:dyDescent="0.3">
      <c r="A261">
        <v>260</v>
      </c>
      <c r="B261" t="s">
        <v>16</v>
      </c>
      <c r="C261" t="s">
        <v>810</v>
      </c>
      <c r="D261" t="s">
        <v>811</v>
      </c>
      <c r="E261" t="s">
        <v>812</v>
      </c>
      <c r="F261" t="s">
        <v>83</v>
      </c>
      <c r="G261" t="s">
        <v>38</v>
      </c>
      <c r="H261" s="2">
        <v>630716203331</v>
      </c>
      <c r="I261" t="s">
        <v>21</v>
      </c>
      <c r="J261" t="s">
        <v>21</v>
      </c>
      <c r="K261" t="s">
        <v>21</v>
      </c>
      <c r="L261" t="str">
        <f>VLOOKUP(H:H,'[1]VEPL-DEC-24'!$D:$AS,42,0)</f>
        <v>P</v>
      </c>
      <c r="M261">
        <f>VLOOKUP(H:H,'[1]VEPL-DEC-24'!$D:$AT,43,0)</f>
        <v>11</v>
      </c>
      <c r="N261" t="s">
        <v>21</v>
      </c>
      <c r="P261">
        <f>VLOOKUP(H:H,'[1]VEPL-DEC-24'!$D:$H,5,0)</f>
        <v>10006</v>
      </c>
    </row>
    <row r="262" spans="1:16" hidden="1" x14ac:dyDescent="0.3">
      <c r="A262">
        <v>261</v>
      </c>
      <c r="B262" t="s">
        <v>16</v>
      </c>
      <c r="C262" t="s">
        <v>813</v>
      </c>
      <c r="D262" t="s">
        <v>814</v>
      </c>
      <c r="E262" t="s">
        <v>815</v>
      </c>
      <c r="F262" t="s">
        <v>71</v>
      </c>
      <c r="G262" t="s">
        <v>38</v>
      </c>
      <c r="H262" s="2">
        <v>715319854484</v>
      </c>
      <c r="I262" t="s">
        <v>21</v>
      </c>
      <c r="J262" t="s">
        <v>21</v>
      </c>
      <c r="K262" t="s">
        <v>21</v>
      </c>
      <c r="L262" t="e">
        <f>VLOOKUP(H:H,'[1]VEPL-DEC-24'!$D:$AS,42,0)</f>
        <v>#N/A</v>
      </c>
      <c r="M262" t="e">
        <f>VLOOKUP(H:H,'[1]VEPL-DEC-24'!$D:$AT,43,0)</f>
        <v>#N/A</v>
      </c>
      <c r="N262" t="s">
        <v>21</v>
      </c>
      <c r="P262" t="e">
        <f>VLOOKUP(H:H,'[1]VEPL-DEC-24'!$D:$H,5,0)</f>
        <v>#N/A</v>
      </c>
    </row>
    <row r="263" spans="1:16" x14ac:dyDescent="0.3">
      <c r="A263">
        <v>262</v>
      </c>
      <c r="B263" t="s">
        <v>16</v>
      </c>
      <c r="C263" t="s">
        <v>816</v>
      </c>
      <c r="D263" t="s">
        <v>817</v>
      </c>
      <c r="E263" t="s">
        <v>818</v>
      </c>
      <c r="F263" t="s">
        <v>137</v>
      </c>
      <c r="G263" t="s">
        <v>38</v>
      </c>
      <c r="H263" s="2">
        <v>723201315538</v>
      </c>
      <c r="I263" t="s">
        <v>21</v>
      </c>
      <c r="J263" t="s">
        <v>21</v>
      </c>
      <c r="K263" t="s">
        <v>21</v>
      </c>
      <c r="L263" t="str">
        <f>VLOOKUP(H:H,'[1]VEPL-DEC-24'!$D:$AS,42,0)</f>
        <v>P</v>
      </c>
      <c r="M263">
        <f>VLOOKUP(H:H,'[1]VEPL-DEC-24'!$D:$AT,43,0)</f>
        <v>0</v>
      </c>
      <c r="N263" t="s">
        <v>21</v>
      </c>
      <c r="P263">
        <f>VLOOKUP(H:H,'[1]VEPL-DEC-24'!$D:$H,5,0)</f>
        <v>10002</v>
      </c>
    </row>
    <row r="264" spans="1:16" hidden="1" x14ac:dyDescent="0.3">
      <c r="A264">
        <v>263</v>
      </c>
      <c r="B264" t="s">
        <v>16</v>
      </c>
      <c r="C264" t="s">
        <v>819</v>
      </c>
      <c r="D264" t="s">
        <v>820</v>
      </c>
      <c r="E264" t="s">
        <v>472</v>
      </c>
      <c r="F264" t="s">
        <v>821</v>
      </c>
      <c r="G264" t="s">
        <v>38</v>
      </c>
      <c r="H264" s="2">
        <v>760902743070</v>
      </c>
      <c r="I264" t="s">
        <v>21</v>
      </c>
      <c r="J264" t="s">
        <v>21</v>
      </c>
      <c r="K264" t="s">
        <v>21</v>
      </c>
      <c r="L264" t="e">
        <f>VLOOKUP(H:H,'[1]VEPL-DEC-24'!$D:$AS,42,0)</f>
        <v>#N/A</v>
      </c>
      <c r="M264" t="e">
        <f>VLOOKUP(H:H,'[1]VEPL-DEC-24'!$D:$AT,43,0)</f>
        <v>#N/A</v>
      </c>
      <c r="N264" t="s">
        <v>21</v>
      </c>
      <c r="P264" t="e">
        <f>VLOOKUP(H:H,'[1]VEPL-DEC-24'!$D:$H,5,0)</f>
        <v>#N/A</v>
      </c>
    </row>
    <row r="265" spans="1:16" x14ac:dyDescent="0.3">
      <c r="A265">
        <v>264</v>
      </c>
      <c r="B265" t="s">
        <v>16</v>
      </c>
      <c r="C265" t="s">
        <v>822</v>
      </c>
      <c r="D265" t="s">
        <v>823</v>
      </c>
      <c r="E265" t="s">
        <v>824</v>
      </c>
      <c r="F265" t="s">
        <v>156</v>
      </c>
      <c r="G265" t="s">
        <v>38</v>
      </c>
      <c r="H265" s="2">
        <v>284429556959</v>
      </c>
      <c r="I265" t="s">
        <v>21</v>
      </c>
      <c r="J265" t="s">
        <v>21</v>
      </c>
      <c r="K265" t="s">
        <v>21</v>
      </c>
      <c r="L265" t="str">
        <f>VLOOKUP(H:H,'[1]VEPL-DEC-24'!$D:$AS,42,0)</f>
        <v>P</v>
      </c>
      <c r="M265">
        <f>VLOOKUP(H:H,'[1]VEPL-DEC-24'!$D:$AT,43,0)</f>
        <v>0</v>
      </c>
      <c r="N265" t="s">
        <v>21</v>
      </c>
      <c r="P265">
        <f>VLOOKUP(H:H,'[1]VEPL-DEC-24'!$D:$H,5,0)</f>
        <v>10003</v>
      </c>
    </row>
    <row r="266" spans="1:16" hidden="1" x14ac:dyDescent="0.3">
      <c r="A266">
        <v>265</v>
      </c>
      <c r="B266" t="s">
        <v>16</v>
      </c>
      <c r="C266" t="s">
        <v>825</v>
      </c>
      <c r="D266" t="s">
        <v>826</v>
      </c>
      <c r="E266" t="s">
        <v>827</v>
      </c>
      <c r="F266" t="s">
        <v>19</v>
      </c>
      <c r="G266" t="s">
        <v>38</v>
      </c>
      <c r="H266" s="2">
        <v>834223448375</v>
      </c>
      <c r="I266" t="s">
        <v>21</v>
      </c>
      <c r="J266" t="s">
        <v>21</v>
      </c>
      <c r="K266" t="s">
        <v>21</v>
      </c>
      <c r="L266" t="e">
        <f>VLOOKUP(H:H,'[1]VEPL-DEC-24'!$D:$AS,42,0)</f>
        <v>#N/A</v>
      </c>
      <c r="M266" t="e">
        <f>VLOOKUP(H:H,'[1]VEPL-DEC-24'!$D:$AT,43,0)</f>
        <v>#N/A</v>
      </c>
      <c r="N266" t="s">
        <v>21</v>
      </c>
      <c r="P266" t="e">
        <f>VLOOKUP(H:H,'[1]VEPL-DEC-24'!$D:$H,5,0)</f>
        <v>#N/A</v>
      </c>
    </row>
    <row r="267" spans="1:16" x14ac:dyDescent="0.3">
      <c r="A267">
        <v>266</v>
      </c>
      <c r="B267" t="s">
        <v>16</v>
      </c>
      <c r="C267" t="s">
        <v>828</v>
      </c>
      <c r="D267" t="s">
        <v>829</v>
      </c>
      <c r="E267" t="s">
        <v>830</v>
      </c>
      <c r="F267" t="s">
        <v>37</v>
      </c>
      <c r="G267" t="s">
        <v>38</v>
      </c>
      <c r="H267" s="2">
        <v>517518689676</v>
      </c>
      <c r="I267" t="s">
        <v>21</v>
      </c>
      <c r="J267" t="s">
        <v>21</v>
      </c>
      <c r="K267" t="s">
        <v>21</v>
      </c>
      <c r="L267" t="str">
        <f>VLOOKUP(H:H,'[1]VEPL-DEC-24'!$D:$AS,42,0)</f>
        <v>P</v>
      </c>
      <c r="M267">
        <f>VLOOKUP(H:H,'[1]VEPL-DEC-24'!$D:$AT,43,0)</f>
        <v>0</v>
      </c>
      <c r="N267" t="s">
        <v>21</v>
      </c>
      <c r="P267">
        <f>VLOOKUP(H:H,'[1]VEPL-DEC-24'!$D:$H,5,0)</f>
        <v>10003</v>
      </c>
    </row>
    <row r="268" spans="1:16" x14ac:dyDescent="0.3">
      <c r="A268">
        <v>267</v>
      </c>
      <c r="B268" t="s">
        <v>16</v>
      </c>
      <c r="C268" t="s">
        <v>831</v>
      </c>
      <c r="D268" t="s">
        <v>832</v>
      </c>
      <c r="E268" t="s">
        <v>833</v>
      </c>
      <c r="F268" t="s">
        <v>83</v>
      </c>
      <c r="G268" t="s">
        <v>38</v>
      </c>
      <c r="H268" s="2">
        <v>993714623050</v>
      </c>
      <c r="I268" t="s">
        <v>21</v>
      </c>
      <c r="J268" t="s">
        <v>21</v>
      </c>
      <c r="K268" t="s">
        <v>21</v>
      </c>
      <c r="L268" t="str">
        <f>VLOOKUP(H:H,'[1]VEPL-DEC-24'!$D:$AS,42,0)</f>
        <v>P</v>
      </c>
      <c r="M268">
        <f>VLOOKUP(H:H,'[1]VEPL-DEC-24'!$D:$AT,43,0)</f>
        <v>0</v>
      </c>
      <c r="N268" t="s">
        <v>21</v>
      </c>
      <c r="P268">
        <f>VLOOKUP(H:H,'[1]VEPL-DEC-24'!$D:$H,5,0)</f>
        <v>10002</v>
      </c>
    </row>
    <row r="269" spans="1:16" hidden="1" x14ac:dyDescent="0.3">
      <c r="A269">
        <v>268</v>
      </c>
      <c r="B269" t="s">
        <v>16</v>
      </c>
      <c r="C269" t="s">
        <v>834</v>
      </c>
      <c r="D269" t="s">
        <v>835</v>
      </c>
      <c r="E269" t="s">
        <v>836</v>
      </c>
      <c r="F269" t="s">
        <v>37</v>
      </c>
      <c r="G269" t="s">
        <v>38</v>
      </c>
      <c r="H269" s="2">
        <v>559335635105</v>
      </c>
      <c r="I269" t="s">
        <v>21</v>
      </c>
      <c r="J269" t="s">
        <v>21</v>
      </c>
      <c r="K269" t="s">
        <v>21</v>
      </c>
      <c r="L269" t="e">
        <f>VLOOKUP(H:H,'[1]VEPL-DEC-24'!$D:$AS,42,0)</f>
        <v>#N/A</v>
      </c>
      <c r="M269" t="e">
        <f>VLOOKUP(H:H,'[1]VEPL-DEC-24'!$D:$AT,43,0)</f>
        <v>#N/A</v>
      </c>
      <c r="N269" t="s">
        <v>21</v>
      </c>
      <c r="P269" t="e">
        <f>VLOOKUP(H:H,'[1]VEPL-DEC-24'!$D:$H,5,0)</f>
        <v>#N/A</v>
      </c>
    </row>
    <row r="270" spans="1:16" x14ac:dyDescent="0.3">
      <c r="A270">
        <v>269</v>
      </c>
      <c r="B270" t="s">
        <v>16</v>
      </c>
      <c r="C270" t="s">
        <v>837</v>
      </c>
      <c r="D270" t="s">
        <v>221</v>
      </c>
      <c r="E270" t="s">
        <v>838</v>
      </c>
      <c r="F270" t="s">
        <v>503</v>
      </c>
      <c r="G270" t="s">
        <v>20</v>
      </c>
      <c r="H270" s="2">
        <v>847670112857</v>
      </c>
      <c r="I270" t="s">
        <v>21</v>
      </c>
      <c r="J270" t="s">
        <v>21</v>
      </c>
      <c r="K270" t="s">
        <v>21</v>
      </c>
      <c r="L270" t="str">
        <f>VLOOKUP(H:H,'[1]VEPL-DEC-24'!$D:$AS,42,0)</f>
        <v>P</v>
      </c>
      <c r="M270">
        <f>VLOOKUP(H:H,'[1]VEPL-DEC-24'!$D:$AT,43,0)</f>
        <v>0</v>
      </c>
      <c r="N270" t="s">
        <v>21</v>
      </c>
      <c r="P270">
        <f>VLOOKUP(H:H,'[1]VEPL-DEC-24'!$D:$H,5,0)</f>
        <v>10003</v>
      </c>
    </row>
    <row r="271" spans="1:16" x14ac:dyDescent="0.3">
      <c r="A271">
        <v>270</v>
      </c>
      <c r="B271" t="s">
        <v>16</v>
      </c>
      <c r="C271" t="s">
        <v>839</v>
      </c>
      <c r="D271" t="s">
        <v>840</v>
      </c>
      <c r="E271" t="s">
        <v>841</v>
      </c>
      <c r="F271" t="s">
        <v>64</v>
      </c>
      <c r="G271" t="s">
        <v>20</v>
      </c>
      <c r="H271" s="2">
        <v>300811552517</v>
      </c>
      <c r="I271" t="s">
        <v>21</v>
      </c>
      <c r="J271" t="s">
        <v>21</v>
      </c>
      <c r="K271" t="s">
        <v>21</v>
      </c>
      <c r="L271" t="str">
        <f>VLOOKUP(H:H,'[1]VEPL-DEC-24'!$D:$AS,42,0)</f>
        <v>P</v>
      </c>
      <c r="M271" t="str">
        <f>VLOOKUP(H:H,'[1]VEPL-DEC-24'!$D:$AT,43,0)</f>
        <v>FN</v>
      </c>
      <c r="N271" t="s">
        <v>21</v>
      </c>
      <c r="P271">
        <f>VLOOKUP(H:H,'[1]VEPL-DEC-24'!$D:$H,5,0)</f>
        <v>10009</v>
      </c>
    </row>
    <row r="272" spans="1:16" x14ac:dyDescent="0.3">
      <c r="A272">
        <v>271</v>
      </c>
      <c r="B272" t="s">
        <v>16</v>
      </c>
      <c r="C272" t="s">
        <v>842</v>
      </c>
      <c r="D272" t="s">
        <v>843</v>
      </c>
      <c r="E272" t="s">
        <v>844</v>
      </c>
      <c r="F272" t="s">
        <v>56</v>
      </c>
      <c r="G272" t="s">
        <v>20</v>
      </c>
      <c r="H272" s="2">
        <v>411837463322</v>
      </c>
      <c r="I272" t="s">
        <v>21</v>
      </c>
      <c r="J272" t="s">
        <v>21</v>
      </c>
      <c r="K272" t="s">
        <v>21</v>
      </c>
      <c r="L272" t="str">
        <f>VLOOKUP(H:H,'[1]VEPL-DEC-24'!$D:$AS,42,0)</f>
        <v>P</v>
      </c>
      <c r="M272" t="str">
        <f>VLOOKUP(H:H,'[1]VEPL-DEC-24'!$D:$AT,43,0)</f>
        <v>FN</v>
      </c>
      <c r="N272" t="s">
        <v>21</v>
      </c>
      <c r="P272">
        <f>VLOOKUP(H:H,'[1]VEPL-DEC-24'!$D:$H,5,0)</f>
        <v>10009</v>
      </c>
    </row>
    <row r="273" spans="1:16" hidden="1" x14ac:dyDescent="0.3">
      <c r="A273">
        <v>272</v>
      </c>
      <c r="B273" t="s">
        <v>16</v>
      </c>
      <c r="C273" t="s">
        <v>845</v>
      </c>
      <c r="D273" t="s">
        <v>846</v>
      </c>
      <c r="E273" t="s">
        <v>847</v>
      </c>
      <c r="F273" t="s">
        <v>42</v>
      </c>
      <c r="G273" t="s">
        <v>38</v>
      </c>
      <c r="H273" s="2">
        <v>253593056374</v>
      </c>
      <c r="I273" t="s">
        <v>21</v>
      </c>
      <c r="J273" t="s">
        <v>21</v>
      </c>
      <c r="K273" t="s">
        <v>21</v>
      </c>
      <c r="L273" t="e">
        <f>VLOOKUP(H:H,'[1]VEPL-DEC-24'!$D:$AS,42,0)</f>
        <v>#N/A</v>
      </c>
      <c r="M273" t="e">
        <f>VLOOKUP(H:H,'[1]VEPL-DEC-24'!$D:$AT,43,0)</f>
        <v>#N/A</v>
      </c>
      <c r="N273" t="s">
        <v>21</v>
      </c>
      <c r="P273" t="e">
        <f>VLOOKUP(H:H,'[1]VEPL-DEC-24'!$D:$H,5,0)</f>
        <v>#N/A</v>
      </c>
    </row>
    <row r="274" spans="1:16" hidden="1" x14ac:dyDescent="0.3">
      <c r="A274">
        <v>273</v>
      </c>
      <c r="B274" t="s">
        <v>16</v>
      </c>
      <c r="C274" t="s">
        <v>848</v>
      </c>
      <c r="D274" t="s">
        <v>849</v>
      </c>
      <c r="E274" t="s">
        <v>850</v>
      </c>
      <c r="F274" t="s">
        <v>37</v>
      </c>
      <c r="G274" t="s">
        <v>38</v>
      </c>
      <c r="H274" s="2">
        <v>798332172687</v>
      </c>
      <c r="I274" t="s">
        <v>21</v>
      </c>
      <c r="J274" t="s">
        <v>21</v>
      </c>
      <c r="K274" t="s">
        <v>21</v>
      </c>
      <c r="L274" t="str">
        <f>VLOOKUP(H:H,'[1]VEPL-DEC-24'!$D:$AS,42,0)</f>
        <v>A</v>
      </c>
      <c r="M274">
        <f>VLOOKUP(H:H,'[1]VEPL-DEC-24'!$D:$AT,43,0)</f>
        <v>0</v>
      </c>
      <c r="N274" t="s">
        <v>21</v>
      </c>
      <c r="P274">
        <f>VLOOKUP(H:H,'[1]VEPL-DEC-24'!$D:$H,5,0)</f>
        <v>10009</v>
      </c>
    </row>
    <row r="275" spans="1:16" hidden="1" x14ac:dyDescent="0.3">
      <c r="A275">
        <v>274</v>
      </c>
      <c r="B275" t="s">
        <v>16</v>
      </c>
      <c r="C275" t="s">
        <v>851</v>
      </c>
      <c r="D275" t="s">
        <v>852</v>
      </c>
      <c r="E275" t="s">
        <v>853</v>
      </c>
      <c r="F275" t="s">
        <v>37</v>
      </c>
      <c r="G275" t="s">
        <v>38</v>
      </c>
      <c r="H275" s="2">
        <v>542219240672</v>
      </c>
      <c r="I275" t="s">
        <v>21</v>
      </c>
      <c r="J275" t="s">
        <v>21</v>
      </c>
      <c r="K275" t="s">
        <v>21</v>
      </c>
      <c r="L275" t="str">
        <f>VLOOKUP(H:H,'[1]VEPL-DEC-24'!$D:$AS,42,0)</f>
        <v>o</v>
      </c>
      <c r="M275">
        <f>VLOOKUP(H:H,'[1]VEPL-DEC-24'!$D:$AT,43,0)</f>
        <v>0</v>
      </c>
      <c r="N275" t="s">
        <v>21</v>
      </c>
      <c r="P275">
        <f>VLOOKUP(H:H,'[1]VEPL-DEC-24'!$D:$H,5,0)</f>
        <v>10002</v>
      </c>
    </row>
    <row r="276" spans="1:16" x14ac:dyDescent="0.3">
      <c r="A276">
        <v>275</v>
      </c>
      <c r="B276" t="s">
        <v>16</v>
      </c>
      <c r="C276" t="s">
        <v>854</v>
      </c>
      <c r="D276" t="s">
        <v>855</v>
      </c>
      <c r="E276" t="s">
        <v>856</v>
      </c>
      <c r="F276" t="s">
        <v>37</v>
      </c>
      <c r="G276" t="s">
        <v>38</v>
      </c>
      <c r="H276" s="2">
        <v>262616351785</v>
      </c>
      <c r="I276" t="s">
        <v>21</v>
      </c>
      <c r="J276" t="s">
        <v>21</v>
      </c>
      <c r="K276" t="s">
        <v>21</v>
      </c>
      <c r="L276" t="str">
        <f>VLOOKUP(H:H,'[1]VEPL-DEC-24'!$D:$AS,42,0)</f>
        <v>P</v>
      </c>
      <c r="M276">
        <f>VLOOKUP(H:H,'[1]VEPL-DEC-24'!$D:$AT,43,0)</f>
        <v>0</v>
      </c>
      <c r="N276" t="s">
        <v>21</v>
      </c>
      <c r="P276">
        <f>VLOOKUP(H:H,'[1]VEPL-DEC-24'!$D:$H,5,0)</f>
        <v>10009</v>
      </c>
    </row>
    <row r="277" spans="1:16" hidden="1" x14ac:dyDescent="0.3">
      <c r="A277">
        <v>276</v>
      </c>
      <c r="B277" t="s">
        <v>16</v>
      </c>
      <c r="C277" t="s">
        <v>857</v>
      </c>
      <c r="D277" t="s">
        <v>858</v>
      </c>
      <c r="E277" t="s">
        <v>859</v>
      </c>
      <c r="F277" t="s">
        <v>60</v>
      </c>
      <c r="G277" t="s">
        <v>38</v>
      </c>
      <c r="H277" s="2">
        <v>665300715005</v>
      </c>
      <c r="I277" t="s">
        <v>21</v>
      </c>
      <c r="J277" t="s">
        <v>21</v>
      </c>
      <c r="K277" t="s">
        <v>21</v>
      </c>
      <c r="L277" t="e">
        <f>VLOOKUP(H:H,'[1]VEPL-DEC-24'!$D:$AS,42,0)</f>
        <v>#N/A</v>
      </c>
      <c r="M277" t="e">
        <f>VLOOKUP(H:H,'[1]VEPL-DEC-24'!$D:$AT,43,0)</f>
        <v>#N/A</v>
      </c>
      <c r="N277" t="s">
        <v>21</v>
      </c>
      <c r="P277" t="e">
        <f>VLOOKUP(H:H,'[1]VEPL-DEC-24'!$D:$H,5,0)</f>
        <v>#N/A</v>
      </c>
    </row>
    <row r="278" spans="1:16" x14ac:dyDescent="0.3">
      <c r="A278">
        <v>277</v>
      </c>
      <c r="B278" t="s">
        <v>16</v>
      </c>
      <c r="C278" t="s">
        <v>860</v>
      </c>
      <c r="D278" t="s">
        <v>861</v>
      </c>
      <c r="E278" t="s">
        <v>862</v>
      </c>
      <c r="F278" t="s">
        <v>83</v>
      </c>
      <c r="G278" t="s">
        <v>38</v>
      </c>
      <c r="H278" s="2">
        <v>815057797020</v>
      </c>
      <c r="I278" t="s">
        <v>21</v>
      </c>
      <c r="J278" t="s">
        <v>21</v>
      </c>
      <c r="K278" t="s">
        <v>21</v>
      </c>
      <c r="L278" t="str">
        <f>VLOOKUP(H:H,'[1]VEPL-DEC-24'!$D:$AS,42,0)</f>
        <v>P</v>
      </c>
      <c r="M278">
        <f>VLOOKUP(H:H,'[1]VEPL-DEC-24'!$D:$AT,43,0)</f>
        <v>0</v>
      </c>
      <c r="N278" t="s">
        <v>21</v>
      </c>
      <c r="P278">
        <f>VLOOKUP(H:H,'[1]VEPL-DEC-24'!$D:$H,5,0)</f>
        <v>10009</v>
      </c>
    </row>
    <row r="279" spans="1:16" hidden="1" x14ac:dyDescent="0.3">
      <c r="A279">
        <v>278</v>
      </c>
      <c r="B279" t="s">
        <v>16</v>
      </c>
      <c r="C279" t="s">
        <v>863</v>
      </c>
      <c r="D279" t="s">
        <v>864</v>
      </c>
      <c r="E279" t="s">
        <v>865</v>
      </c>
      <c r="F279" t="s">
        <v>83</v>
      </c>
      <c r="G279" t="s">
        <v>38</v>
      </c>
      <c r="H279" s="2">
        <v>310970476966</v>
      </c>
      <c r="I279" t="s">
        <v>21</v>
      </c>
      <c r="J279" t="s">
        <v>21</v>
      </c>
      <c r="K279" t="s">
        <v>21</v>
      </c>
      <c r="L279" t="str">
        <f>VLOOKUP(H:H,'[1]VEPL-DEC-24'!$D:$AS,42,0)</f>
        <v>A</v>
      </c>
      <c r="M279">
        <f>VLOOKUP(H:H,'[1]VEPL-DEC-24'!$D:$AT,43,0)</f>
        <v>0</v>
      </c>
      <c r="N279" t="s">
        <v>21</v>
      </c>
      <c r="P279">
        <f>VLOOKUP(H:H,'[1]VEPL-DEC-24'!$D:$H,5,0)</f>
        <v>10008</v>
      </c>
    </row>
    <row r="280" spans="1:16" hidden="1" x14ac:dyDescent="0.3">
      <c r="A280">
        <v>279</v>
      </c>
      <c r="B280" t="s">
        <v>16</v>
      </c>
      <c r="C280" t="s">
        <v>866</v>
      </c>
      <c r="D280" t="s">
        <v>867</v>
      </c>
      <c r="E280" t="s">
        <v>868</v>
      </c>
      <c r="F280" t="s">
        <v>71</v>
      </c>
      <c r="G280" t="s">
        <v>38</v>
      </c>
      <c r="H280" s="2">
        <v>978653744566</v>
      </c>
      <c r="I280" t="s">
        <v>21</v>
      </c>
      <c r="J280" t="s">
        <v>21</v>
      </c>
      <c r="K280" t="s">
        <v>21</v>
      </c>
      <c r="L280" t="e">
        <f>VLOOKUP(H:H,'[1]VEPL-DEC-24'!$D:$AS,42,0)</f>
        <v>#N/A</v>
      </c>
      <c r="M280" t="e">
        <f>VLOOKUP(H:H,'[1]VEPL-DEC-24'!$D:$AT,43,0)</f>
        <v>#N/A</v>
      </c>
      <c r="N280" t="s">
        <v>21</v>
      </c>
      <c r="P280" t="e">
        <f>VLOOKUP(H:H,'[1]VEPL-DEC-24'!$D:$H,5,0)</f>
        <v>#N/A</v>
      </c>
    </row>
    <row r="281" spans="1:16" x14ac:dyDescent="0.3">
      <c r="A281">
        <v>280</v>
      </c>
      <c r="B281" t="s">
        <v>16</v>
      </c>
      <c r="C281" t="s">
        <v>869</v>
      </c>
      <c r="D281" t="s">
        <v>870</v>
      </c>
      <c r="E281" t="s">
        <v>871</v>
      </c>
      <c r="F281" t="s">
        <v>449</v>
      </c>
      <c r="G281" t="s">
        <v>38</v>
      </c>
      <c r="H281" s="2">
        <v>965752412742</v>
      </c>
      <c r="I281" t="s">
        <v>21</v>
      </c>
      <c r="J281" t="s">
        <v>21</v>
      </c>
      <c r="K281" t="s">
        <v>21</v>
      </c>
      <c r="L281" t="str">
        <f>VLOOKUP(H:H,'[1]VEPL-DEC-24'!$D:$AS,42,0)</f>
        <v>P</v>
      </c>
      <c r="M281">
        <f>VLOOKUP(H:H,'[1]VEPL-DEC-24'!$D:$AT,43,0)</f>
        <v>0</v>
      </c>
      <c r="N281" t="s">
        <v>21</v>
      </c>
      <c r="P281">
        <f>VLOOKUP(H:H,'[1]VEPL-DEC-24'!$D:$H,5,0)</f>
        <v>10008</v>
      </c>
    </row>
    <row r="282" spans="1:16" x14ac:dyDescent="0.3">
      <c r="A282">
        <v>281</v>
      </c>
      <c r="B282" t="s">
        <v>16</v>
      </c>
      <c r="C282" t="s">
        <v>872</v>
      </c>
      <c r="D282" t="s">
        <v>873</v>
      </c>
      <c r="E282" t="s">
        <v>874</v>
      </c>
      <c r="F282" t="s">
        <v>449</v>
      </c>
      <c r="G282" t="s">
        <v>38</v>
      </c>
      <c r="H282" s="2">
        <v>539354421843</v>
      </c>
      <c r="I282" t="s">
        <v>21</v>
      </c>
      <c r="J282" t="s">
        <v>21</v>
      </c>
      <c r="K282" t="s">
        <v>21</v>
      </c>
      <c r="L282" t="str">
        <f>VLOOKUP(H:H,'[1]VEPL-DEC-24'!$D:$AS,42,0)</f>
        <v>P</v>
      </c>
      <c r="M282">
        <f>VLOOKUP(H:H,'[1]VEPL-DEC-24'!$D:$AT,43,0)</f>
        <v>0</v>
      </c>
      <c r="N282" t="s">
        <v>21</v>
      </c>
      <c r="P282">
        <f>VLOOKUP(H:H,'[1]VEPL-DEC-24'!$D:$H,5,0)</f>
        <v>10008</v>
      </c>
    </row>
    <row r="283" spans="1:16" x14ac:dyDescent="0.3">
      <c r="A283">
        <v>282</v>
      </c>
      <c r="B283" t="s">
        <v>16</v>
      </c>
      <c r="C283" t="s">
        <v>875</v>
      </c>
      <c r="D283" t="s">
        <v>876</v>
      </c>
      <c r="E283" t="s">
        <v>877</v>
      </c>
      <c r="F283" t="s">
        <v>52</v>
      </c>
      <c r="G283" t="s">
        <v>38</v>
      </c>
      <c r="H283" s="2">
        <v>326608512131</v>
      </c>
      <c r="I283" t="s">
        <v>21</v>
      </c>
      <c r="J283" t="s">
        <v>21</v>
      </c>
      <c r="K283" t="s">
        <v>21</v>
      </c>
      <c r="L283" t="str">
        <f>VLOOKUP(H:H,'[1]VEPL-DEC-24'!$D:$AS,42,0)</f>
        <v>P</v>
      </c>
      <c r="M283">
        <f>VLOOKUP(H:H,'[1]VEPL-DEC-24'!$D:$AT,43,0)</f>
        <v>0</v>
      </c>
      <c r="N283" t="s">
        <v>21</v>
      </c>
      <c r="P283">
        <f>VLOOKUP(H:H,'[1]VEPL-DEC-24'!$D:$H,5,0)</f>
        <v>10008</v>
      </c>
    </row>
    <row r="284" spans="1:16" x14ac:dyDescent="0.3">
      <c r="A284">
        <v>283</v>
      </c>
      <c r="B284" t="s">
        <v>16</v>
      </c>
      <c r="C284" t="s">
        <v>878</v>
      </c>
      <c r="D284" t="s">
        <v>879</v>
      </c>
      <c r="E284" t="s">
        <v>880</v>
      </c>
      <c r="F284" t="s">
        <v>449</v>
      </c>
      <c r="G284" t="s">
        <v>38</v>
      </c>
      <c r="H284" s="2">
        <v>843365275421</v>
      </c>
      <c r="I284" t="s">
        <v>21</v>
      </c>
      <c r="J284" t="s">
        <v>21</v>
      </c>
      <c r="K284" t="s">
        <v>21</v>
      </c>
      <c r="L284" t="str">
        <f>VLOOKUP(H:H,'[1]VEPL-DEC-24'!$D:$AS,42,0)</f>
        <v>P</v>
      </c>
      <c r="M284">
        <f>VLOOKUP(H:H,'[1]VEPL-DEC-24'!$D:$AT,43,0)</f>
        <v>0</v>
      </c>
      <c r="N284" t="s">
        <v>21</v>
      </c>
      <c r="P284">
        <f>VLOOKUP(H:H,'[1]VEPL-DEC-24'!$D:$H,5,0)</f>
        <v>10009</v>
      </c>
    </row>
    <row r="285" spans="1:16" hidden="1" x14ac:dyDescent="0.3">
      <c r="A285">
        <v>284</v>
      </c>
      <c r="B285" t="s">
        <v>16</v>
      </c>
      <c r="C285" t="s">
        <v>881</v>
      </c>
      <c r="D285" t="s">
        <v>688</v>
      </c>
      <c r="E285" t="s">
        <v>882</v>
      </c>
      <c r="F285" t="s">
        <v>60</v>
      </c>
      <c r="G285" t="s">
        <v>38</v>
      </c>
      <c r="H285" s="2">
        <v>792984635518</v>
      </c>
      <c r="I285" t="s">
        <v>21</v>
      </c>
      <c r="J285" t="s">
        <v>21</v>
      </c>
      <c r="K285" t="s">
        <v>21</v>
      </c>
      <c r="L285" t="e">
        <f>VLOOKUP(H:H,'[1]VEPL-DEC-24'!$D:$AS,42,0)</f>
        <v>#N/A</v>
      </c>
      <c r="M285" t="e">
        <f>VLOOKUP(H:H,'[1]VEPL-DEC-24'!$D:$AT,43,0)</f>
        <v>#N/A</v>
      </c>
      <c r="N285" t="s">
        <v>21</v>
      </c>
      <c r="P285" t="e">
        <f>VLOOKUP(H:H,'[1]VEPL-DEC-24'!$D:$H,5,0)</f>
        <v>#N/A</v>
      </c>
    </row>
    <row r="286" spans="1:16" hidden="1" x14ac:dyDescent="0.3">
      <c r="A286">
        <v>285</v>
      </c>
      <c r="B286" t="s">
        <v>16</v>
      </c>
      <c r="C286" t="s">
        <v>883</v>
      </c>
      <c r="D286" t="s">
        <v>884</v>
      </c>
      <c r="E286" t="s">
        <v>885</v>
      </c>
      <c r="F286" t="s">
        <v>380</v>
      </c>
      <c r="G286" t="s">
        <v>38</v>
      </c>
      <c r="H286" s="2">
        <v>867805044094</v>
      </c>
      <c r="I286" t="s">
        <v>21</v>
      </c>
      <c r="J286" t="s">
        <v>21</v>
      </c>
      <c r="K286" t="s">
        <v>21</v>
      </c>
      <c r="L286" t="str">
        <f>VLOOKUP(H:H,'[1]VEPL-DEC-24'!$D:$AS,42,0)</f>
        <v>A</v>
      </c>
      <c r="M286">
        <f>VLOOKUP(H:H,'[1]VEPL-DEC-24'!$D:$AT,43,0)</f>
        <v>0</v>
      </c>
      <c r="N286" t="s">
        <v>21</v>
      </c>
      <c r="P286">
        <f>VLOOKUP(H:H,'[1]VEPL-DEC-24'!$D:$H,5,0)</f>
        <v>10003</v>
      </c>
    </row>
    <row r="287" spans="1:16" hidden="1" x14ac:dyDescent="0.3">
      <c r="A287">
        <v>286</v>
      </c>
      <c r="B287" t="s">
        <v>16</v>
      </c>
      <c r="C287" t="s">
        <v>886</v>
      </c>
      <c r="D287" t="s">
        <v>779</v>
      </c>
      <c r="E287" t="s">
        <v>887</v>
      </c>
      <c r="F287" t="s">
        <v>37</v>
      </c>
      <c r="G287" t="s">
        <v>38</v>
      </c>
      <c r="H287" s="2">
        <v>727058017885</v>
      </c>
      <c r="I287" t="s">
        <v>21</v>
      </c>
      <c r="J287" t="s">
        <v>21</v>
      </c>
      <c r="K287" t="s">
        <v>21</v>
      </c>
      <c r="L287" t="e">
        <f>VLOOKUP(H:H,'[1]VEPL-DEC-24'!$D:$AS,42,0)</f>
        <v>#N/A</v>
      </c>
      <c r="M287" t="e">
        <f>VLOOKUP(H:H,'[1]VEPL-DEC-24'!$D:$AT,43,0)</f>
        <v>#N/A</v>
      </c>
      <c r="N287" t="s">
        <v>21</v>
      </c>
      <c r="P287" t="e">
        <f>VLOOKUP(H:H,'[1]VEPL-DEC-24'!$D:$H,5,0)</f>
        <v>#N/A</v>
      </c>
    </row>
    <row r="288" spans="1:16" x14ac:dyDescent="0.3">
      <c r="A288">
        <v>287</v>
      </c>
      <c r="B288" t="s">
        <v>16</v>
      </c>
      <c r="C288" t="s">
        <v>888</v>
      </c>
      <c r="D288" t="s">
        <v>889</v>
      </c>
      <c r="E288" t="s">
        <v>890</v>
      </c>
      <c r="F288" t="s">
        <v>37</v>
      </c>
      <c r="G288" t="s">
        <v>38</v>
      </c>
      <c r="H288" s="2">
        <v>324173470815</v>
      </c>
      <c r="I288" t="s">
        <v>21</v>
      </c>
      <c r="J288" t="s">
        <v>21</v>
      </c>
      <c r="K288" t="s">
        <v>21</v>
      </c>
      <c r="L288" t="str">
        <f>VLOOKUP(H:H,'[1]VEPL-DEC-24'!$D:$AS,42,0)</f>
        <v>P</v>
      </c>
      <c r="M288">
        <f>VLOOKUP(H:H,'[1]VEPL-DEC-24'!$D:$AT,43,0)</f>
        <v>11</v>
      </c>
      <c r="N288" t="s">
        <v>21</v>
      </c>
      <c r="P288">
        <f>VLOOKUP(H:H,'[1]VEPL-DEC-24'!$D:$H,5,0)</f>
        <v>10009</v>
      </c>
    </row>
    <row r="289" spans="1:16" x14ac:dyDescent="0.3">
      <c r="A289">
        <v>288</v>
      </c>
      <c r="B289" t="s">
        <v>16</v>
      </c>
      <c r="C289" t="s">
        <v>891</v>
      </c>
      <c r="D289" t="s">
        <v>892</v>
      </c>
      <c r="E289" t="s">
        <v>893</v>
      </c>
      <c r="F289" t="s">
        <v>60</v>
      </c>
      <c r="G289" t="s">
        <v>38</v>
      </c>
      <c r="H289" s="2">
        <v>842175512979</v>
      </c>
      <c r="I289" t="s">
        <v>21</v>
      </c>
      <c r="J289" t="s">
        <v>21</v>
      </c>
      <c r="K289" t="s">
        <v>21</v>
      </c>
      <c r="L289" t="str">
        <f>VLOOKUP(H:H,'[1]VEPL-DEC-24'!$D:$AS,42,0)</f>
        <v>P</v>
      </c>
      <c r="M289">
        <f>VLOOKUP(H:H,'[1]VEPL-DEC-24'!$D:$AT,43,0)</f>
        <v>0</v>
      </c>
      <c r="N289" t="s">
        <v>21</v>
      </c>
      <c r="P289">
        <f>VLOOKUP(H:H,'[1]VEPL-DEC-24'!$D:$H,5,0)</f>
        <v>10002</v>
      </c>
    </row>
    <row r="290" spans="1:16" hidden="1" x14ac:dyDescent="0.3">
      <c r="A290">
        <v>289</v>
      </c>
      <c r="B290" t="s">
        <v>16</v>
      </c>
      <c r="C290" t="s">
        <v>894</v>
      </c>
      <c r="D290" t="s">
        <v>895</v>
      </c>
      <c r="E290" t="s">
        <v>896</v>
      </c>
      <c r="F290" t="s">
        <v>93</v>
      </c>
      <c r="G290" t="s">
        <v>38</v>
      </c>
      <c r="H290" s="2">
        <v>929600909353</v>
      </c>
      <c r="I290" t="s">
        <v>21</v>
      </c>
      <c r="J290" t="s">
        <v>21</v>
      </c>
      <c r="K290" t="s">
        <v>21</v>
      </c>
      <c r="L290" t="e">
        <f>VLOOKUP(H:H,'[1]VEPL-DEC-24'!$D:$AS,42,0)</f>
        <v>#N/A</v>
      </c>
      <c r="M290" t="e">
        <f>VLOOKUP(H:H,'[1]VEPL-DEC-24'!$D:$AT,43,0)</f>
        <v>#N/A</v>
      </c>
      <c r="N290" t="s">
        <v>21</v>
      </c>
      <c r="P290" t="e">
        <f>VLOOKUP(H:H,'[1]VEPL-DEC-24'!$D:$H,5,0)</f>
        <v>#N/A</v>
      </c>
    </row>
    <row r="291" spans="1:16" hidden="1" x14ac:dyDescent="0.3">
      <c r="A291">
        <v>290</v>
      </c>
      <c r="B291" t="s">
        <v>16</v>
      </c>
      <c r="C291" t="s">
        <v>897</v>
      </c>
      <c r="D291" t="s">
        <v>898</v>
      </c>
      <c r="E291" t="s">
        <v>899</v>
      </c>
      <c r="F291" t="s">
        <v>37</v>
      </c>
      <c r="G291" t="s">
        <v>38</v>
      </c>
      <c r="H291" s="2">
        <v>712154716137</v>
      </c>
      <c r="I291" t="s">
        <v>21</v>
      </c>
      <c r="J291" t="s">
        <v>21</v>
      </c>
      <c r="K291" t="s">
        <v>21</v>
      </c>
      <c r="L291" t="e">
        <f>VLOOKUP(H:H,'[1]VEPL-DEC-24'!$D:$AS,42,0)</f>
        <v>#N/A</v>
      </c>
      <c r="M291" t="e">
        <f>VLOOKUP(H:H,'[1]VEPL-DEC-24'!$D:$AT,43,0)</f>
        <v>#N/A</v>
      </c>
      <c r="N291" t="s">
        <v>21</v>
      </c>
      <c r="P291" t="e">
        <f>VLOOKUP(H:H,'[1]VEPL-DEC-24'!$D:$H,5,0)</f>
        <v>#N/A</v>
      </c>
    </row>
    <row r="292" spans="1:16" hidden="1" x14ac:dyDescent="0.3">
      <c r="A292">
        <v>291</v>
      </c>
      <c r="B292" t="s">
        <v>16</v>
      </c>
      <c r="C292" t="s">
        <v>900</v>
      </c>
      <c r="D292" t="s">
        <v>901</v>
      </c>
      <c r="E292" t="s">
        <v>902</v>
      </c>
      <c r="F292" t="s">
        <v>71</v>
      </c>
      <c r="G292" t="s">
        <v>38</v>
      </c>
      <c r="H292" s="2">
        <v>390005616763</v>
      </c>
      <c r="I292" t="s">
        <v>21</v>
      </c>
      <c r="J292" t="s">
        <v>21</v>
      </c>
      <c r="K292" t="s">
        <v>21</v>
      </c>
      <c r="L292" t="e">
        <f>VLOOKUP(H:H,'[1]VEPL-DEC-24'!$D:$AS,42,0)</f>
        <v>#N/A</v>
      </c>
      <c r="M292" t="e">
        <f>VLOOKUP(H:H,'[1]VEPL-DEC-24'!$D:$AT,43,0)</f>
        <v>#N/A</v>
      </c>
      <c r="N292" t="s">
        <v>21</v>
      </c>
      <c r="P292" t="e">
        <f>VLOOKUP(H:H,'[1]VEPL-DEC-24'!$D:$H,5,0)</f>
        <v>#N/A</v>
      </c>
    </row>
    <row r="293" spans="1:16" x14ac:dyDescent="0.3">
      <c r="A293">
        <v>292</v>
      </c>
      <c r="B293" t="s">
        <v>16</v>
      </c>
      <c r="C293" t="s">
        <v>903</v>
      </c>
      <c r="D293" t="s">
        <v>904</v>
      </c>
      <c r="E293" t="s">
        <v>905</v>
      </c>
      <c r="F293" t="s">
        <v>37</v>
      </c>
      <c r="G293" t="s">
        <v>38</v>
      </c>
      <c r="H293" s="2">
        <v>944375501846</v>
      </c>
      <c r="I293" t="s">
        <v>21</v>
      </c>
      <c r="J293" t="s">
        <v>21</v>
      </c>
      <c r="K293" t="s">
        <v>21</v>
      </c>
      <c r="L293" t="str">
        <f>VLOOKUP(H:H,'[1]VEPL-DEC-24'!$D:$AS,42,0)</f>
        <v>P</v>
      </c>
      <c r="M293">
        <f>VLOOKUP(H:H,'[1]VEPL-DEC-24'!$D:$AT,43,0)</f>
        <v>11</v>
      </c>
      <c r="N293" t="s">
        <v>21</v>
      </c>
      <c r="P293">
        <f>VLOOKUP(H:H,'[1]VEPL-DEC-24'!$D:$H,5,0)</f>
        <v>10002</v>
      </c>
    </row>
    <row r="294" spans="1:16" hidden="1" x14ac:dyDescent="0.3">
      <c r="A294">
        <v>293</v>
      </c>
      <c r="B294" t="s">
        <v>16</v>
      </c>
      <c r="C294" t="s">
        <v>906</v>
      </c>
      <c r="D294" t="s">
        <v>482</v>
      </c>
      <c r="E294" t="s">
        <v>907</v>
      </c>
      <c r="F294" t="s">
        <v>37</v>
      </c>
      <c r="G294" t="s">
        <v>38</v>
      </c>
      <c r="H294" s="2">
        <v>826723442785</v>
      </c>
      <c r="I294" t="s">
        <v>21</v>
      </c>
      <c r="J294" t="s">
        <v>21</v>
      </c>
      <c r="K294" t="s">
        <v>21</v>
      </c>
      <c r="L294" t="e">
        <f>VLOOKUP(H:H,'[1]VEPL-DEC-24'!$D:$AS,42,0)</f>
        <v>#N/A</v>
      </c>
      <c r="M294" t="e">
        <f>VLOOKUP(H:H,'[1]VEPL-DEC-24'!$D:$AT,43,0)</f>
        <v>#N/A</v>
      </c>
      <c r="N294" t="s">
        <v>21</v>
      </c>
      <c r="P294" t="e">
        <f>VLOOKUP(H:H,'[1]VEPL-DEC-24'!$D:$H,5,0)</f>
        <v>#N/A</v>
      </c>
    </row>
    <row r="295" spans="1:16" hidden="1" x14ac:dyDescent="0.3">
      <c r="A295">
        <v>294</v>
      </c>
      <c r="B295" t="s">
        <v>16</v>
      </c>
      <c r="C295" t="s">
        <v>908</v>
      </c>
      <c r="D295" t="s">
        <v>909</v>
      </c>
      <c r="E295" t="s">
        <v>910</v>
      </c>
      <c r="F295" t="s">
        <v>37</v>
      </c>
      <c r="G295" t="s">
        <v>38</v>
      </c>
      <c r="H295" s="2">
        <v>621061271882</v>
      </c>
      <c r="I295" t="s">
        <v>21</v>
      </c>
      <c r="J295" t="s">
        <v>21</v>
      </c>
      <c r="K295" t="s">
        <v>21</v>
      </c>
      <c r="L295" t="e">
        <f>VLOOKUP(H:H,'[1]VEPL-DEC-24'!$D:$AS,42,0)</f>
        <v>#N/A</v>
      </c>
      <c r="M295" t="e">
        <f>VLOOKUP(H:H,'[1]VEPL-DEC-24'!$D:$AT,43,0)</f>
        <v>#N/A</v>
      </c>
      <c r="N295" t="s">
        <v>21</v>
      </c>
      <c r="P295" t="e">
        <f>VLOOKUP(H:H,'[1]VEPL-DEC-24'!$D:$H,5,0)</f>
        <v>#N/A</v>
      </c>
    </row>
    <row r="296" spans="1:16" hidden="1" x14ac:dyDescent="0.3">
      <c r="A296">
        <v>295</v>
      </c>
      <c r="B296" t="s">
        <v>16</v>
      </c>
      <c r="C296" t="s">
        <v>911</v>
      </c>
      <c r="D296" t="s">
        <v>912</v>
      </c>
      <c r="E296" t="s">
        <v>913</v>
      </c>
      <c r="F296" t="s">
        <v>127</v>
      </c>
      <c r="G296" t="s">
        <v>38</v>
      </c>
      <c r="H296" s="2">
        <v>465692693229</v>
      </c>
      <c r="I296" t="s">
        <v>21</v>
      </c>
      <c r="J296" t="s">
        <v>21</v>
      </c>
      <c r="K296" t="s">
        <v>21</v>
      </c>
      <c r="L296" t="e">
        <f>VLOOKUP(H:H,'[1]VEPL-DEC-24'!$D:$AS,42,0)</f>
        <v>#N/A</v>
      </c>
      <c r="M296" t="e">
        <f>VLOOKUP(H:H,'[1]VEPL-DEC-24'!$D:$AT,43,0)</f>
        <v>#N/A</v>
      </c>
      <c r="N296" t="s">
        <v>21</v>
      </c>
      <c r="P296" t="e">
        <f>VLOOKUP(H:H,'[1]VEPL-DEC-24'!$D:$H,5,0)</f>
        <v>#N/A</v>
      </c>
    </row>
    <row r="297" spans="1:16" x14ac:dyDescent="0.3">
      <c r="A297">
        <v>296</v>
      </c>
      <c r="B297" t="s">
        <v>16</v>
      </c>
      <c r="C297" t="s">
        <v>914</v>
      </c>
      <c r="D297" t="s">
        <v>915</v>
      </c>
      <c r="E297" t="s">
        <v>916</v>
      </c>
      <c r="F297" t="s">
        <v>42</v>
      </c>
      <c r="G297" t="s">
        <v>38</v>
      </c>
      <c r="H297" s="2">
        <v>990392238180</v>
      </c>
      <c r="I297" t="s">
        <v>21</v>
      </c>
      <c r="J297" t="s">
        <v>21</v>
      </c>
      <c r="K297" t="s">
        <v>21</v>
      </c>
      <c r="L297" t="str">
        <f>VLOOKUP(H:H,'[1]VEPL-DEC-24'!$D:$AS,42,0)</f>
        <v>P</v>
      </c>
      <c r="M297">
        <f>VLOOKUP(H:H,'[1]VEPL-DEC-24'!$D:$AT,43,0)</f>
        <v>11</v>
      </c>
      <c r="N297" t="s">
        <v>21</v>
      </c>
      <c r="P297">
        <f>VLOOKUP(H:H,'[1]VEPL-DEC-24'!$D:$H,5,0)</f>
        <v>10002</v>
      </c>
    </row>
    <row r="298" spans="1:16" x14ac:dyDescent="0.3">
      <c r="A298">
        <v>297</v>
      </c>
      <c r="B298" t="s">
        <v>16</v>
      </c>
      <c r="C298" t="s">
        <v>917</v>
      </c>
      <c r="D298" t="s">
        <v>918</v>
      </c>
      <c r="E298" t="s">
        <v>919</v>
      </c>
      <c r="F298" t="s">
        <v>71</v>
      </c>
      <c r="G298" t="s">
        <v>38</v>
      </c>
      <c r="H298" s="2">
        <v>628926949131</v>
      </c>
      <c r="I298" t="s">
        <v>21</v>
      </c>
      <c r="J298" t="s">
        <v>21</v>
      </c>
      <c r="K298" t="s">
        <v>21</v>
      </c>
      <c r="L298" t="str">
        <f>VLOOKUP(H:H,'[1]VEPL-DEC-24'!$D:$AS,42,0)</f>
        <v>P</v>
      </c>
      <c r="M298">
        <f>VLOOKUP(H:H,'[1]VEPL-DEC-24'!$D:$AT,43,0)</f>
        <v>11</v>
      </c>
      <c r="N298" t="s">
        <v>21</v>
      </c>
      <c r="P298">
        <f>VLOOKUP(H:H,'[1]VEPL-DEC-24'!$D:$H,5,0)</f>
        <v>10009</v>
      </c>
    </row>
    <row r="299" spans="1:16" x14ac:dyDescent="0.3">
      <c r="A299">
        <v>298</v>
      </c>
      <c r="B299" t="s">
        <v>16</v>
      </c>
      <c r="C299" t="s">
        <v>920</v>
      </c>
      <c r="D299" t="s">
        <v>921</v>
      </c>
      <c r="E299" t="s">
        <v>922</v>
      </c>
      <c r="F299" t="s">
        <v>37</v>
      </c>
      <c r="G299" t="s">
        <v>38</v>
      </c>
      <c r="H299" s="2">
        <v>368834887715</v>
      </c>
      <c r="I299" t="s">
        <v>21</v>
      </c>
      <c r="J299" t="s">
        <v>21</v>
      </c>
      <c r="K299" t="s">
        <v>21</v>
      </c>
      <c r="L299" t="str">
        <f>VLOOKUP(H:H,'[1]VEPL-DEC-24'!$D:$AS,42,0)</f>
        <v>P</v>
      </c>
      <c r="M299">
        <f>VLOOKUP(H:H,'[1]VEPL-DEC-24'!$D:$AT,43,0)</f>
        <v>0</v>
      </c>
      <c r="N299" t="s">
        <v>21</v>
      </c>
      <c r="P299">
        <f>VLOOKUP(H:H,'[1]VEPL-DEC-24'!$D:$H,5,0)</f>
        <v>10009</v>
      </c>
    </row>
    <row r="300" spans="1:16" hidden="1" x14ac:dyDescent="0.3">
      <c r="A300">
        <v>299</v>
      </c>
      <c r="B300" t="s">
        <v>16</v>
      </c>
      <c r="C300" t="s">
        <v>923</v>
      </c>
      <c r="D300" t="s">
        <v>924</v>
      </c>
      <c r="E300" t="s">
        <v>925</v>
      </c>
      <c r="F300" t="s">
        <v>71</v>
      </c>
      <c r="G300" t="s">
        <v>38</v>
      </c>
      <c r="H300" s="2">
        <v>999843151894</v>
      </c>
      <c r="I300" t="s">
        <v>21</v>
      </c>
      <c r="J300" t="s">
        <v>21</v>
      </c>
      <c r="K300" t="s">
        <v>21</v>
      </c>
      <c r="L300" t="str">
        <f>VLOOKUP(H:H,'[1]VEPL-DEC-24'!$D:$AS,42,0)</f>
        <v>o</v>
      </c>
      <c r="M300">
        <f>VLOOKUP(H:H,'[1]VEPL-DEC-24'!$D:$AT,43,0)</f>
        <v>0</v>
      </c>
      <c r="N300" t="s">
        <v>21</v>
      </c>
      <c r="P300">
        <f>VLOOKUP(H:H,'[1]VEPL-DEC-24'!$D:$H,5,0)</f>
        <v>10009</v>
      </c>
    </row>
    <row r="301" spans="1:16" x14ac:dyDescent="0.3">
      <c r="A301">
        <v>300</v>
      </c>
      <c r="B301" t="s">
        <v>16</v>
      </c>
      <c r="C301" t="s">
        <v>926</v>
      </c>
      <c r="D301" t="s">
        <v>927</v>
      </c>
      <c r="E301" t="s">
        <v>928</v>
      </c>
      <c r="F301" t="s">
        <v>37</v>
      </c>
      <c r="G301" t="s">
        <v>38</v>
      </c>
      <c r="H301" s="2">
        <v>433338778793</v>
      </c>
      <c r="I301" t="s">
        <v>21</v>
      </c>
      <c r="J301" t="s">
        <v>21</v>
      </c>
      <c r="K301" t="s">
        <v>21</v>
      </c>
      <c r="L301" t="str">
        <f>VLOOKUP(H:H,'[1]VEPL-DEC-24'!$D:$AS,42,0)</f>
        <v>P</v>
      </c>
      <c r="M301">
        <f>VLOOKUP(H:H,'[1]VEPL-DEC-24'!$D:$AT,43,0)</f>
        <v>0</v>
      </c>
      <c r="N301" t="s">
        <v>21</v>
      </c>
      <c r="P301">
        <f>VLOOKUP(H:H,'[1]VEPL-DEC-24'!$D:$H,5,0)</f>
        <v>10003</v>
      </c>
    </row>
    <row r="302" spans="1:16" x14ac:dyDescent="0.3">
      <c r="A302">
        <v>301</v>
      </c>
      <c r="B302" t="s">
        <v>16</v>
      </c>
      <c r="C302" t="s">
        <v>929</v>
      </c>
      <c r="D302" t="s">
        <v>930</v>
      </c>
      <c r="E302" t="s">
        <v>931</v>
      </c>
      <c r="F302" t="s">
        <v>83</v>
      </c>
      <c r="G302" t="s">
        <v>38</v>
      </c>
      <c r="H302" s="2">
        <v>716123607759</v>
      </c>
      <c r="I302" t="s">
        <v>21</v>
      </c>
      <c r="J302" t="s">
        <v>21</v>
      </c>
      <c r="K302" t="s">
        <v>21</v>
      </c>
      <c r="L302" t="str">
        <f>VLOOKUP(H:H,'[1]VEPL-DEC-24'!$D:$AS,42,0)</f>
        <v>P</v>
      </c>
      <c r="M302">
        <f>VLOOKUP(H:H,'[1]VEPL-DEC-24'!$D:$AT,43,0)</f>
        <v>11</v>
      </c>
      <c r="N302" t="s">
        <v>21</v>
      </c>
      <c r="P302">
        <f>VLOOKUP(H:H,'[1]VEPL-DEC-24'!$D:$H,5,0)</f>
        <v>10009</v>
      </c>
    </row>
    <row r="303" spans="1:16" x14ac:dyDescent="0.3">
      <c r="A303">
        <v>302</v>
      </c>
      <c r="B303" t="s">
        <v>16</v>
      </c>
      <c r="C303" t="s">
        <v>932</v>
      </c>
      <c r="D303" t="s">
        <v>933</v>
      </c>
      <c r="E303" t="s">
        <v>934</v>
      </c>
      <c r="F303" t="s">
        <v>83</v>
      </c>
      <c r="G303" t="s">
        <v>38</v>
      </c>
      <c r="H303" s="2">
        <v>549223460112</v>
      </c>
      <c r="I303" t="s">
        <v>21</v>
      </c>
      <c r="J303" t="s">
        <v>21</v>
      </c>
      <c r="K303" t="s">
        <v>21</v>
      </c>
      <c r="L303" t="str">
        <f>VLOOKUP(H:H,'[1]VEPL-DEC-24'!$D:$AS,42,0)</f>
        <v>P</v>
      </c>
      <c r="M303">
        <f>VLOOKUP(H:H,'[1]VEPL-DEC-24'!$D:$AT,43,0)</f>
        <v>11</v>
      </c>
      <c r="N303" t="s">
        <v>21</v>
      </c>
      <c r="P303">
        <f>VLOOKUP(H:H,'[1]VEPL-DEC-24'!$D:$H,5,0)</f>
        <v>10009</v>
      </c>
    </row>
    <row r="304" spans="1:16" x14ac:dyDescent="0.3">
      <c r="A304">
        <v>303</v>
      </c>
      <c r="B304" t="s">
        <v>16</v>
      </c>
      <c r="C304" t="s">
        <v>935</v>
      </c>
      <c r="D304" t="s">
        <v>936</v>
      </c>
      <c r="E304" t="s">
        <v>937</v>
      </c>
      <c r="F304" t="s">
        <v>938</v>
      </c>
      <c r="G304" t="s">
        <v>20</v>
      </c>
      <c r="H304" s="2">
        <v>646333786960</v>
      </c>
      <c r="I304" t="s">
        <v>21</v>
      </c>
      <c r="J304" t="s">
        <v>21</v>
      </c>
      <c r="K304" t="s">
        <v>21</v>
      </c>
      <c r="L304" t="str">
        <f>VLOOKUP(H:H,'[1]VEPL-DEC-24'!$D:$AS,42,0)</f>
        <v>P</v>
      </c>
      <c r="M304">
        <f>VLOOKUP(H:H,'[1]VEPL-DEC-24'!$D:$AT,43,0)</f>
        <v>0</v>
      </c>
      <c r="N304" t="s">
        <v>21</v>
      </c>
      <c r="P304">
        <f>VLOOKUP(H:H,'[1]VEPL-DEC-24'!$D:$H,5,0)</f>
        <v>10003</v>
      </c>
    </row>
    <row r="305" spans="1:16" x14ac:dyDescent="0.3">
      <c r="A305">
        <v>304</v>
      </c>
      <c r="B305" t="s">
        <v>16</v>
      </c>
      <c r="C305" t="s">
        <v>939</v>
      </c>
      <c r="D305" t="s">
        <v>940</v>
      </c>
      <c r="E305" t="s">
        <v>941</v>
      </c>
      <c r="F305" t="s">
        <v>942</v>
      </c>
      <c r="G305" t="s">
        <v>20</v>
      </c>
      <c r="H305" s="2">
        <v>286081476647</v>
      </c>
      <c r="I305" t="s">
        <v>21</v>
      </c>
      <c r="J305" t="s">
        <v>21</v>
      </c>
      <c r="K305" t="s">
        <v>21</v>
      </c>
      <c r="L305" t="str">
        <f>VLOOKUP(H:H,'[1]VEPL-DEC-24'!$D:$AS,42,0)</f>
        <v>P</v>
      </c>
      <c r="M305">
        <f>VLOOKUP(H:H,'[1]VEPL-DEC-24'!$D:$AT,43,0)</f>
        <v>0</v>
      </c>
      <c r="N305" t="s">
        <v>21</v>
      </c>
      <c r="P305">
        <f>VLOOKUP(H:H,'[1]VEPL-DEC-24'!$D:$H,5,0)</f>
        <v>10009</v>
      </c>
    </row>
    <row r="306" spans="1:16" hidden="1" x14ac:dyDescent="0.3">
      <c r="A306">
        <v>305</v>
      </c>
      <c r="B306" t="s">
        <v>16</v>
      </c>
      <c r="C306" t="s">
        <v>943</v>
      </c>
      <c r="D306" t="s">
        <v>944</v>
      </c>
      <c r="E306" t="s">
        <v>945</v>
      </c>
      <c r="F306" t="s">
        <v>93</v>
      </c>
      <c r="G306" t="s">
        <v>38</v>
      </c>
      <c r="H306" s="2">
        <v>582565162847</v>
      </c>
      <c r="I306" t="s">
        <v>21</v>
      </c>
      <c r="J306" t="s">
        <v>21</v>
      </c>
      <c r="K306" t="s">
        <v>21</v>
      </c>
      <c r="L306" t="str">
        <f>VLOOKUP(H:H,'[1]VEPL-DEC-24'!$D:$AS,42,0)</f>
        <v>A</v>
      </c>
      <c r="M306">
        <f>VLOOKUP(H:H,'[1]VEPL-DEC-24'!$D:$AT,43,0)</f>
        <v>0</v>
      </c>
      <c r="N306" t="s">
        <v>21</v>
      </c>
      <c r="P306">
        <f>VLOOKUP(H:H,'[1]VEPL-DEC-24'!$D:$H,5,0)</f>
        <v>10009</v>
      </c>
    </row>
    <row r="307" spans="1:16" x14ac:dyDescent="0.3">
      <c r="A307">
        <v>306</v>
      </c>
      <c r="B307" t="s">
        <v>16</v>
      </c>
      <c r="C307" t="s">
        <v>946</v>
      </c>
      <c r="D307" t="s">
        <v>947</v>
      </c>
      <c r="E307" t="s">
        <v>948</v>
      </c>
      <c r="F307" t="s">
        <v>37</v>
      </c>
      <c r="G307" t="s">
        <v>38</v>
      </c>
      <c r="H307" s="2">
        <v>543617124699</v>
      </c>
      <c r="I307" t="s">
        <v>21</v>
      </c>
      <c r="J307" t="s">
        <v>21</v>
      </c>
      <c r="K307" t="s">
        <v>21</v>
      </c>
      <c r="L307" t="str">
        <f>VLOOKUP(H:H,'[1]VEPL-DEC-24'!$D:$AS,42,0)</f>
        <v>P</v>
      </c>
      <c r="M307">
        <f>VLOOKUP(H:H,'[1]VEPL-DEC-24'!$D:$AT,43,0)</f>
        <v>0</v>
      </c>
      <c r="N307" t="s">
        <v>21</v>
      </c>
      <c r="P307">
        <f>VLOOKUP(H:H,'[1]VEPL-DEC-24'!$D:$H,5,0)</f>
        <v>10002</v>
      </c>
    </row>
    <row r="308" spans="1:16" x14ac:dyDescent="0.3">
      <c r="A308">
        <v>307</v>
      </c>
      <c r="B308" t="s">
        <v>16</v>
      </c>
      <c r="C308" t="s">
        <v>949</v>
      </c>
      <c r="D308" t="s">
        <v>950</v>
      </c>
      <c r="E308" t="s">
        <v>951</v>
      </c>
      <c r="F308" t="s">
        <v>380</v>
      </c>
      <c r="G308" t="s">
        <v>38</v>
      </c>
      <c r="H308" s="2">
        <v>804198594214</v>
      </c>
      <c r="I308" t="s">
        <v>21</v>
      </c>
      <c r="J308" t="s">
        <v>21</v>
      </c>
      <c r="K308" t="s">
        <v>21</v>
      </c>
      <c r="L308" t="str">
        <f>VLOOKUP(H:H,'[1]VEPL-DEC-24'!$D:$AS,42,0)</f>
        <v>P</v>
      </c>
      <c r="M308">
        <f>VLOOKUP(H:H,'[1]VEPL-DEC-24'!$D:$AT,43,0)</f>
        <v>11</v>
      </c>
      <c r="N308" t="s">
        <v>21</v>
      </c>
      <c r="P308">
        <f>VLOOKUP(H:H,'[1]VEPL-DEC-24'!$D:$H,5,0)</f>
        <v>10002</v>
      </c>
    </row>
    <row r="309" spans="1:16" x14ac:dyDescent="0.3">
      <c r="A309">
        <v>308</v>
      </c>
      <c r="B309" t="s">
        <v>16</v>
      </c>
      <c r="C309" t="s">
        <v>952</v>
      </c>
      <c r="D309" t="s">
        <v>953</v>
      </c>
      <c r="E309" t="s">
        <v>954</v>
      </c>
      <c r="F309" t="s">
        <v>37</v>
      </c>
      <c r="G309" t="s">
        <v>38</v>
      </c>
      <c r="H309" s="2">
        <v>321611757770</v>
      </c>
      <c r="I309" t="s">
        <v>21</v>
      </c>
      <c r="J309" t="s">
        <v>21</v>
      </c>
      <c r="K309" t="s">
        <v>21</v>
      </c>
      <c r="L309" t="str">
        <f>VLOOKUP(H:H,'[1]VEPL-DEC-24'!$D:$AS,42,0)</f>
        <v>P</v>
      </c>
      <c r="M309">
        <f>VLOOKUP(H:H,'[1]VEPL-DEC-24'!$D:$AT,43,0)</f>
        <v>0</v>
      </c>
      <c r="N309" t="s">
        <v>21</v>
      </c>
      <c r="P309">
        <f>VLOOKUP(H:H,'[1]VEPL-DEC-24'!$D:$H,5,0)</f>
        <v>10008</v>
      </c>
    </row>
    <row r="310" spans="1:16" x14ac:dyDescent="0.3">
      <c r="A310">
        <v>309</v>
      </c>
      <c r="B310" t="s">
        <v>16</v>
      </c>
      <c r="C310" t="s">
        <v>955</v>
      </c>
      <c r="D310" t="s">
        <v>956</v>
      </c>
      <c r="E310" t="s">
        <v>957</v>
      </c>
      <c r="F310" t="s">
        <v>37</v>
      </c>
      <c r="G310" t="s">
        <v>38</v>
      </c>
      <c r="H310" s="2">
        <v>248211083898</v>
      </c>
      <c r="I310" t="s">
        <v>21</v>
      </c>
      <c r="J310" t="s">
        <v>21</v>
      </c>
      <c r="K310" t="s">
        <v>21</v>
      </c>
      <c r="L310" t="str">
        <f>VLOOKUP(H:H,'[1]VEPL-DEC-24'!$D:$AS,42,0)</f>
        <v>P</v>
      </c>
      <c r="M310">
        <f>VLOOKUP(H:H,'[1]VEPL-DEC-24'!$D:$AT,43,0)</f>
        <v>0</v>
      </c>
      <c r="N310" t="s">
        <v>21</v>
      </c>
      <c r="P310">
        <f>VLOOKUP(H:H,'[1]VEPL-DEC-24'!$D:$H,5,0)</f>
        <v>10009</v>
      </c>
    </row>
    <row r="311" spans="1:16" x14ac:dyDescent="0.3">
      <c r="A311">
        <v>310</v>
      </c>
      <c r="B311" t="s">
        <v>16</v>
      </c>
      <c r="C311" t="s">
        <v>958</v>
      </c>
      <c r="D311" t="s">
        <v>959</v>
      </c>
      <c r="E311" t="s">
        <v>960</v>
      </c>
      <c r="F311" t="s">
        <v>37</v>
      </c>
      <c r="G311" t="s">
        <v>38</v>
      </c>
      <c r="H311" s="2">
        <v>532132833575</v>
      </c>
      <c r="I311" t="s">
        <v>21</v>
      </c>
      <c r="J311" t="s">
        <v>21</v>
      </c>
      <c r="K311" t="s">
        <v>21</v>
      </c>
      <c r="L311" t="str">
        <f>VLOOKUP(H:H,'[1]VEPL-DEC-24'!$D:$AS,42,0)</f>
        <v>P</v>
      </c>
      <c r="M311">
        <f>VLOOKUP(H:H,'[1]VEPL-DEC-24'!$D:$AT,43,0)</f>
        <v>0</v>
      </c>
      <c r="N311" t="s">
        <v>21</v>
      </c>
      <c r="P311">
        <f>VLOOKUP(H:H,'[1]VEPL-DEC-24'!$D:$H,5,0)</f>
        <v>10009</v>
      </c>
    </row>
    <row r="312" spans="1:16" hidden="1" x14ac:dyDescent="0.3">
      <c r="A312">
        <v>311</v>
      </c>
      <c r="B312" t="s">
        <v>16</v>
      </c>
      <c r="C312" t="s">
        <v>961</v>
      </c>
      <c r="D312" t="s">
        <v>962</v>
      </c>
      <c r="E312" t="s">
        <v>963</v>
      </c>
      <c r="F312" t="s">
        <v>93</v>
      </c>
      <c r="G312" t="s">
        <v>38</v>
      </c>
      <c r="H312" s="2">
        <v>624109590338</v>
      </c>
      <c r="I312" t="s">
        <v>21</v>
      </c>
      <c r="J312" t="s">
        <v>21</v>
      </c>
      <c r="K312" t="s">
        <v>21</v>
      </c>
      <c r="L312" t="str">
        <f>VLOOKUP(H:H,'[1]VEPL-DEC-24'!$D:$AS,42,0)</f>
        <v>A</v>
      </c>
      <c r="M312">
        <f>VLOOKUP(H:H,'[1]VEPL-DEC-24'!$D:$AT,43,0)</f>
        <v>0</v>
      </c>
      <c r="N312" t="s">
        <v>21</v>
      </c>
      <c r="P312">
        <f>VLOOKUP(H:H,'[1]VEPL-DEC-24'!$D:$H,5,0)</f>
        <v>10003</v>
      </c>
    </row>
    <row r="313" spans="1:16" x14ac:dyDescent="0.3">
      <c r="A313">
        <v>312</v>
      </c>
      <c r="B313" t="s">
        <v>16</v>
      </c>
      <c r="C313" t="s">
        <v>964</v>
      </c>
      <c r="D313" t="s">
        <v>965</v>
      </c>
      <c r="E313" t="s">
        <v>966</v>
      </c>
      <c r="F313" t="s">
        <v>37</v>
      </c>
      <c r="G313" t="s">
        <v>38</v>
      </c>
      <c r="H313" s="2">
        <v>929713570191</v>
      </c>
      <c r="I313" t="s">
        <v>21</v>
      </c>
      <c r="J313" t="s">
        <v>21</v>
      </c>
      <c r="K313" t="s">
        <v>21</v>
      </c>
      <c r="L313" t="str">
        <f>VLOOKUP(H:H,'[1]VEPL-DEC-24'!$D:$AS,42,0)</f>
        <v>P</v>
      </c>
      <c r="M313">
        <f>VLOOKUP(H:H,'[1]VEPL-DEC-24'!$D:$AT,43,0)</f>
        <v>0</v>
      </c>
      <c r="N313" t="s">
        <v>21</v>
      </c>
      <c r="P313">
        <f>VLOOKUP(H:H,'[1]VEPL-DEC-24'!$D:$H,5,0)</f>
        <v>10009</v>
      </c>
    </row>
    <row r="314" spans="1:16" hidden="1" x14ac:dyDescent="0.3">
      <c r="A314">
        <v>313</v>
      </c>
      <c r="B314" t="s">
        <v>16</v>
      </c>
      <c r="C314" t="s">
        <v>967</v>
      </c>
      <c r="D314" t="s">
        <v>968</v>
      </c>
      <c r="E314" t="s">
        <v>969</v>
      </c>
      <c r="F314" t="s">
        <v>37</v>
      </c>
      <c r="G314" t="s">
        <v>38</v>
      </c>
      <c r="H314" s="2">
        <v>799972396695</v>
      </c>
      <c r="I314" t="s">
        <v>21</v>
      </c>
      <c r="J314" t="s">
        <v>21</v>
      </c>
      <c r="K314" t="s">
        <v>21</v>
      </c>
      <c r="L314" t="str">
        <f>VLOOKUP(H:H,'[1]VEPL-DEC-24'!$D:$AS,42,0)</f>
        <v>A</v>
      </c>
      <c r="M314">
        <f>VLOOKUP(H:H,'[1]VEPL-DEC-24'!$D:$AT,43,0)</f>
        <v>0</v>
      </c>
      <c r="N314" t="s">
        <v>21</v>
      </c>
      <c r="P314">
        <f>VLOOKUP(H:H,'[1]VEPL-DEC-24'!$D:$H,5,0)</f>
        <v>10009</v>
      </c>
    </row>
    <row r="315" spans="1:16" hidden="1" x14ac:dyDescent="0.3">
      <c r="A315">
        <v>314</v>
      </c>
      <c r="B315" t="s">
        <v>16</v>
      </c>
      <c r="C315" t="s">
        <v>970</v>
      </c>
      <c r="D315" t="s">
        <v>971</v>
      </c>
      <c r="E315" t="s">
        <v>972</v>
      </c>
      <c r="F315" t="s">
        <v>71</v>
      </c>
      <c r="G315" t="s">
        <v>38</v>
      </c>
      <c r="H315" s="2">
        <v>987085790096</v>
      </c>
      <c r="I315" t="s">
        <v>21</v>
      </c>
      <c r="J315" t="s">
        <v>21</v>
      </c>
      <c r="K315" t="s">
        <v>21</v>
      </c>
      <c r="L315" t="str">
        <f>VLOOKUP(H:H,'[1]VEPL-DEC-24'!$D:$AS,42,0)</f>
        <v>A</v>
      </c>
      <c r="M315">
        <f>VLOOKUP(H:H,'[1]VEPL-DEC-24'!$D:$AT,43,0)</f>
        <v>0</v>
      </c>
      <c r="N315" t="s">
        <v>21</v>
      </c>
      <c r="P315">
        <f>VLOOKUP(H:H,'[1]VEPL-DEC-24'!$D:$H,5,0)</f>
        <v>10003</v>
      </c>
    </row>
    <row r="316" spans="1:16" x14ac:dyDescent="0.3">
      <c r="A316">
        <v>315</v>
      </c>
      <c r="B316" t="s">
        <v>16</v>
      </c>
      <c r="C316" t="s">
        <v>973</v>
      </c>
      <c r="D316" t="s">
        <v>974</v>
      </c>
      <c r="E316" t="s">
        <v>975</v>
      </c>
      <c r="F316" t="s">
        <v>83</v>
      </c>
      <c r="G316" t="s">
        <v>38</v>
      </c>
      <c r="H316" s="2">
        <v>872737410435</v>
      </c>
      <c r="I316" t="s">
        <v>21</v>
      </c>
      <c r="J316" t="s">
        <v>21</v>
      </c>
      <c r="K316" t="s">
        <v>21</v>
      </c>
      <c r="L316" t="str">
        <f>VLOOKUP(H:H,'[1]VEPL-DEC-24'!$D:$AS,42,0)</f>
        <v>P</v>
      </c>
      <c r="M316">
        <f>VLOOKUP(H:H,'[1]VEPL-DEC-24'!$D:$AT,43,0)</f>
        <v>0</v>
      </c>
      <c r="N316" t="s">
        <v>21</v>
      </c>
      <c r="P316">
        <f>VLOOKUP(H:H,'[1]VEPL-DEC-24'!$D:$H,5,0)</f>
        <v>10003</v>
      </c>
    </row>
    <row r="317" spans="1:16" x14ac:dyDescent="0.3">
      <c r="A317">
        <v>316</v>
      </c>
      <c r="B317" t="s">
        <v>16</v>
      </c>
      <c r="C317" t="s">
        <v>976</v>
      </c>
      <c r="D317" t="s">
        <v>46</v>
      </c>
      <c r="E317" t="s">
        <v>977</v>
      </c>
      <c r="F317" t="s">
        <v>83</v>
      </c>
      <c r="G317" t="s">
        <v>38</v>
      </c>
      <c r="H317" s="2">
        <v>746465133320</v>
      </c>
      <c r="I317" t="s">
        <v>21</v>
      </c>
      <c r="J317" t="s">
        <v>21</v>
      </c>
      <c r="K317" t="s">
        <v>21</v>
      </c>
      <c r="L317" t="str">
        <f>VLOOKUP(H:H,'[1]VEPL-DEC-24'!$D:$AS,42,0)</f>
        <v>P</v>
      </c>
      <c r="M317">
        <f>VLOOKUP(H:H,'[1]VEPL-DEC-24'!$D:$AT,43,0)</f>
        <v>0</v>
      </c>
      <c r="N317" t="s">
        <v>21</v>
      </c>
      <c r="P317">
        <f>VLOOKUP(H:H,'[1]VEPL-DEC-24'!$D:$H,5,0)</f>
        <v>10002</v>
      </c>
    </row>
    <row r="318" spans="1:16" x14ac:dyDescent="0.3">
      <c r="A318">
        <v>317</v>
      </c>
      <c r="B318" t="s">
        <v>16</v>
      </c>
      <c r="C318" t="s">
        <v>978</v>
      </c>
      <c r="D318" t="s">
        <v>979</v>
      </c>
      <c r="E318" t="s">
        <v>980</v>
      </c>
      <c r="F318" t="s">
        <v>71</v>
      </c>
      <c r="G318" t="s">
        <v>38</v>
      </c>
      <c r="H318" s="2">
        <v>753407021744</v>
      </c>
      <c r="I318" t="s">
        <v>21</v>
      </c>
      <c r="J318" t="s">
        <v>21</v>
      </c>
      <c r="K318" t="s">
        <v>21</v>
      </c>
      <c r="L318" t="str">
        <f>VLOOKUP(H:H,'[1]VEPL-DEC-24'!$D:$AS,42,0)</f>
        <v>P</v>
      </c>
      <c r="M318">
        <f>VLOOKUP(H:H,'[1]VEPL-DEC-24'!$D:$AT,43,0)</f>
        <v>0</v>
      </c>
      <c r="N318" t="s">
        <v>21</v>
      </c>
      <c r="P318">
        <f>VLOOKUP(H:H,'[1]VEPL-DEC-24'!$D:$H,5,0)</f>
        <v>10002</v>
      </c>
    </row>
    <row r="319" spans="1:16" x14ac:dyDescent="0.3">
      <c r="A319">
        <v>318</v>
      </c>
      <c r="B319" t="s">
        <v>16</v>
      </c>
      <c r="C319" t="s">
        <v>981</v>
      </c>
      <c r="D319" t="s">
        <v>982</v>
      </c>
      <c r="E319" t="s">
        <v>983</v>
      </c>
      <c r="F319" t="s">
        <v>48</v>
      </c>
      <c r="G319" t="s">
        <v>38</v>
      </c>
      <c r="H319" s="2">
        <v>346586165756</v>
      </c>
      <c r="I319" t="s">
        <v>21</v>
      </c>
      <c r="J319" t="s">
        <v>21</v>
      </c>
      <c r="K319" t="s">
        <v>21</v>
      </c>
      <c r="L319" t="str">
        <f>VLOOKUP(H:H,'[1]VEPL-DEC-24'!$D:$AS,42,0)</f>
        <v>P</v>
      </c>
      <c r="M319">
        <f>VLOOKUP(H:H,'[1]VEPL-DEC-24'!$D:$AT,43,0)</f>
        <v>0</v>
      </c>
      <c r="N319" t="s">
        <v>21</v>
      </c>
      <c r="P319">
        <f>VLOOKUP(H:H,'[1]VEPL-DEC-24'!$D:$H,5,0)</f>
        <v>10008</v>
      </c>
    </row>
    <row r="320" spans="1:16" x14ac:dyDescent="0.3">
      <c r="A320">
        <v>319</v>
      </c>
      <c r="B320" t="s">
        <v>16</v>
      </c>
      <c r="C320" t="s">
        <v>984</v>
      </c>
      <c r="D320" t="s">
        <v>985</v>
      </c>
      <c r="E320" t="s">
        <v>986</v>
      </c>
      <c r="F320" t="s">
        <v>48</v>
      </c>
      <c r="G320" t="s">
        <v>38</v>
      </c>
      <c r="H320" s="2">
        <v>654666800710</v>
      </c>
      <c r="I320" t="s">
        <v>21</v>
      </c>
      <c r="J320" t="s">
        <v>21</v>
      </c>
      <c r="K320" t="s">
        <v>21</v>
      </c>
      <c r="L320" t="str">
        <f>VLOOKUP(H:H,'[1]VEPL-DEC-24'!$D:$AS,42,0)</f>
        <v>P</v>
      </c>
      <c r="M320">
        <f>VLOOKUP(H:H,'[1]VEPL-DEC-24'!$D:$AT,43,0)</f>
        <v>0</v>
      </c>
      <c r="N320" t="s">
        <v>21</v>
      </c>
      <c r="P320">
        <f>VLOOKUP(H:H,'[1]VEPL-DEC-24'!$D:$H,5,0)</f>
        <v>10008</v>
      </c>
    </row>
    <row r="321" spans="1:16" hidden="1" x14ac:dyDescent="0.3">
      <c r="A321">
        <v>320</v>
      </c>
      <c r="B321" t="s">
        <v>16</v>
      </c>
      <c r="C321" t="s">
        <v>987</v>
      </c>
      <c r="D321" t="s">
        <v>988</v>
      </c>
      <c r="E321" t="s">
        <v>989</v>
      </c>
      <c r="F321" t="s">
        <v>83</v>
      </c>
      <c r="G321" t="s">
        <v>38</v>
      </c>
      <c r="H321" s="2">
        <v>547028154265</v>
      </c>
      <c r="I321" t="s">
        <v>21</v>
      </c>
      <c r="J321" t="s">
        <v>21</v>
      </c>
      <c r="K321" t="s">
        <v>21</v>
      </c>
      <c r="L321" t="str">
        <f>VLOOKUP(H:H,'[1]VEPL-DEC-24'!$D:$AS,42,0)</f>
        <v>A</v>
      </c>
      <c r="M321">
        <f>VLOOKUP(H:H,'[1]VEPL-DEC-24'!$D:$AT,43,0)</f>
        <v>0</v>
      </c>
      <c r="N321" t="s">
        <v>21</v>
      </c>
      <c r="P321">
        <f>VLOOKUP(H:H,'[1]VEPL-DEC-24'!$D:$H,5,0)</f>
        <v>10003</v>
      </c>
    </row>
    <row r="322" spans="1:16" x14ac:dyDescent="0.3">
      <c r="A322">
        <v>321</v>
      </c>
      <c r="B322" t="s">
        <v>16</v>
      </c>
      <c r="C322" t="s">
        <v>990</v>
      </c>
      <c r="D322" t="s">
        <v>991</v>
      </c>
      <c r="E322" t="s">
        <v>992</v>
      </c>
      <c r="F322" t="s">
        <v>42</v>
      </c>
      <c r="G322" t="s">
        <v>38</v>
      </c>
      <c r="H322" s="2">
        <v>319054320326</v>
      </c>
      <c r="I322" t="s">
        <v>21</v>
      </c>
      <c r="J322" t="s">
        <v>21</v>
      </c>
      <c r="K322" t="s">
        <v>21</v>
      </c>
      <c r="L322" t="str">
        <f>VLOOKUP(H:H,'[1]VEPL-DEC-24'!$D:$AS,42,0)</f>
        <v>P</v>
      </c>
      <c r="M322">
        <f>VLOOKUP(H:H,'[1]VEPL-DEC-24'!$D:$AT,43,0)</f>
        <v>0</v>
      </c>
      <c r="N322" t="s">
        <v>21</v>
      </c>
      <c r="P322">
        <f>VLOOKUP(H:H,'[1]VEPL-DEC-24'!$D:$H,5,0)</f>
        <v>10003</v>
      </c>
    </row>
    <row r="323" spans="1:16" x14ac:dyDescent="0.3">
      <c r="A323">
        <v>322</v>
      </c>
      <c r="B323" t="s">
        <v>16</v>
      </c>
      <c r="C323" t="s">
        <v>993</v>
      </c>
      <c r="D323" t="s">
        <v>994</v>
      </c>
      <c r="E323" t="s">
        <v>575</v>
      </c>
      <c r="F323" t="s">
        <v>449</v>
      </c>
      <c r="G323" t="s">
        <v>38</v>
      </c>
      <c r="H323" s="2">
        <v>123456789101</v>
      </c>
      <c r="I323" t="s">
        <v>21</v>
      </c>
      <c r="J323" t="s">
        <v>21</v>
      </c>
      <c r="K323" t="s">
        <v>21</v>
      </c>
      <c r="L323" t="str">
        <f>VLOOKUP(H:H,'[1]VEPL-DEC-24'!$D:$AS,42,0)</f>
        <v>P</v>
      </c>
      <c r="M323">
        <f>VLOOKUP(H:H,'[1]VEPL-DEC-24'!$D:$AT,43,0)</f>
        <v>0</v>
      </c>
      <c r="N323" t="s">
        <v>21</v>
      </c>
      <c r="P323">
        <f>VLOOKUP(H:H,'[1]VEPL-DEC-24'!$D:$H,5,0)</f>
        <v>10003</v>
      </c>
    </row>
  </sheetData>
  <autoFilter ref="A1:P323" xr:uid="{00000000-0001-0000-0000-000000000000}">
    <filterColumn colId="11">
      <filters>
        <filter val="P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2025-01-02T09:24:09Z</dcterms:created>
  <dcterms:modified xsi:type="dcterms:W3CDTF">2025-01-02T09:45:00Z</dcterms:modified>
  <cp:category/>
</cp:coreProperties>
</file>